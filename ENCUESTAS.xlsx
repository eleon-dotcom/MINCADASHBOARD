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inca\Desktop\ENTREGABLES COMITE\"/>
    </mc:Choice>
  </mc:AlternateContent>
  <xr:revisionPtr revIDLastSave="0" documentId="13_ncr:1_{E16E4BDD-A800-4530-A3D1-A1005EB92A89}" xr6:coauthVersionLast="47" xr6:coauthVersionMax="47" xr10:uidLastSave="{00000000-0000-0000-0000-000000000000}"/>
  <bookViews>
    <workbookView xWindow="-120" yWindow="-120" windowWidth="20730" windowHeight="11310" xr2:uid="{00000000-000D-0000-FFFF-FFFF00000000}"/>
  </bookViews>
  <sheets>
    <sheet name="Hoja 1" sheetId="1" r:id="rId1"/>
    <sheet name="Hoja3" sheetId="6" r:id="rId2"/>
    <sheet name="MANYCHAT_SERVICE_SHEET" sheetId="3" state="hidden" r:id="rId3"/>
  </sheets>
  <definedNames>
    <definedName name="_xlnm._FilterDatabase" localSheetId="0" hidden="1">'Hoja 1'!$A$1:$O$1073</definedName>
  </definedNames>
  <calcPr calcId="191029"/>
  <pivotCaches>
    <pivotCache cacheId="406"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C2" i="1"/>
  <c r="B3" i="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l="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571"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23" i="1"/>
  <c r="B1145" i="1"/>
  <c r="B1146" i="1"/>
  <c r="B1257" i="1"/>
  <c r="B1114" i="1"/>
  <c r="B1115" i="1"/>
  <c r="B1116" i="1"/>
  <c r="B1117" i="1"/>
  <c r="B1118" i="1"/>
  <c r="B1119" i="1"/>
  <c r="B1120" i="1"/>
  <c r="B1121" i="1"/>
  <c r="B1122" i="1"/>
  <c r="B1124" i="1"/>
  <c r="B1125" i="1"/>
  <c r="B1126" i="1"/>
  <c r="B1127" i="1"/>
  <c r="B1128" i="1"/>
  <c r="B1129" i="1"/>
  <c r="B1130" i="1"/>
  <c r="B1131" i="1"/>
  <c r="B1132" i="1"/>
  <c r="B1133" i="1"/>
  <c r="B1134" i="1"/>
  <c r="B1135" i="1"/>
  <c r="B1136" i="1"/>
  <c r="B1137" i="1"/>
  <c r="B1138" i="1"/>
  <c r="B1139" i="1"/>
  <c r="B1140" i="1"/>
  <c r="B1141" i="1"/>
  <c r="B1142" i="1"/>
  <c r="B1143" i="1"/>
  <c r="B1144"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695" i="1"/>
  <c r="B696" i="1"/>
  <c r="B697" i="1"/>
  <c r="B698" i="1"/>
  <c r="B699" i="1"/>
  <c r="B700" i="1"/>
  <c r="B701" i="1"/>
  <c r="B702" i="1"/>
  <c r="B703" i="1"/>
  <c r="B704" i="1"/>
  <c r="B705" i="1"/>
  <c r="B706" i="1"/>
  <c r="B707" i="1"/>
  <c r="B708" i="1"/>
  <c r="B709" i="1"/>
  <c r="B710" i="1"/>
  <c r="B711" i="1"/>
  <c r="B712" i="1"/>
  <c r="B713"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50" i="1"/>
  <c r="A993" i="3"/>
  <c r="B993" i="3" s="1"/>
  <c r="A990" i="3"/>
  <c r="B990" i="3" s="1"/>
  <c r="A987" i="3"/>
  <c r="B987" i="3" s="1"/>
  <c r="A984" i="3"/>
  <c r="B984" i="3" s="1"/>
  <c r="A981" i="3"/>
  <c r="B981" i="3" s="1"/>
  <c r="A978" i="3"/>
  <c r="B978" i="3" s="1"/>
  <c r="A975" i="3"/>
  <c r="B975" i="3" s="1"/>
  <c r="A972" i="3"/>
  <c r="B972" i="3" s="1"/>
  <c r="A969" i="3"/>
  <c r="B969" i="3" s="1"/>
  <c r="A966" i="3"/>
  <c r="B966" i="3" s="1"/>
  <c r="A963" i="3"/>
  <c r="B963" i="3" s="1"/>
  <c r="A960" i="3"/>
  <c r="B960" i="3" s="1"/>
  <c r="A957" i="3"/>
  <c r="B957" i="3" s="1"/>
  <c r="A954" i="3"/>
  <c r="B954" i="3" s="1"/>
  <c r="A951" i="3"/>
  <c r="B951" i="3" s="1"/>
  <c r="A948" i="3"/>
  <c r="B948" i="3" s="1"/>
  <c r="A945" i="3"/>
  <c r="B945" i="3" s="1"/>
  <c r="A942" i="3"/>
  <c r="B942" i="3" s="1"/>
  <c r="A939" i="3"/>
  <c r="B939" i="3" s="1"/>
  <c r="A936" i="3"/>
  <c r="B936" i="3" s="1"/>
  <c r="A933" i="3"/>
  <c r="B933" i="3" s="1"/>
  <c r="A930" i="3"/>
  <c r="B930" i="3" s="1"/>
  <c r="A927" i="3"/>
  <c r="B927" i="3" s="1"/>
  <c r="A924" i="3"/>
  <c r="B924" i="3" s="1"/>
  <c r="A921" i="3"/>
  <c r="B921" i="3" s="1"/>
  <c r="A918" i="3"/>
  <c r="B918" i="3" s="1"/>
  <c r="A915" i="3"/>
  <c r="B915" i="3" s="1"/>
  <c r="A912" i="3"/>
  <c r="B912" i="3" s="1"/>
  <c r="A909" i="3"/>
  <c r="B909" i="3" s="1"/>
  <c r="A906" i="3"/>
  <c r="B906" i="3" s="1"/>
  <c r="A903" i="3"/>
  <c r="B903" i="3" s="1"/>
  <c r="A900" i="3"/>
  <c r="B900" i="3" s="1"/>
  <c r="A897" i="3"/>
  <c r="B897" i="3" s="1"/>
  <c r="A894" i="3"/>
  <c r="B894" i="3" s="1"/>
  <c r="A891" i="3"/>
  <c r="B891" i="3" s="1"/>
  <c r="A888" i="3"/>
  <c r="B888" i="3" s="1"/>
  <c r="A885" i="3"/>
  <c r="B885" i="3" s="1"/>
  <c r="A882" i="3"/>
  <c r="B882" i="3" s="1"/>
  <c r="A879" i="3"/>
  <c r="B879" i="3" s="1"/>
  <c r="A876" i="3"/>
  <c r="B876" i="3" s="1"/>
  <c r="A873" i="3"/>
  <c r="B873" i="3" s="1"/>
  <c r="A870" i="3"/>
  <c r="B870" i="3" s="1"/>
  <c r="A867" i="3"/>
  <c r="B867" i="3" s="1"/>
  <c r="A864" i="3"/>
  <c r="B864" i="3" s="1"/>
  <c r="A861" i="3"/>
  <c r="B861" i="3" s="1"/>
  <c r="A858" i="3"/>
  <c r="B858" i="3" s="1"/>
  <c r="A855" i="3"/>
  <c r="B855" i="3" s="1"/>
  <c r="A852" i="3"/>
  <c r="B852" i="3" s="1"/>
  <c r="A849" i="3"/>
  <c r="B849" i="3" s="1"/>
  <c r="A846" i="3"/>
  <c r="B846" i="3" s="1"/>
  <c r="A843" i="3"/>
  <c r="B843" i="3" s="1"/>
  <c r="A840" i="3"/>
  <c r="B840" i="3" s="1"/>
  <c r="A837" i="3"/>
  <c r="B837" i="3" s="1"/>
  <c r="A834" i="3"/>
  <c r="B834" i="3" s="1"/>
  <c r="A831" i="3"/>
  <c r="B831" i="3" s="1"/>
  <c r="A828" i="3"/>
  <c r="B828" i="3" s="1"/>
  <c r="A825" i="3"/>
  <c r="B825" i="3" s="1"/>
  <c r="A822" i="3"/>
  <c r="B822" i="3" s="1"/>
  <c r="A819" i="3"/>
  <c r="B819" i="3" s="1"/>
  <c r="A816" i="3"/>
  <c r="B816" i="3" s="1"/>
  <c r="A813" i="3"/>
  <c r="B813" i="3" s="1"/>
  <c r="A810" i="3"/>
  <c r="B810" i="3" s="1"/>
  <c r="A807" i="3"/>
  <c r="B807" i="3" s="1"/>
  <c r="A804" i="3"/>
  <c r="B804" i="3" s="1"/>
  <c r="A801" i="3"/>
  <c r="B801" i="3" s="1"/>
  <c r="A798" i="3"/>
  <c r="B798" i="3" s="1"/>
  <c r="A795" i="3"/>
  <c r="B795" i="3" s="1"/>
  <c r="A792" i="3"/>
  <c r="B792" i="3" s="1"/>
  <c r="A789" i="3"/>
  <c r="B789" i="3" s="1"/>
  <c r="A786" i="3"/>
  <c r="B786" i="3" s="1"/>
  <c r="A783" i="3"/>
  <c r="B783" i="3" s="1"/>
  <c r="A780" i="3"/>
  <c r="B780" i="3" s="1"/>
  <c r="A777" i="3"/>
  <c r="B777" i="3" s="1"/>
  <c r="A774" i="3"/>
  <c r="B774" i="3" s="1"/>
  <c r="A771" i="3"/>
  <c r="B771" i="3" s="1"/>
  <c r="A768" i="3"/>
  <c r="B768" i="3" s="1"/>
  <c r="A765" i="3"/>
  <c r="B765" i="3" s="1"/>
  <c r="A762" i="3"/>
  <c r="B762" i="3" s="1"/>
  <c r="A759" i="3"/>
  <c r="B759" i="3" s="1"/>
  <c r="A756" i="3"/>
  <c r="B756" i="3" s="1"/>
  <c r="A753" i="3"/>
  <c r="B753" i="3" s="1"/>
  <c r="A750" i="3"/>
  <c r="B750" i="3" s="1"/>
  <c r="A747" i="3"/>
  <c r="B747" i="3" s="1"/>
  <c r="A744" i="3"/>
  <c r="B744" i="3" s="1"/>
  <c r="A741" i="3"/>
  <c r="B741" i="3" s="1"/>
  <c r="A738" i="3"/>
  <c r="B738" i="3" s="1"/>
  <c r="A735" i="3"/>
  <c r="B735" i="3" s="1"/>
  <c r="A732" i="3"/>
  <c r="B732" i="3" s="1"/>
  <c r="A729" i="3"/>
  <c r="B729" i="3" s="1"/>
  <c r="A726" i="3"/>
  <c r="B726" i="3" s="1"/>
  <c r="A723" i="3"/>
  <c r="B723" i="3" s="1"/>
  <c r="A720" i="3"/>
  <c r="B720" i="3" s="1"/>
  <c r="A717" i="3"/>
  <c r="B717" i="3" s="1"/>
  <c r="A714" i="3"/>
  <c r="B714" i="3" s="1"/>
  <c r="A711" i="3"/>
  <c r="B711" i="3" s="1"/>
  <c r="A708" i="3"/>
  <c r="B708" i="3" s="1"/>
  <c r="A705" i="3"/>
  <c r="B705" i="3" s="1"/>
  <c r="A702" i="3"/>
  <c r="B702" i="3" s="1"/>
  <c r="A699" i="3"/>
  <c r="B699" i="3" s="1"/>
  <c r="A696" i="3"/>
  <c r="B696" i="3" s="1"/>
  <c r="A693" i="3"/>
  <c r="B693" i="3" s="1"/>
  <c r="A690" i="3"/>
  <c r="B690" i="3" s="1"/>
  <c r="A687" i="3"/>
  <c r="B687" i="3" s="1"/>
  <c r="A684" i="3"/>
  <c r="B684" i="3" s="1"/>
  <c r="A681" i="3"/>
  <c r="B681" i="3" s="1"/>
  <c r="A678" i="3"/>
  <c r="B678" i="3" s="1"/>
  <c r="A675" i="3"/>
  <c r="B675" i="3" s="1"/>
  <c r="A672" i="3"/>
  <c r="B672" i="3" s="1"/>
  <c r="A669" i="3"/>
  <c r="B669" i="3" s="1"/>
  <c r="A666" i="3"/>
  <c r="B666" i="3" s="1"/>
  <c r="A663" i="3"/>
  <c r="B663" i="3" s="1"/>
  <c r="A660" i="3"/>
  <c r="B660" i="3" s="1"/>
  <c r="A657" i="3"/>
  <c r="B657" i="3" s="1"/>
  <c r="A654" i="3"/>
  <c r="B654" i="3" s="1"/>
  <c r="A651" i="3"/>
  <c r="B651" i="3" s="1"/>
  <c r="A648" i="3"/>
  <c r="B648" i="3" s="1"/>
  <c r="A645" i="3"/>
  <c r="B645" i="3" s="1"/>
  <c r="A642" i="3"/>
  <c r="B642" i="3" s="1"/>
  <c r="A639" i="3"/>
  <c r="B639" i="3" s="1"/>
  <c r="A636" i="3"/>
  <c r="B636" i="3" s="1"/>
  <c r="A633" i="3"/>
  <c r="B633" i="3" s="1"/>
  <c r="A630" i="3"/>
  <c r="B630" i="3" s="1"/>
  <c r="A627" i="3"/>
  <c r="B627" i="3" s="1"/>
  <c r="A624" i="3"/>
  <c r="B624" i="3" s="1"/>
  <c r="A621" i="3"/>
  <c r="B621" i="3" s="1"/>
  <c r="A618" i="3"/>
  <c r="B618" i="3" s="1"/>
  <c r="A615" i="3"/>
  <c r="B615" i="3" s="1"/>
  <c r="A612" i="3"/>
  <c r="B612" i="3" s="1"/>
  <c r="A609" i="3"/>
  <c r="B609" i="3" s="1"/>
  <c r="A606" i="3"/>
  <c r="B606" i="3" s="1"/>
  <c r="A603" i="3"/>
  <c r="B603" i="3" s="1"/>
  <c r="A600" i="3"/>
  <c r="B600" i="3" s="1"/>
  <c r="A597" i="3"/>
  <c r="B597" i="3" s="1"/>
  <c r="A594" i="3"/>
  <c r="B594" i="3" s="1"/>
  <c r="A591" i="3"/>
  <c r="B591" i="3" s="1"/>
  <c r="A588" i="3"/>
  <c r="B588" i="3" s="1"/>
  <c r="A585" i="3"/>
  <c r="B585" i="3" s="1"/>
  <c r="A582" i="3"/>
  <c r="B582" i="3" s="1"/>
  <c r="A579" i="3"/>
  <c r="B579" i="3" s="1"/>
  <c r="A576" i="3"/>
  <c r="B576" i="3" s="1"/>
  <c r="A573" i="3"/>
  <c r="B573" i="3" s="1"/>
  <c r="A570" i="3"/>
  <c r="B570" i="3" s="1"/>
  <c r="A567" i="3"/>
  <c r="B567" i="3" s="1"/>
  <c r="A564" i="3"/>
  <c r="B564" i="3" s="1"/>
  <c r="A561" i="3"/>
  <c r="B561" i="3" s="1"/>
  <c r="A558" i="3"/>
  <c r="B558" i="3" s="1"/>
  <c r="A555" i="3"/>
  <c r="B555" i="3" s="1"/>
  <c r="A552" i="3"/>
  <c r="B552" i="3" s="1"/>
  <c r="A549" i="3"/>
  <c r="B549" i="3" s="1"/>
  <c r="A546" i="3"/>
  <c r="B546" i="3" s="1"/>
  <c r="A543" i="3"/>
  <c r="B543" i="3" s="1"/>
  <c r="A540" i="3"/>
  <c r="B540" i="3" s="1"/>
  <c r="A537" i="3"/>
  <c r="B537" i="3" s="1"/>
  <c r="A534" i="3"/>
  <c r="B534" i="3" s="1"/>
  <c r="A531" i="3"/>
  <c r="B531" i="3" s="1"/>
  <c r="A528" i="3"/>
  <c r="B528" i="3" s="1"/>
  <c r="A525" i="3"/>
  <c r="B525" i="3" s="1"/>
  <c r="A522" i="3"/>
  <c r="B522" i="3" s="1"/>
  <c r="A519" i="3"/>
  <c r="B519" i="3" s="1"/>
  <c r="A516" i="3"/>
  <c r="B516" i="3" s="1"/>
  <c r="A513" i="3"/>
  <c r="B513" i="3" s="1"/>
  <c r="A510" i="3"/>
  <c r="B510" i="3" s="1"/>
  <c r="A507" i="3"/>
  <c r="B507" i="3" s="1"/>
  <c r="A504" i="3"/>
  <c r="B504" i="3" s="1"/>
  <c r="A501" i="3"/>
  <c r="B501" i="3" s="1"/>
  <c r="A498" i="3"/>
  <c r="B498" i="3" s="1"/>
  <c r="A495" i="3"/>
  <c r="B495" i="3" s="1"/>
  <c r="A492" i="3"/>
  <c r="B492" i="3" s="1"/>
  <c r="A489" i="3"/>
  <c r="B489" i="3" s="1"/>
  <c r="A486" i="3"/>
  <c r="B486" i="3" s="1"/>
  <c r="A483" i="3"/>
  <c r="B483" i="3" s="1"/>
  <c r="A480" i="3"/>
  <c r="B480" i="3" s="1"/>
  <c r="A477" i="3"/>
  <c r="B477" i="3" s="1"/>
  <c r="A474" i="3"/>
  <c r="B474" i="3" s="1"/>
  <c r="A471" i="3"/>
  <c r="B471" i="3" s="1"/>
  <c r="A468" i="3"/>
  <c r="B468" i="3" s="1"/>
  <c r="A465" i="3"/>
  <c r="B465" i="3" s="1"/>
  <c r="A462" i="3"/>
  <c r="B462" i="3" s="1"/>
  <c r="A459" i="3"/>
  <c r="B459" i="3" s="1"/>
  <c r="A456" i="3"/>
  <c r="B456" i="3" s="1"/>
  <c r="A453" i="3"/>
  <c r="B453" i="3" s="1"/>
  <c r="A450" i="3"/>
  <c r="B450" i="3" s="1"/>
  <c r="A447" i="3"/>
  <c r="B447" i="3" s="1"/>
  <c r="A444" i="3"/>
  <c r="B444" i="3" s="1"/>
  <c r="A441" i="3"/>
  <c r="B441" i="3" s="1"/>
  <c r="A438" i="3"/>
  <c r="B438" i="3" s="1"/>
  <c r="A435" i="3"/>
  <c r="B435" i="3" s="1"/>
  <c r="A432" i="3"/>
  <c r="B432" i="3" s="1"/>
  <c r="A429" i="3"/>
  <c r="B429" i="3" s="1"/>
  <c r="A426" i="3"/>
  <c r="B426" i="3" s="1"/>
  <c r="A423" i="3"/>
  <c r="B423" i="3" s="1"/>
  <c r="A420" i="3"/>
  <c r="B420" i="3" s="1"/>
  <c r="A417" i="3"/>
  <c r="B417" i="3" s="1"/>
  <c r="A414" i="3"/>
  <c r="B414" i="3" s="1"/>
  <c r="A411" i="3"/>
  <c r="B411" i="3" s="1"/>
  <c r="A408" i="3"/>
  <c r="B408" i="3" s="1"/>
  <c r="A405" i="3"/>
  <c r="B405" i="3" s="1"/>
  <c r="A402" i="3"/>
  <c r="B402" i="3" s="1"/>
  <c r="A399" i="3"/>
  <c r="B399" i="3" s="1"/>
  <c r="A396" i="3"/>
  <c r="B396" i="3" s="1"/>
  <c r="A393" i="3"/>
  <c r="B393" i="3" s="1"/>
  <c r="A390" i="3"/>
  <c r="B390" i="3" s="1"/>
  <c r="A387" i="3"/>
  <c r="B387" i="3" s="1"/>
  <c r="A384" i="3"/>
  <c r="B384" i="3" s="1"/>
  <c r="A381" i="3"/>
  <c r="B381" i="3" s="1"/>
  <c r="A378" i="3"/>
  <c r="B378" i="3" s="1"/>
  <c r="A375" i="3"/>
  <c r="B375" i="3" s="1"/>
  <c r="A372" i="3"/>
  <c r="B372" i="3" s="1"/>
  <c r="A369" i="3"/>
  <c r="B369" i="3" s="1"/>
  <c r="A366" i="3"/>
  <c r="B366" i="3" s="1"/>
  <c r="A363" i="3"/>
  <c r="B363" i="3" s="1"/>
  <c r="A360" i="3"/>
  <c r="B360" i="3" s="1"/>
  <c r="A357" i="3"/>
  <c r="B357" i="3" s="1"/>
  <c r="A354" i="3"/>
  <c r="B354" i="3" s="1"/>
  <c r="A351" i="3"/>
  <c r="B351" i="3" s="1"/>
  <c r="A348" i="3"/>
  <c r="B348" i="3" s="1"/>
  <c r="A345" i="3"/>
  <c r="B345" i="3" s="1"/>
  <c r="A342" i="3"/>
  <c r="B342" i="3" s="1"/>
  <c r="A339" i="3"/>
  <c r="B339" i="3" s="1"/>
  <c r="A336" i="3"/>
  <c r="B336" i="3" s="1"/>
  <c r="A333" i="3"/>
  <c r="B333" i="3" s="1"/>
  <c r="A330" i="3"/>
  <c r="B330" i="3" s="1"/>
  <c r="A327" i="3"/>
  <c r="B327" i="3" s="1"/>
  <c r="A324" i="3"/>
  <c r="B324" i="3" s="1"/>
  <c r="A321" i="3"/>
  <c r="B321" i="3" s="1"/>
  <c r="A318" i="3"/>
  <c r="B318" i="3" s="1"/>
  <c r="A315" i="3"/>
  <c r="B315" i="3" s="1"/>
  <c r="A312" i="3"/>
  <c r="B312" i="3" s="1"/>
  <c r="A309" i="3"/>
  <c r="B309" i="3" s="1"/>
  <c r="A306" i="3"/>
  <c r="B306" i="3" s="1"/>
  <c r="A303" i="3"/>
  <c r="B303" i="3" s="1"/>
  <c r="A300" i="3"/>
  <c r="B300" i="3" s="1"/>
  <c r="A297" i="3"/>
  <c r="B297" i="3" s="1"/>
  <c r="A294" i="3"/>
  <c r="B294" i="3" s="1"/>
  <c r="A291" i="3"/>
  <c r="B291" i="3" s="1"/>
  <c r="A288" i="3"/>
  <c r="B288" i="3" s="1"/>
  <c r="A285" i="3"/>
  <c r="B285" i="3" s="1"/>
  <c r="A282" i="3"/>
  <c r="B282" i="3" s="1"/>
  <c r="A279" i="3"/>
  <c r="B279" i="3" s="1"/>
  <c r="A276" i="3"/>
  <c r="B276" i="3" s="1"/>
  <c r="A273" i="3"/>
  <c r="B273" i="3" s="1"/>
  <c r="A270" i="3"/>
  <c r="B270" i="3" s="1"/>
  <c r="A267" i="3"/>
  <c r="B267" i="3" s="1"/>
  <c r="A264" i="3"/>
  <c r="B264" i="3" s="1"/>
  <c r="A261" i="3"/>
  <c r="B261" i="3" s="1"/>
  <c r="A258" i="3"/>
  <c r="B258" i="3" s="1"/>
  <c r="A255" i="3"/>
  <c r="B255" i="3" s="1"/>
  <c r="A252" i="3"/>
  <c r="B252" i="3" s="1"/>
  <c r="A249" i="3"/>
  <c r="B249" i="3" s="1"/>
  <c r="A246" i="3"/>
  <c r="B246" i="3" s="1"/>
  <c r="A243" i="3"/>
  <c r="B243" i="3" s="1"/>
  <c r="A240" i="3"/>
  <c r="B240" i="3" s="1"/>
  <c r="A237" i="3"/>
  <c r="B237" i="3" s="1"/>
  <c r="A234" i="3"/>
  <c r="B234" i="3" s="1"/>
  <c r="A231" i="3"/>
  <c r="B231" i="3" s="1"/>
  <c r="A228" i="3"/>
  <c r="B228" i="3" s="1"/>
  <c r="A225" i="3"/>
  <c r="B225" i="3" s="1"/>
  <c r="A222" i="3"/>
  <c r="B222" i="3" s="1"/>
  <c r="A219" i="3"/>
  <c r="B219" i="3" s="1"/>
  <c r="A216" i="3"/>
  <c r="B216" i="3" s="1"/>
  <c r="A213" i="3"/>
  <c r="B213" i="3" s="1"/>
  <c r="A210" i="3"/>
  <c r="B210" i="3" s="1"/>
  <c r="A207" i="3"/>
  <c r="B207" i="3" s="1"/>
  <c r="A204" i="3"/>
  <c r="B204" i="3" s="1"/>
  <c r="A201" i="3"/>
  <c r="B201" i="3" s="1"/>
  <c r="A198" i="3"/>
  <c r="B198" i="3" s="1"/>
  <c r="A195" i="3"/>
  <c r="B195" i="3" s="1"/>
  <c r="A192" i="3"/>
  <c r="B192" i="3" s="1"/>
  <c r="A189" i="3"/>
  <c r="B189" i="3" s="1"/>
  <c r="A186" i="3"/>
  <c r="B186" i="3" s="1"/>
  <c r="A183" i="3"/>
  <c r="B183" i="3" s="1"/>
  <c r="A180" i="3"/>
  <c r="B180" i="3" s="1"/>
  <c r="A177" i="3"/>
  <c r="B177" i="3" s="1"/>
  <c r="A174" i="3"/>
  <c r="B174" i="3" s="1"/>
  <c r="A171" i="3"/>
  <c r="B171" i="3" s="1"/>
  <c r="A168" i="3"/>
  <c r="B168" i="3" s="1"/>
  <c r="A165" i="3"/>
  <c r="B165" i="3" s="1"/>
  <c r="A162" i="3"/>
  <c r="B162" i="3" s="1"/>
  <c r="A159" i="3"/>
  <c r="B159" i="3" s="1"/>
  <c r="A156" i="3"/>
  <c r="B156" i="3" s="1"/>
  <c r="A153" i="3"/>
  <c r="B153" i="3" s="1"/>
  <c r="A150" i="3"/>
  <c r="B150" i="3" s="1"/>
  <c r="A147" i="3"/>
  <c r="B147" i="3" s="1"/>
  <c r="A144" i="3"/>
  <c r="B144" i="3" s="1"/>
  <c r="A141" i="3"/>
  <c r="B141" i="3" s="1"/>
  <c r="A138" i="3"/>
  <c r="B138" i="3" s="1"/>
  <c r="A135" i="3"/>
  <c r="B135" i="3" s="1"/>
  <c r="A132" i="3"/>
  <c r="B132" i="3" s="1"/>
  <c r="A129" i="3"/>
  <c r="B129" i="3" s="1"/>
  <c r="A126" i="3"/>
  <c r="B126" i="3" s="1"/>
  <c r="A123" i="3"/>
  <c r="B123" i="3" s="1"/>
  <c r="A120" i="3"/>
  <c r="B120" i="3" s="1"/>
  <c r="A117" i="3"/>
  <c r="B117" i="3" s="1"/>
  <c r="A114" i="3"/>
  <c r="B114" i="3" s="1"/>
  <c r="A111" i="3"/>
  <c r="B111" i="3" s="1"/>
  <c r="A108" i="3"/>
  <c r="B108" i="3" s="1"/>
  <c r="A105" i="3"/>
  <c r="B105" i="3" s="1"/>
  <c r="A102" i="3"/>
  <c r="B102" i="3" s="1"/>
  <c r="A99" i="3"/>
  <c r="B99" i="3" s="1"/>
  <c r="A96" i="3"/>
  <c r="B96" i="3" s="1"/>
  <c r="A93" i="3"/>
  <c r="B93" i="3" s="1"/>
  <c r="A90" i="3"/>
  <c r="B90" i="3" s="1"/>
  <c r="A87" i="3"/>
  <c r="B87" i="3" s="1"/>
  <c r="A84" i="3"/>
  <c r="B84" i="3" s="1"/>
  <c r="A81" i="3"/>
  <c r="B81" i="3" s="1"/>
  <c r="A78" i="3"/>
  <c r="B78" i="3" s="1"/>
  <c r="A75" i="3"/>
  <c r="B75" i="3" s="1"/>
  <c r="A72" i="3"/>
  <c r="B72" i="3" s="1"/>
  <c r="A69" i="3"/>
  <c r="B69" i="3" s="1"/>
  <c r="A66" i="3"/>
  <c r="B66" i="3" s="1"/>
  <c r="A63" i="3"/>
  <c r="B63" i="3" s="1"/>
  <c r="A60" i="3"/>
  <c r="B60" i="3" s="1"/>
  <c r="A57" i="3"/>
  <c r="B57" i="3" s="1"/>
  <c r="A54" i="3"/>
  <c r="B54" i="3" s="1"/>
  <c r="A51" i="3"/>
  <c r="B51" i="3" s="1"/>
  <c r="A48" i="3"/>
  <c r="B48" i="3" s="1"/>
  <c r="A45" i="3"/>
  <c r="B45" i="3" s="1"/>
  <c r="A42" i="3"/>
  <c r="B42" i="3" s="1"/>
  <c r="A39" i="3"/>
  <c r="B39" i="3" s="1"/>
  <c r="A36" i="3"/>
  <c r="B36" i="3" s="1"/>
  <c r="A33" i="3"/>
  <c r="B33" i="3" s="1"/>
  <c r="A30" i="3"/>
  <c r="B30" i="3" s="1"/>
  <c r="A27" i="3"/>
  <c r="B27" i="3" s="1"/>
  <c r="A24" i="3"/>
  <c r="B24" i="3" s="1"/>
  <c r="A21" i="3"/>
  <c r="B21" i="3" s="1"/>
  <c r="A18" i="3"/>
  <c r="B18" i="3" s="1"/>
  <c r="A15" i="3"/>
  <c r="B15" i="3" s="1"/>
  <c r="A12" i="3"/>
  <c r="B12" i="3" s="1"/>
  <c r="A9" i="3"/>
  <c r="B9" i="3" s="1"/>
  <c r="A6" i="3"/>
  <c r="B6" i="3" s="1"/>
  <c r="A3" i="3"/>
  <c r="B3" i="3" s="1"/>
</calcChain>
</file>

<file path=xl/sharedStrings.xml><?xml version="1.0" encoding="utf-8"?>
<sst xmlns="http://schemas.openxmlformats.org/spreadsheetml/2006/main" count="9080" uniqueCount="4235">
  <si>
    <t>Nombre</t>
  </si>
  <si>
    <t>Apellido</t>
  </si>
  <si>
    <t>WhatsApp</t>
  </si>
  <si>
    <t>#Orden</t>
  </si>
  <si>
    <t>Pregunta 1</t>
  </si>
  <si>
    <t>Pregunta 2</t>
  </si>
  <si>
    <t>Click Google</t>
  </si>
  <si>
    <t>Premio Entregado por Asesor</t>
  </si>
  <si>
    <t>Fecha Premio Entregado</t>
  </si>
  <si>
    <t>Taller</t>
  </si>
  <si>
    <t>Referencia</t>
  </si>
  <si>
    <t>Javier</t>
  </si>
  <si>
    <t>Bueno</t>
  </si>
  <si>
    <t>Buena</t>
  </si>
  <si>
    <t>Clic</t>
  </si>
  <si>
    <t>Juan Manuel</t>
  </si>
  <si>
    <t>Daniela</t>
  </si>
  <si>
    <t>Miguel Angel</t>
  </si>
  <si>
    <t>Christopher</t>
  </si>
  <si>
    <t>Diego</t>
  </si>
  <si>
    <t>Oscar</t>
  </si>
  <si>
    <t>Andres Felipe</t>
  </si>
  <si>
    <t>Regular</t>
  </si>
  <si>
    <t>Inicio</t>
  </si>
  <si>
    <t>Mateo</t>
  </si>
  <si>
    <t>Carlos Augusto</t>
  </si>
  <si>
    <t>Julian</t>
  </si>
  <si>
    <t>Juan</t>
  </si>
  <si>
    <t>Ariza</t>
  </si>
  <si>
    <t>Esteban</t>
  </si>
  <si>
    <t>Monsalve</t>
  </si>
  <si>
    <t>Hola</t>
  </si>
  <si>
    <t>Diana Carolina</t>
  </si>
  <si>
    <t>Nicolas</t>
  </si>
  <si>
    <t>David salamanca</t>
  </si>
  <si>
    <t>Juan Sebastian</t>
  </si>
  <si>
    <t>Luisa Fernanda</t>
  </si>
  <si>
    <t>Hernando</t>
  </si>
  <si>
    <t>Juan David</t>
  </si>
  <si>
    <t>Muy buena</t>
  </si>
  <si>
    <t>Juliana</t>
  </si>
  <si>
    <t>Quintero</t>
  </si>
  <si>
    <t>Jhon Alexander</t>
  </si>
  <si>
    <t>Cortes</t>
  </si>
  <si>
    <t>Mala</t>
  </si>
  <si>
    <t>Daniel</t>
  </si>
  <si>
    <t>Cardona</t>
  </si>
  <si>
    <t>Manuel Fernando</t>
  </si>
  <si>
    <t>Alejandro</t>
  </si>
  <si>
    <t>Paola Andrea</t>
  </si>
  <si>
    <t>Javier Mauricio</t>
  </si>
  <si>
    <t>Carlos</t>
  </si>
  <si>
    <t>Juan Camilo</t>
  </si>
  <si>
    <t>Luis</t>
  </si>
  <si>
    <t>Silva</t>
  </si>
  <si>
    <t>Juan Felipe</t>
  </si>
  <si>
    <t>Alexander</t>
  </si>
  <si>
    <t>Andrea</t>
  </si>
  <si>
    <t>Bayron Coronado</t>
  </si>
  <si>
    <t>Juan Pablo</t>
  </si>
  <si>
    <t>Andres Mauricio</t>
  </si>
  <si>
    <t>Buen servicio</t>
  </si>
  <si>
    <t>OrdoÑez</t>
  </si>
  <si>
    <t>Andres</t>
  </si>
  <si>
    <t>Excelente servicio</t>
  </si>
  <si>
    <t>Gamez</t>
  </si>
  <si>
    <t>Santiago</t>
  </si>
  <si>
    <t>Sebastian</t>
  </si>
  <si>
    <t>Castiblanco</t>
  </si>
  <si>
    <t>Juan Esteban</t>
  </si>
  <si>
    <t>Sas</t>
  </si>
  <si>
    <t>Malo</t>
  </si>
  <si>
    <t>Maria Camila</t>
  </si>
  <si>
    <t>Garcia</t>
  </si>
  <si>
    <t>Jennifer Salamanca</t>
  </si>
  <si>
    <t>Camila</t>
  </si>
  <si>
    <t>Valentina</t>
  </si>
  <si>
    <t>Vanessa</t>
  </si>
  <si>
    <t>Eduardo</t>
  </si>
  <si>
    <t>Sofia</t>
  </si>
  <si>
    <t>Arias</t>
  </si>
  <si>
    <t>Jose Manuel</t>
  </si>
  <si>
    <t>Paola prieto</t>
  </si>
  <si>
    <t>Andres David</t>
  </si>
  <si>
    <t>William</t>
  </si>
  <si>
    <t>Rodriguez</t>
  </si>
  <si>
    <t>Carlos Andres</t>
  </si>
  <si>
    <t>Sanchez</t>
  </si>
  <si>
    <t>Natalia</t>
  </si>
  <si>
    <t>Carlos Alberto</t>
  </si>
  <si>
    <t>Angie Montoya</t>
  </si>
  <si>
    <t>Mauricio Antonio</t>
  </si>
  <si>
    <t>Maria Fernanda</t>
  </si>
  <si>
    <t>Jessica</t>
  </si>
  <si>
    <t>Luis Eduardo</t>
  </si>
  <si>
    <t>Francisco Javier</t>
  </si>
  <si>
    <t>Jorge</t>
  </si>
  <si>
    <t>Christian Dario</t>
  </si>
  <si>
    <t>Christian</t>
  </si>
  <si>
    <t>Vargas</t>
  </si>
  <si>
    <t>Caicedo</t>
  </si>
  <si>
    <t>Luis Alberto</t>
  </si>
  <si>
    <t>Patricia</t>
  </si>
  <si>
    <t>Perez</t>
  </si>
  <si>
    <t>Angie Lorena</t>
  </si>
  <si>
    <t>Luis Alejandro</t>
  </si>
  <si>
    <t>Armando</t>
  </si>
  <si>
    <t>Blanco Torres</t>
  </si>
  <si>
    <t>Camilo</t>
  </si>
  <si>
    <t>Camilo Andres</t>
  </si>
  <si>
    <t>Juan Carlos</t>
  </si>
  <si>
    <t>Cristian</t>
  </si>
  <si>
    <t>Orjuela</t>
  </si>
  <si>
    <t>Miguel</t>
  </si>
  <si>
    <t>Fredy</t>
  </si>
  <si>
    <t>Jairo</t>
  </si>
  <si>
    <t>Jorge Eduardo</t>
  </si>
  <si>
    <t>Tafur</t>
  </si>
  <si>
    <t>Tatiana</t>
  </si>
  <si>
    <t>Jorge Andres</t>
  </si>
  <si>
    <t>Todo muy bien</t>
  </si>
  <si>
    <t>Cristian Camilo</t>
  </si>
  <si>
    <t>Leonardo</t>
  </si>
  <si>
    <t>Salazar</t>
  </si>
  <si>
    <t>Maria Alejandra</t>
  </si>
  <si>
    <t>Jose</t>
  </si>
  <si>
    <t>Fabian</t>
  </si>
  <si>
    <t>Adriana</t>
  </si>
  <si>
    <t>Manuel David</t>
  </si>
  <si>
    <t>Muy bien</t>
  </si>
  <si>
    <t>Felipe</t>
  </si>
  <si>
    <t>Julio Cesar</t>
  </si>
  <si>
    <t>Ximena</t>
  </si>
  <si>
    <t>Garcia Morales</t>
  </si>
  <si>
    <t>Lina MarÍa</t>
  </si>
  <si>
    <t>Julian Andres</t>
  </si>
  <si>
    <t>Julian David</t>
  </si>
  <si>
    <t>Sergio</t>
  </si>
  <si>
    <t>Martinez</t>
  </si>
  <si>
    <t>Chaves</t>
  </si>
  <si>
    <t>Diego Alejandro</t>
  </si>
  <si>
    <t>Eduard</t>
  </si>
  <si>
    <t>Ana Milena</t>
  </si>
  <si>
    <t>Luis Fernando</t>
  </si>
  <si>
    <t>Linares</t>
  </si>
  <si>
    <t>Carolina</t>
  </si>
  <si>
    <t>Laura</t>
  </si>
  <si>
    <t>Avila</t>
  </si>
  <si>
    <t>S A S</t>
  </si>
  <si>
    <t>Milena</t>
  </si>
  <si>
    <t>Catalina</t>
  </si>
  <si>
    <t>Velasco</t>
  </si>
  <si>
    <t>David</t>
  </si>
  <si>
    <t>Lopez Jaramillo</t>
  </si>
  <si>
    <t>Claudia</t>
  </si>
  <si>
    <t>Pedraza</t>
  </si>
  <si>
    <t>Cesar Agusto</t>
  </si>
  <si>
    <t>Jhonatan Stiven</t>
  </si>
  <si>
    <t>Igua Ospina</t>
  </si>
  <si>
    <t>Leidy Johanna</t>
  </si>
  <si>
    <t>Alejandra</t>
  </si>
  <si>
    <t>Herrera</t>
  </si>
  <si>
    <t>Diego Mauricio</t>
  </si>
  <si>
    <t>Juan Fernando</t>
  </si>
  <si>
    <t>Lina</t>
  </si>
  <si>
    <t>Excelente atención</t>
  </si>
  <si>
    <t>German</t>
  </si>
  <si>
    <t>Garzon</t>
  </si>
  <si>
    <t>Sandra Milena</t>
  </si>
  <si>
    <t>Samuel</t>
  </si>
  <si>
    <t>Carlos Felipe</t>
  </si>
  <si>
    <t>Jose Alejandro</t>
  </si>
  <si>
    <t>Gustavo</t>
  </si>
  <si>
    <t>Jimenez</t>
  </si>
  <si>
    <t>Excelente</t>
  </si>
  <si>
    <t>Manuel</t>
  </si>
  <si>
    <t>Alexandra</t>
  </si>
  <si>
    <t>Hugo</t>
  </si>
  <si>
    <t>Jorge Luis</t>
  </si>
  <si>
    <t>Paula Andrea</t>
  </si>
  <si>
    <t>Mendoza</t>
  </si>
  <si>
    <t>Suarez</t>
  </si>
  <si>
    <t>Exelente</t>
  </si>
  <si>
    <t>Ricardo</t>
  </si>
  <si>
    <t>NiÑo</t>
  </si>
  <si>
    <t>Lina Marcela</t>
  </si>
  <si>
    <t>David Salamanca</t>
  </si>
  <si>
    <t>Bernal</t>
  </si>
  <si>
    <t>PeÑa</t>
  </si>
  <si>
    <t>Barrera</t>
  </si>
  <si>
    <t>Hernandez</t>
  </si>
  <si>
    <t>Jenny Carolina</t>
  </si>
  <si>
    <t>Javier Alberto</t>
  </si>
  <si>
    <t>Carlos Mauricio</t>
  </si>
  <si>
    <t>Gomez Gomez</t>
  </si>
  <si>
    <t>Juan Jose</t>
  </si>
  <si>
    <t>Liliana</t>
  </si>
  <si>
    <t>Valencia</t>
  </si>
  <si>
    <t>Mario Fernando</t>
  </si>
  <si>
    <t>Sandra Patricia</t>
  </si>
  <si>
    <t>Pablo Andres</t>
  </si>
  <si>
    <t>Gonzalez</t>
  </si>
  <si>
    <t>Parra</t>
  </si>
  <si>
    <t>Gil</t>
  </si>
  <si>
    <t>Laura Camila</t>
  </si>
  <si>
    <t>Sara</t>
  </si>
  <si>
    <t>Daniel Felipe</t>
  </si>
  <si>
    <t>Gabriela</t>
  </si>
  <si>
    <t>LondoÑo Arango</t>
  </si>
  <si>
    <t>Laura Carolina</t>
  </si>
  <si>
    <t>Guevara</t>
  </si>
  <si>
    <t>Buenas atención</t>
  </si>
  <si>
    <t>Daniel Enrique</t>
  </si>
  <si>
    <t>Oscar Javier</t>
  </si>
  <si>
    <t>Johan Sebastian</t>
  </si>
  <si>
    <t>Ruiz</t>
  </si>
  <si>
    <t>Meneses</t>
  </si>
  <si>
    <t>Muy buen servicio</t>
  </si>
  <si>
    <t>Bonilla</t>
  </si>
  <si>
    <t>Jenny Paola</t>
  </si>
  <si>
    <t>Aristizabal Sierra</t>
  </si>
  <si>
    <t>Correa</t>
  </si>
  <si>
    <t>Medina</t>
  </si>
  <si>
    <t>Geraldine</t>
  </si>
  <si>
    <t>Aguilar</t>
  </si>
  <si>
    <t>Castillo</t>
  </si>
  <si>
    <t>Muy bueno</t>
  </si>
  <si>
    <t>Trujillo</t>
  </si>
  <si>
    <t>Gracias</t>
  </si>
  <si>
    <t>Marcela</t>
  </si>
  <si>
    <t>Castro</t>
  </si>
  <si>
    <t>Raul Alejandro</t>
  </si>
  <si>
    <t>Exelente servicio</t>
  </si>
  <si>
    <t>Carvajal</t>
  </si>
  <si>
    <t>Francisco</t>
  </si>
  <si>
    <t>Oscar Ivan</t>
  </si>
  <si>
    <t>Jose Luis</t>
  </si>
  <si>
    <t>Johan</t>
  </si>
  <si>
    <t>Zambrano  Madera</t>
  </si>
  <si>
    <t>Lozano</t>
  </si>
  <si>
    <t>Jhon Fredy</t>
  </si>
  <si>
    <t>Laura Jimena</t>
  </si>
  <si>
    <t>Ruben Dario</t>
  </si>
  <si>
    <t>Todo excelente</t>
  </si>
  <si>
    <t>David Alejandro</t>
  </si>
  <si>
    <t>Gutierrez</t>
  </si>
  <si>
    <t>Jonathan</t>
  </si>
  <si>
    <t>Ceballos</t>
  </si>
  <si>
    <t>Victor Manuel</t>
  </si>
  <si>
    <t>Diaz</t>
  </si>
  <si>
    <t>Jaime Andres</t>
  </si>
  <si>
    <t>Santos</t>
  </si>
  <si>
    <t>Jorge Alberto</t>
  </si>
  <si>
    <t>Jhon</t>
  </si>
  <si>
    <t>Edwin Alexander</t>
  </si>
  <si>
    <t>Maira Alejandra</t>
  </si>
  <si>
    <t>Sergio David</t>
  </si>
  <si>
    <t>.</t>
  </si>
  <si>
    <t>Carlos Arturo</t>
  </si>
  <si>
    <t>Andrade Buendia</t>
  </si>
  <si>
    <t>Diana Milena</t>
  </si>
  <si>
    <t>Excelente servicio 👍</t>
  </si>
  <si>
    <t>Zambrano</t>
  </si>
  <si>
    <t>Benavides</t>
  </si>
  <si>
    <t>Alvaro Javier</t>
  </si>
  <si>
    <t>Cesar Camilo</t>
  </si>
  <si>
    <t>William Alexander</t>
  </si>
  <si>
    <t>Liseth</t>
  </si>
  <si>
    <t>Moreno Rodriguez</t>
  </si>
  <si>
    <t>Stefany</t>
  </si>
  <si>
    <t>Ingrid Paola</t>
  </si>
  <si>
    <t>Laura Sofia</t>
  </si>
  <si>
    <t>Rozo</t>
  </si>
  <si>
    <t>Cristian David</t>
  </si>
  <si>
    <t>Julian Santiago</t>
  </si>
  <si>
    <t>Naufar</t>
  </si>
  <si>
    <t>Guevara Correa</t>
  </si>
  <si>
    <t>Espitia</t>
  </si>
  <si>
    <t>Valderrama</t>
  </si>
  <si>
    <t>Gabriel</t>
  </si>
  <si>
    <t>Ana</t>
  </si>
  <si>
    <t>Leon</t>
  </si>
  <si>
    <t>Astrid</t>
  </si>
  <si>
    <t>Morales Fonseca</t>
  </si>
  <si>
    <t>Ramirez Gomez</t>
  </si>
  <si>
    <t>Solano</t>
  </si>
  <si>
    <t>David Esteban</t>
  </si>
  <si>
    <t>Jose David</t>
  </si>
  <si>
    <t>Alvaro Alexander</t>
  </si>
  <si>
    <t>Cristhian David</t>
  </si>
  <si>
    <t>Oscar Andres</t>
  </si>
  <si>
    <t>Gaviria</t>
  </si>
  <si>
    <t>Camila Andrea</t>
  </si>
  <si>
    <t>Wilson Andres</t>
  </si>
  <si>
    <t>Karen Juliana</t>
  </si>
  <si>
    <t>Gonzalez Suarez</t>
  </si>
  <si>
    <t>Hector Andres</t>
  </si>
  <si>
    <t>Claudia Johanna</t>
  </si>
  <si>
    <t>Linares Rodriguez</t>
  </si>
  <si>
    <t>MuÑoz Montoya</t>
  </si>
  <si>
    <t>Diana</t>
  </si>
  <si>
    <t>Agudelo</t>
  </si>
  <si>
    <t>Jesus</t>
  </si>
  <si>
    <t>Delgado</t>
  </si>
  <si>
    <t>Daniel Fernando</t>
  </si>
  <si>
    <t>Juliana Andrea</t>
  </si>
  <si>
    <t>Alvaro</t>
  </si>
  <si>
    <t>Excelencia</t>
  </si>
  <si>
    <t>GonzÁlez</t>
  </si>
  <si>
    <t>Lopera Munera</t>
  </si>
  <si>
    <t>Alfonso</t>
  </si>
  <si>
    <t>Cristian Felipe</t>
  </si>
  <si>
    <t>Beltran Parra</t>
  </si>
  <si>
    <t>Raigoza Valencia</t>
  </si>
  <si>
    <t>Zapata</t>
  </si>
  <si>
    <t>Angel</t>
  </si>
  <si>
    <t>Ortega</t>
  </si>
  <si>
    <t>Daniel Leonardo</t>
  </si>
  <si>
    <t>Lubin</t>
  </si>
  <si>
    <t>Vergara  Vasquez</t>
  </si>
  <si>
    <t>Jeronimo</t>
  </si>
  <si>
    <t>Tiffany</t>
  </si>
  <si>
    <t>Pisciotti Bayter</t>
  </si>
  <si>
    <t>Laura Maria</t>
  </si>
  <si>
    <t>Carlos Enrique</t>
  </si>
  <si>
    <t>Karen</t>
  </si>
  <si>
    <t>Ramirez Zamora</t>
  </si>
  <si>
    <t>Carla Vanessa</t>
  </si>
  <si>
    <t>Gonzalez Giraldo</t>
  </si>
  <si>
    <t>Muy buen acompañamiento postventa</t>
  </si>
  <si>
    <t>MuÑoz Olaya</t>
  </si>
  <si>
    <t>Moreno Daza</t>
  </si>
  <si>
    <t>Yamir</t>
  </si>
  <si>
    <t>Gonzalez Bermudez</t>
  </si>
  <si>
    <t>Montoya Tovar</t>
  </si>
  <si>
    <t>Alfonso Junior</t>
  </si>
  <si>
    <t>Perez Amaris</t>
  </si>
  <si>
    <t>Carlos Fernando</t>
  </si>
  <si>
    <t>Ortiz Pineda</t>
  </si>
  <si>
    <t>Casanova</t>
  </si>
  <si>
    <t>https://manybot-files.s3.eu-central-1.amazonaws.com/530239/wa/2025/08/01/original_63315bbe808ee42b31f89af8a7a9b056.jpeg</t>
  </si>
  <si>
    <t>Thomas Steven</t>
  </si>
  <si>
    <t>Sepulveda</t>
  </si>
  <si>
    <t>Me atendieron muy bien, la informacion dada fue clara y precisa</t>
  </si>
  <si>
    <t>https://manybot-files.s3.eu-central-1.amazonaws.com/530239/wa/2025/08/01/original_ae5f50e84534c06189e2dab41592def7.jpeg</t>
  </si>
  <si>
    <t>Pulido Avila</t>
  </si>
  <si>
    <t>Bermudez Cespedes</t>
  </si>
  <si>
    <t>Ciro Esteban</t>
  </si>
  <si>
    <t>Gulloso CardeÑo</t>
  </si>
  <si>
    <t>Yeison Andres</t>
  </si>
  <si>
    <t>Morales Marin</t>
  </si>
  <si>
    <t>Manuel Dario</t>
  </si>
  <si>
    <t>Junca Arias</t>
  </si>
  <si>
    <t>Todo ok</t>
  </si>
  <si>
    <t>Manrique Torres</t>
  </si>
  <si>
    <t>Yuliana</t>
  </si>
  <si>
    <t>Garcia Soler</t>
  </si>
  <si>
    <t>Miguel Adolfo</t>
  </si>
  <si>
    <t>Ochoa Jimenez</t>
  </si>
  <si>
    <t>En la tienda de cedritos la señora es muy querída al contrario de las personas del taller</t>
  </si>
  <si>
    <t>Alicia Vargas</t>
  </si>
  <si>
    <t>Cristian Giovanny</t>
  </si>
  <si>
    <t>Sierra Matamoros</t>
  </si>
  <si>
    <t>Sanchez Bernal</t>
  </si>
  <si>
    <t>Mucha demora, para entregar servicio, me dijeron 3 días y duró 5 días para cambio pastillas y ajuste. Me la entregaron rayada en el mástil...no lo tenía. Lo pensaré para llevarla de nuevo a sus talleres</t>
  </si>
  <si>
    <t>Wilson Fabian</t>
  </si>
  <si>
    <t>Garavito Cisneros</t>
  </si>
  <si>
    <t>Hasta el momento todo bien</t>
  </si>
  <si>
    <t>Melissa  Julieth</t>
  </si>
  <si>
    <t>Bustamante Popayan</t>
  </si>
  <si>
    <t>Michel</t>
  </si>
  <si>
    <t>Karol Lizeth</t>
  </si>
  <si>
    <t>Becerra Garzon</t>
  </si>
  <si>
    <t>Pulido Perez</t>
  </si>
  <si>
    <t>Luigi Simon</t>
  </si>
  <si>
    <t>Moreno Vargas</t>
  </si>
  <si>
    <t>Bastidas</t>
  </si>
  <si>
    <t>Moya Ruiz</t>
  </si>
  <si>
    <t>David Josue</t>
  </si>
  <si>
    <t>Barrera Saldarriaga</t>
  </si>
  <si>
    <t>Ariza Nieto</t>
  </si>
  <si>
    <t>https://manybot-files.s3.eu-central-1.amazonaws.com/530239/wa/2025/08/04/original_0e9a88788f18f9fd1ad6d9c09ea4fbc1.jpeg</t>
  </si>
  <si>
    <t>UrueÑa Urrego</t>
  </si>
  <si>
    <t>NicolÁs Emilio</t>
  </si>
  <si>
    <t>Florez HernÁndez</t>
  </si>
  <si>
    <t>Espino</t>
  </si>
  <si>
    <t>Rojas Vargas</t>
  </si>
  <si>
    <t>Acosta Marin</t>
  </si>
  <si>
    <t>Arango Tamayo</t>
  </si>
  <si>
    <t>Sandra Paola</t>
  </si>
  <si>
    <t>Duran Maldonado</t>
  </si>
  <si>
    <t>https://manybot-files.s3.eu-central-1.amazonaws.com/530239/wa/2025/08/05/original_48d6629b8922716ceb4662d527a6e227.jpeg</t>
  </si>
  <si>
    <t>Rivera Gutierrez</t>
  </si>
  <si>
    <t>Pulido Duchamp</t>
  </si>
  <si>
    <t>Garcia Vega</t>
  </si>
  <si>
    <t>Delgado OÑate</t>
  </si>
  <si>
    <t>Ruben Andres</t>
  </si>
  <si>
    <t>Aguilera Carcamo</t>
  </si>
  <si>
    <t>Juan Cristo</t>
  </si>
  <si>
    <t>Martin Sanchez</t>
  </si>
  <si>
    <t>El arreglo super rapido. El trato exquisito</t>
  </si>
  <si>
    <t>Fabian Alberto</t>
  </si>
  <si>
    <t>Rosero Hormaza</t>
  </si>
  <si>
    <t>Maria Valentina</t>
  </si>
  <si>
    <t>Jose Esteban</t>
  </si>
  <si>
    <t>Gil Monrroy</t>
  </si>
  <si>
    <t>Sandra Carolina</t>
  </si>
  <si>
    <t>Gomez Duarte</t>
  </si>
  <si>
    <t>Diaz Campos</t>
  </si>
  <si>
    <t>Rico Caicedo</t>
  </si>
  <si>
    <t>Los tiempos de respuesta no cumplieron con la entrega, dos días más de los indicados se demoraron, me entregaron sin ajustar el manubrio y al salir fue peligroso que se bajo, se mantiene un sonido en la patineta extraño</t>
  </si>
  <si>
    <t>Pinto Bulla</t>
  </si>
  <si>
    <t>https://manybot-files.s3.eu-central-1.amazonaws.com/530239/wa/2025/08/06/original_957fb1991fc1cac2f79040068b98fd33.jpeg</t>
  </si>
  <si>
    <t>Jhilmer</t>
  </si>
  <si>
    <t>Ramirez Godoy</t>
  </si>
  <si>
    <t>Maria Carolina</t>
  </si>
  <si>
    <t>Salcedo Naizir</t>
  </si>
  <si>
    <t>Giraldo Duque</t>
  </si>
  <si>
    <t>Claro Manuel</t>
  </si>
  <si>
    <t>Cotes</t>
  </si>
  <si>
    <t>Ivonne Maritza</t>
  </si>
  <si>
    <t>Nieto Tovar</t>
  </si>
  <si>
    <t>Ivan David</t>
  </si>
  <si>
    <t>Giraldo Ramirez</t>
  </si>
  <si>
    <t>Mendoza Quevedo</t>
  </si>
  <si>
    <t>Luis Alfredo</t>
  </si>
  <si>
    <t>Rojas Herrera</t>
  </si>
  <si>
    <t>Maria Eugenia</t>
  </si>
  <si>
    <t>LÓpez TobÓn</t>
  </si>
  <si>
    <t>Casp</t>
  </si>
  <si>
    <t>Entertainment</t>
  </si>
  <si>
    <t>Bacca</t>
  </si>
  <si>
    <t>FabiÁn Guillermo</t>
  </si>
  <si>
    <t>Pinilla RodrÍguez</t>
  </si>
  <si>
    <t>Fueron muy ágiles en su atención, y muy amables en todo el proceso</t>
  </si>
  <si>
    <t>https://manybot-files.s3.eu-central-1.amazonaws.com/530239/wa/2025/08/21/original_0228bcfbd7310573f358a9770bfeb9b1.jpeg</t>
  </si>
  <si>
    <t>Talhia Fernanda</t>
  </si>
  <si>
    <t>Martinez Ibata</t>
  </si>
  <si>
    <t>Amaya Linares</t>
  </si>
  <si>
    <t>Por el motivo que la lleve no lo solucionaron , ya la estoy volviendo a llevar pero ya es la tercera vez</t>
  </si>
  <si>
    <t>Miguel Ángel Amaya linares</t>
  </si>
  <si>
    <t>Ingrit Mayerly</t>
  </si>
  <si>
    <t>Ballen PeÑa</t>
  </si>
  <si>
    <t>Lopez Gordillo</t>
  </si>
  <si>
    <t>Todo bien</t>
  </si>
  <si>
    <t>Bobadilla Hernandez</t>
  </si>
  <si>
    <t>Excelente servicio, la patineta quedó perfecta muy recomendados</t>
  </si>
  <si>
    <t>https://manybot-files.s3.eu-central-1.amazonaws.com/530239/wa/2025/08/08/original_f57201f974c61afe89a65f8024fedf89.jpeg</t>
  </si>
  <si>
    <t>Eva Sandrith</t>
  </si>
  <si>
    <t>Ortiz Pacheco</t>
  </si>
  <si>
    <t>Adriana Marcela</t>
  </si>
  <si>
    <t>NuÑez Sandoval</t>
  </si>
  <si>
    <t>Leon  Valbuena</t>
  </si>
  <si>
    <t>Claudia Jimena</t>
  </si>
  <si>
    <t>Palacios Bernal</t>
  </si>
  <si>
    <t>Henao Castrillon</t>
  </si>
  <si>
    <t>Liberato Chacon</t>
  </si>
  <si>
    <t>Herrera Escobar</t>
  </si>
  <si>
    <t>Jhoan Sebastian</t>
  </si>
  <si>
    <t>Fajardo CalderÓn</t>
  </si>
  <si>
    <t>Lozano Galindo</t>
  </si>
  <si>
    <t>Monica Alejandra</t>
  </si>
  <si>
    <t>Orjuela Prieto</t>
  </si>
  <si>
    <t>Muy buen  servicio , todos muy amables</t>
  </si>
  <si>
    <t>Gonzalez Morales</t>
  </si>
  <si>
    <t>Giovanny</t>
  </si>
  <si>
    <t>CalderÓn AragÓn</t>
  </si>
  <si>
    <t>No dan la información completa y/o de manera adecuada en la postventa, para la venta todo perfecto pero luego no es así</t>
  </si>
  <si>
    <t>Herrera Camelo</t>
  </si>
  <si>
    <t>John Fredy</t>
  </si>
  <si>
    <t>Castellanos Delgado</t>
  </si>
  <si>
    <t>Falabella</t>
  </si>
  <si>
    <t>Suba</t>
  </si>
  <si>
    <t>PeÑa Pinilla</t>
  </si>
  <si>
    <t>Milton David</t>
  </si>
  <si>
    <t>Ortiz Romero</t>
  </si>
  <si>
    <t>Serna</t>
  </si>
  <si>
    <t>Fiorella</t>
  </si>
  <si>
    <t>Verbel Merndoza</t>
  </si>
  <si>
    <t>Saavedra Agudelo</t>
  </si>
  <si>
    <t>Efectivo el servicio</t>
  </si>
  <si>
    <t>https://manybot-files.s3.eu-central-1.amazonaws.com/530239/wa/2025/08/11/original_ddd1c943b82af87173ba935c473eeedd.jpeg</t>
  </si>
  <si>
    <t>Emmanuel</t>
  </si>
  <si>
    <t>Suarez Cortes</t>
  </si>
  <si>
    <t>Muy buen trabajo de impermeabilizacion, pero la energía de las dos asesoras deja mucho que desear</t>
  </si>
  <si>
    <t>MontaÑez Ayala</t>
  </si>
  <si>
    <t>Leon Hernandez</t>
  </si>
  <si>
    <t>Laura Jazmin</t>
  </si>
  <si>
    <t>Martinez Rozo</t>
  </si>
  <si>
    <t>https://manybot-files.s3.eu-central-1.amazonaws.com/530239/wa/2025/08/11/original_12223ea875cb1ac1b2e28735be397a20.jpeg</t>
  </si>
  <si>
    <t>B &amp; P Ingenieria En</t>
  </si>
  <si>
    <t>Tratamiento  De Aguas S.a.s</t>
  </si>
  <si>
    <t>Excelente, la mejor</t>
  </si>
  <si>
    <t>Vasquez Vahos</t>
  </si>
  <si>
    <t>Vargas Perdomo</t>
  </si>
  <si>
    <t>Danna Liceth</t>
  </si>
  <si>
    <t>Reyes Viviescas</t>
  </si>
  <si>
    <t>Hernan Mauricio</t>
  </si>
  <si>
    <t>Puyo Gomez</t>
  </si>
  <si>
    <t>Victor Hugo</t>
  </si>
  <si>
    <t>Ramos Carabali</t>
  </si>
  <si>
    <t>Eficiencia</t>
  </si>
  <si>
    <t>https://manybot-files.s3.eu-central-1.amazonaws.com/530239/wa/2025/08/11/original_62364709a9012454ed81a5b9ad7e2c1c.jpeg</t>
  </si>
  <si>
    <t>Ellis Sandoval</t>
  </si>
  <si>
    <t>Ramirez Solano</t>
  </si>
  <si>
    <t>Martha Patricia</t>
  </si>
  <si>
    <t>Escobar Ruiz</t>
  </si>
  <si>
    <t>Rouvier</t>
  </si>
  <si>
    <t>Laura Marcela</t>
  </si>
  <si>
    <t>BolaÑos Lopez</t>
  </si>
  <si>
    <t>Jhon Eferson</t>
  </si>
  <si>
    <t>Osorio Ballen</t>
  </si>
  <si>
    <t>Rubio Caballero</t>
  </si>
  <si>
    <t>Paola Ximena</t>
  </si>
  <si>
    <t>Rodriguez MuÑoz</t>
  </si>
  <si>
    <t>Grillo Zambrano</t>
  </si>
  <si>
    <t>Maria Angelica</t>
  </si>
  <si>
    <t>Fernandez Yate</t>
  </si>
  <si>
    <t>Yenci Rocio</t>
  </si>
  <si>
    <t>Que decepción la verdad pensé que le iban a hacer el mantenimiento en general pero la entregaron igual que como la traje</t>
  </si>
  <si>
    <t>Serna Bedoya</t>
  </si>
  <si>
    <t>Sanchez Sanchez</t>
  </si>
  <si>
    <t>Imporatante que le entreguen con carga la moto, ps me tocó buscar donde cargarla…… no me gustó ese detalle</t>
  </si>
  <si>
    <t>Jorge Antonio</t>
  </si>
  <si>
    <t>Centeno Gamez</t>
  </si>
  <si>
    <t>Buen servicio y pronta atención en el taller</t>
  </si>
  <si>
    <t>Victoria Eugenia</t>
  </si>
  <si>
    <t>Farfan Lasso</t>
  </si>
  <si>
    <t>Iker Javier</t>
  </si>
  <si>
    <t>Lopez NiÑo</t>
  </si>
  <si>
    <t>Muy buen servicio y los productos  excelentes</t>
  </si>
  <si>
    <t>Business Humanitarian Law Firm</t>
  </si>
  <si>
    <t>Maria Helena</t>
  </si>
  <si>
    <t>Farfan Triana</t>
  </si>
  <si>
    <t>Estaba impermeabilizando la patineta, al ir por ella le habían rayado todo el mástil, lo cambiaron, pero la patineta no tenía ni un día y me la querían entregar así</t>
  </si>
  <si>
    <t>Paez Rojas</t>
  </si>
  <si>
    <t>Marlio</t>
  </si>
  <si>
    <t>Quintero Osorio</t>
  </si>
  <si>
    <t>Moises David</t>
  </si>
  <si>
    <t>Alzate Bermudes</t>
  </si>
  <si>
    <t>AvendaÑo Bustos</t>
  </si>
  <si>
    <t>Oscar Fernan</t>
  </si>
  <si>
    <t>Poblador Moreno</t>
  </si>
  <si>
    <t>https://manybot-files.s3.eu-central-1.amazonaws.com/530239/wa/2025/08/12/original_21da2e12c5c1700cdbf07d9b2dd391d4.jpeg</t>
  </si>
  <si>
    <t>Ninson</t>
  </si>
  <si>
    <t>Lopez Campillo</t>
  </si>
  <si>
    <t>Irbing Kamal</t>
  </si>
  <si>
    <t>Panesso Diaz</t>
  </si>
  <si>
    <t>Cano Alzate</t>
  </si>
  <si>
    <t>Yankli Emiro</t>
  </si>
  <si>
    <t>Perozo Mendoza</t>
  </si>
  <si>
    <t>Edilberto</t>
  </si>
  <si>
    <t>Amado</t>
  </si>
  <si>
    <t>Andres Stiven</t>
  </si>
  <si>
    <t>Gomez Tegua</t>
  </si>
  <si>
    <t>https://manybot-files.s3.eu-central-1.amazonaws.com/530239/wa/2025/08/13/original_76c035b0b72aa539f401645a78d79897.jpeg</t>
  </si>
  <si>
    <t>Buen servicio, coherente con sus garantías</t>
  </si>
  <si>
    <t>Rojas Cavanzo</t>
  </si>
  <si>
    <t>Escobar Arbelaez</t>
  </si>
  <si>
    <t>Naranjo Reira</t>
  </si>
  <si>
    <t>Erika</t>
  </si>
  <si>
    <t>Ardila Greiff</t>
  </si>
  <si>
    <t>Denilson</t>
  </si>
  <si>
    <t>Bello Penagos</t>
  </si>
  <si>
    <t>Diaz Pinto</t>
  </si>
  <si>
    <t>Jeison Javier</t>
  </si>
  <si>
    <t>Morales Suarez</t>
  </si>
  <si>
    <t>Daniel Andres</t>
  </si>
  <si>
    <t>Santamaria Ardila</t>
  </si>
  <si>
    <t>Nohora Estella</t>
  </si>
  <si>
    <t>Romero Avila</t>
  </si>
  <si>
    <t>Valbuena Abogados</t>
  </si>
  <si>
    <t>Beltran</t>
  </si>
  <si>
    <t>PatiÑo Chaves</t>
  </si>
  <si>
    <t>Excelente experiencia con el almacén Minca. Desde el primer momento recibí un trato amable, profesional y rápido. La comunicación fue clara, el proceso de entrega cumplió con lo acordado y la atención al cliente fue impecable. Da gusto encontrar lugares que se preocupan por brindar un servicio de calidad. ¡Totalmente recomendados!</t>
  </si>
  <si>
    <t>Llano Duque</t>
  </si>
  <si>
    <t>Excelente trabajo de los asesores y las personas de mantenimiento, excelente servicio, muy prestas a explicar todo con claridad sobre la patineta</t>
  </si>
  <si>
    <t>https://manybot-files.s3.eu-central-1.amazonaws.com/530239/wa/2025/08/14/original_6017c5c2b4813034f7bf78de942e7816.jpeg</t>
  </si>
  <si>
    <t>Yuly</t>
  </si>
  <si>
    <t>Rojas Perdomo</t>
  </si>
  <si>
    <t>Camilo Alberto</t>
  </si>
  <si>
    <t>Tirado MariÑo</t>
  </si>
  <si>
    <t>La atención fue excelente, me explicaron varias funciones que no sabia sobre la patineta y despues del ajuste que se le hizo quedo muy bien la patineta.</t>
  </si>
  <si>
    <t>Luz Nelly</t>
  </si>
  <si>
    <t>Bustamante Cordero</t>
  </si>
  <si>
    <t>Fabio Mauricio</t>
  </si>
  <si>
    <t>Chavez</t>
  </si>
  <si>
    <t>Puentes</t>
  </si>
  <si>
    <t>Espitia Gonzalez</t>
  </si>
  <si>
    <t>Leidy  Johanna</t>
  </si>
  <si>
    <t>Rodriguez Bermudez</t>
  </si>
  <si>
    <t>Deberian de manejar productos más económicos, como por ejemplo el spray para los frenos, ya que esto ayuda con el uso de la scooter, pero su costo esta alto.</t>
  </si>
  <si>
    <t>https://manybot-files.s3.eu-central-1.amazonaws.com/530239/wa/2025/08/15/original_a7028560280b9f09924a90defb9de5b9.jpeg</t>
  </si>
  <si>
    <t>Leon Cerpa</t>
  </si>
  <si>
    <t>Torres Torres</t>
  </si>
  <si>
    <t>Jeison Stiven</t>
  </si>
  <si>
    <t>Millan Valenzuela</t>
  </si>
  <si>
    <t>Dora Hilda</t>
  </si>
  <si>
    <t>Medina De Pacheco</t>
  </si>
  <si>
    <t>Tener algun aliado en la ciudad de Neiva para los mantenimientos</t>
  </si>
  <si>
    <t>Pedro Antonio</t>
  </si>
  <si>
    <t>Quinchanegua GarzÓn</t>
  </si>
  <si>
    <t>Becerra Hoyos</t>
  </si>
  <si>
    <t>Yeison</t>
  </si>
  <si>
    <t>Millan Guerrero</t>
  </si>
  <si>
    <t>Sería mejor si la entregaran rápido</t>
  </si>
  <si>
    <t>Buen servicio y ágil para realizar el proceso</t>
  </si>
  <si>
    <t>https://manybot-files.s3.eu-central-1.amazonaws.com/530239/wa/2025/08/15/original_82288ce2565d6d50b2fbda9852e6e1aa.jpeg</t>
  </si>
  <si>
    <t>Bobadilla Romero</t>
  </si>
  <si>
    <t>Ortega Caceres</t>
  </si>
  <si>
    <t>https://manybot-files.s3.eu-central-1.amazonaws.com/530239/wa/2025/08/15/original_b9fe40b30abbf6429cda92105f9fbfba.jpeg</t>
  </si>
  <si>
    <t>El señor Fabian del punto del chico no recuerdo  el apellido</t>
  </si>
  <si>
    <t>Correa Quinceno</t>
  </si>
  <si>
    <t>Me parece que 5 días hábiles para la entrega después del manteniendo es demasiado tiempo</t>
  </si>
  <si>
    <t>https://manybot-files.s3.eu-central-1.amazonaws.com/530239/wa/2025/08/15/original_91cb04520b26351cccb6ada343a734b1.jpeg</t>
  </si>
  <si>
    <t>Jimenez Vanegas</t>
  </si>
  <si>
    <t>CastaÑeda Perez</t>
  </si>
  <si>
    <t>Camelo Tautiva</t>
  </si>
  <si>
    <t>C S C Ingenieria Y Servicios Sas</t>
  </si>
  <si>
    <t>Morales Parra</t>
  </si>
  <si>
    <t>Florez Garcia</t>
  </si>
  <si>
    <t>Lopez  Camacho</t>
  </si>
  <si>
    <t>Rueda Olarte</t>
  </si>
  <si>
    <t>El mecánico que estuvo a cargo del servicio fue muy amable</t>
  </si>
  <si>
    <t>https://manybot-files.s3.eu-central-1.amazonaws.com/530239/wa/2025/08/15/original_eecab09d6e49e572bda8e347e48277de.jpeg</t>
  </si>
  <si>
    <t>Miguel Antonio</t>
  </si>
  <si>
    <t>Angulo Herrera</t>
  </si>
  <si>
    <t>La persona que nos recibió la patineta muy amable, quien la entregó todo lo opuesto, es importante que tanto recibir como entregar explicando cada detalle es fundamental para el cliente. De igual manera la patineta entró sucia y salió sucia así le cobren a uno un poco más el servicios sería excelente si entregarán la patineta limpia es un plus y como digo se le puede ofrecer al cliente por un dinero más la limpieza</t>
  </si>
  <si>
    <t>Lopez Ortega</t>
  </si>
  <si>
    <t>Riveros Rojas</t>
  </si>
  <si>
    <t>Daniela Maria</t>
  </si>
  <si>
    <t>Medina Baron</t>
  </si>
  <si>
    <t>Kevin Javier</t>
  </si>
  <si>
    <t>Alarcon Morales</t>
  </si>
  <si>
    <t>Genial</t>
  </si>
  <si>
    <t>Alonso</t>
  </si>
  <si>
    <t>Paula Daniela</t>
  </si>
  <si>
    <t>Preciado Lopez</t>
  </si>
  <si>
    <t>Poveda</t>
  </si>
  <si>
    <t>Henry Alberto</t>
  </si>
  <si>
    <t>Cordoba Romero</t>
  </si>
  <si>
    <t>Campos Morales</t>
  </si>
  <si>
    <t>SebastiÁn Felipe</t>
  </si>
  <si>
    <t>Lanza Henao</t>
  </si>
  <si>
    <t>Esneider</t>
  </si>
  <si>
    <t>Orozco Giraldo</t>
  </si>
  <si>
    <t>Execelente</t>
  </si>
  <si>
    <t>https://manybot-files.s3.eu-central-1.amazonaws.com/530239/wa/2025/08/16/original_bbd30b54888c2ccfa3b2b8e17ac7cc15.jpeg</t>
  </si>
  <si>
    <t>Daianna</t>
  </si>
  <si>
    <t>Ocampo Tovar</t>
  </si>
  <si>
    <t>Elver</t>
  </si>
  <si>
    <t>RincÓn Silva</t>
  </si>
  <si>
    <t>Abel Ramiro</t>
  </si>
  <si>
    <t>Ubaque Gonzalez</t>
  </si>
  <si>
    <t>Angie Alejandra</t>
  </si>
  <si>
    <t>Betancur Mendez</t>
  </si>
  <si>
    <t>William Yamith</t>
  </si>
  <si>
    <t>Castro Mendoza</t>
  </si>
  <si>
    <t>Valeria Camila</t>
  </si>
  <si>
    <t>Duque Gomez</t>
  </si>
  <si>
    <t>Estoy muy a gusto con mi Minca, siempre la recomiendo a mis amigos y conocidos!</t>
  </si>
  <si>
    <t>Daniela De Dios</t>
  </si>
  <si>
    <t>Giraldo Galindo</t>
  </si>
  <si>
    <t>Gallego Cordoba</t>
  </si>
  <si>
    <t>Agosto 21, no me ha sido entregado el producto.</t>
  </si>
  <si>
    <t>Henrry Alonso</t>
  </si>
  <si>
    <t>Rozo Fernandez</t>
  </si>
  <si>
    <t>Buen servicio de la persona que me recibió</t>
  </si>
  <si>
    <t>https://manybot-files.s3.eu-central-1.amazonaws.com/530239/wa/2025/08/19/original_3b24c30a1159a7129ec4169f105a8a12.jpeg</t>
  </si>
  <si>
    <t>Cuadros Rodriguez</t>
  </si>
  <si>
    <t>Excelente servicio, asesoria unica y precisa, tiempos de atención ideales y, un apoyo increible en comentarios adicionales</t>
  </si>
  <si>
    <t>https://manybot-files.s3.eu-central-1.amazonaws.com/530239/wa/2025/08/19/original_72ed7348d81eab4c63a23451942a7b4a.jpeg</t>
  </si>
  <si>
    <t>Xiomara</t>
  </si>
  <si>
    <t>SaldaÑa</t>
  </si>
  <si>
    <t>Muy rápida y eficaz</t>
  </si>
  <si>
    <t>Reinel Pulido</t>
  </si>
  <si>
    <t>Vargas Zapata</t>
  </si>
  <si>
    <t>Un servicio muy detallado y profesional</t>
  </si>
  <si>
    <t>https://manybot-files.s3.eu-central-1.amazonaws.com/530239/wa/2025/08/19/original_ac045630b3e8c022cb13773f8f7d62ec.jpeg</t>
  </si>
  <si>
    <t>Maria Terese</t>
  </si>
  <si>
    <t>Martinez Ramirez</t>
  </si>
  <si>
    <t>Omar Humberto</t>
  </si>
  <si>
    <t>Reinoso HernÁndez</t>
  </si>
  <si>
    <t>Janeth Esperanza</t>
  </si>
  <si>
    <t>Barbosa Garcia</t>
  </si>
  <si>
    <t>Gisele Ivonne</t>
  </si>
  <si>
    <t>Junta De</t>
  </si>
  <si>
    <t>AcciÓn Comunal Sorrento</t>
  </si>
  <si>
    <t>Yo ando encantado, son excelentes máquinas muy funcionales y prácticas, las he recomendado a todos los que me preguntan por ella, la puedo llevar a todo lado sin problema, es muy económico movilizarse en ella.</t>
  </si>
  <si>
    <t>https://manybot-files.s3.eu-central-1.amazonaws.com/530239/wa/2025/08/21/original_b06fa379c3533a037e4ed2d39ad612fb.jpeg</t>
  </si>
  <si>
    <t>Rodriguez Torres</t>
  </si>
  <si>
    <t>Los acabados de los arreglos, el mío fue la Impermeabilización y el pedante quedó mal distribuido y dejaron frenada la scooter</t>
  </si>
  <si>
    <t>Silfredo</t>
  </si>
  <si>
    <t>Gil Veloza</t>
  </si>
  <si>
    <t>Los servicios son muy costosos 
encontré en la sala de espera varias personas con inconformidad con el servicio 
El servicio de envío de información por plataforma sobre diagnóstico y demas muy eficiente</t>
  </si>
  <si>
    <t>Javier Antonio</t>
  </si>
  <si>
    <t>Granobles Ruiz</t>
  </si>
  <si>
    <t>Arias Ortiz</t>
  </si>
  <si>
    <t>Alba Rodriguez</t>
  </si>
  <si>
    <t>Garzon Martinez</t>
  </si>
  <si>
    <t>Eduardo Jose</t>
  </si>
  <si>
    <t>Smith Hernandez</t>
  </si>
  <si>
    <t>Mendoza Lopez</t>
  </si>
  <si>
    <t>EstupiÑÁn Franco</t>
  </si>
  <si>
    <t>Sogamoso Malagon</t>
  </si>
  <si>
    <t>Los compañeros del taller fueron cordiales y amables, excelente trabajo y tiempo de entrega 👌🏻 10/10</t>
  </si>
  <si>
    <t>https://manybot-files.s3.eu-central-1.amazonaws.com/530239/wa/2025/08/20/original_b3c8c19632509d3e1b57c3733babb82c.jpeg</t>
  </si>
  <si>
    <t>Duque Estefenn</t>
  </si>
  <si>
    <t>Martinez Lopez</t>
  </si>
  <si>
    <t>Muy buen servicio y muy rápido</t>
  </si>
  <si>
    <t>Ospina Clavijo</t>
  </si>
  <si>
    <t>Ninguna</t>
  </si>
  <si>
    <t>https://manybot-files.s3.eu-central-1.amazonaws.com/530239/wa/2025/08/20/original_0b927f7c6422cefff78a91ca2bbd310a.jpeg</t>
  </si>
  <si>
    <t>Katherine Yurley</t>
  </si>
  <si>
    <t>Rojas Montenegro</t>
  </si>
  <si>
    <t>Ramos Atapuma</t>
  </si>
  <si>
    <t>Daniel Esteban</t>
  </si>
  <si>
    <t>Serrato Alvarado</t>
  </si>
  <si>
    <t>Osorio Piedrahita</t>
  </si>
  <si>
    <t>Fue bastante demorado, no hay suficiente disponibilidad de citas y cuando me la entregaron no le funcionaba la luz me tocó esperar casi una hora a que la revisaran</t>
  </si>
  <si>
    <t>Nicolas Santiago</t>
  </si>
  <si>
    <t>Excelente servicio muy rápido. Muy bien atendido. Y la scooter la dejan en perfectas condiciones 💯</t>
  </si>
  <si>
    <t>Carlos Steven</t>
  </si>
  <si>
    <t>Ocampo Guisao</t>
  </si>
  <si>
    <t>Jaime Sebstian</t>
  </si>
  <si>
    <t>Rodriguez Camargo</t>
  </si>
  <si>
    <t>Valencia Osorio</t>
  </si>
  <si>
    <t>Esquivia Barrera</t>
  </si>
  <si>
    <t>Guacaneme Rojas</t>
  </si>
  <si>
    <t>Tempu Ingenieria De Eventos</t>
  </si>
  <si>
    <t>Jair</t>
  </si>
  <si>
    <t>Nova Orozco</t>
  </si>
  <si>
    <t>Leguizamo</t>
  </si>
  <si>
    <t>Celis Cadena</t>
  </si>
  <si>
    <t>Giovanni Andres</t>
  </si>
  <si>
    <t>PeÑuela Garzon</t>
  </si>
  <si>
    <t>Excelente servicio y puntualidad</t>
  </si>
  <si>
    <t>Lizana Decireth</t>
  </si>
  <si>
    <t>Diaz Diaz</t>
  </si>
  <si>
    <t>Echavez Munar</t>
  </si>
  <si>
    <t>Gina Paola</t>
  </si>
  <si>
    <t>Gonzalez Vergara</t>
  </si>
  <si>
    <t>Darwin Alejandro</t>
  </si>
  <si>
    <t>Osorio PatiÑo</t>
  </si>
  <si>
    <t>La sugerencia es que no sean tan caros los mantenimientos o los accesorios</t>
  </si>
  <si>
    <t>Morillo</t>
  </si>
  <si>
    <t>William Hernan</t>
  </si>
  <si>
    <t>Otavo Parrado</t>
  </si>
  <si>
    <t>https://manybot-files.s3.eu-central-1.amazonaws.com/530239/wa/2025/08/22/original_2b30a626f2d9875f1c0224b6507f0549.jpeg</t>
  </si>
  <si>
    <t>Orlando Cruz</t>
  </si>
  <si>
    <t>El tiempo en el taller para la impermeabilización de mi patineta fue demasiado. 5 horas</t>
  </si>
  <si>
    <t>https://manybot-files.s3.eu-central-1.amazonaws.com/530239/wa/2025/08/22/original_c36e8453781bda37c4344415623bc33d.jpeg</t>
  </si>
  <si>
    <t>Karen Dayana</t>
  </si>
  <si>
    <t>Guiza Velasquez</t>
  </si>
  <si>
    <t>Excelente atención y servicio</t>
  </si>
  <si>
    <t>https://manybot-files.s3.eu-central-1.amazonaws.com/530239/wa/2025/08/22/original_9ed4c6a8ec8c3c46ff1f6b4a1af8ff12.jpeg</t>
  </si>
  <si>
    <t>Penagos Rubiano</t>
  </si>
  <si>
    <t>Isidro</t>
  </si>
  <si>
    <t>Yate Oviedo</t>
  </si>
  <si>
    <t>Maria Vanesa</t>
  </si>
  <si>
    <t>Camacho Beltran</t>
  </si>
  <si>
    <t>Jaider</t>
  </si>
  <si>
    <t>Jesus Steven</t>
  </si>
  <si>
    <t>Cocunubo Cocunubo</t>
  </si>
  <si>
    <t>PatiÑo</t>
  </si>
  <si>
    <t>Fabian David</t>
  </si>
  <si>
    <t>Castiblanco Vasquez</t>
  </si>
  <si>
    <t>Jorge Diego</t>
  </si>
  <si>
    <t>Giraldo Cardenas</t>
  </si>
  <si>
    <t>Gran experiencia post venta y servicio al cliente</t>
  </si>
  <si>
    <t>https://manybot-files.s3.eu-central-1.amazonaws.com/530239/wa/2025/08/23/original_70a4b40a83c28536c937c11d4a967e69.jpeg</t>
  </si>
  <si>
    <t>Gianluca</t>
  </si>
  <si>
    <t>Murande Escobar</t>
  </si>
  <si>
    <t>Fuentes Bazza</t>
  </si>
  <si>
    <t>Prisma Acrilicos</t>
  </si>
  <si>
    <t>Marmolejo Tarazona</t>
  </si>
  <si>
    <t>Dacla Asesorias Sas</t>
  </si>
  <si>
    <t>Isama Campo</t>
  </si>
  <si>
    <t>Mojica Perez</t>
  </si>
  <si>
    <t>Jonny</t>
  </si>
  <si>
    <t>Bonilla Ospina</t>
  </si>
  <si>
    <t>Todo muy bien excelente. 👍🏻</t>
  </si>
  <si>
    <t>https://manybot-files.s3.eu-central-1.amazonaws.com/530239/wa/2025/08/26/original_40232c202f6b223c2861b6866b5f091a.jpeg</t>
  </si>
  <si>
    <t>Edwin Fernando</t>
  </si>
  <si>
    <t>Cabezas Mora</t>
  </si>
  <si>
    <t>Tatiana Alejandra</t>
  </si>
  <si>
    <t>Velasquez Rivas</t>
  </si>
  <si>
    <t>Morales Contreras</t>
  </si>
  <si>
    <t>Herrera Granados</t>
  </si>
  <si>
    <t>Gomez Fuentes</t>
  </si>
  <si>
    <t>Laverde AcuÑa</t>
  </si>
  <si>
    <t>Raul  Ivan</t>
  </si>
  <si>
    <t>Garcia Fetiva</t>
  </si>
  <si>
    <t>Me encantó el servicio, muy claro y rápido, pero detesté ir el domingo con una urgencia y no ver los horarios del taller en google y que la atención de la chica que estaba en la sede fuera un "no puedo hacer nada" te toca hasta mañana.</t>
  </si>
  <si>
    <t>Castro Sepulveda</t>
  </si>
  <si>
    <t>Yeimi Viviana</t>
  </si>
  <si>
    <t>Patalagua Guerrero</t>
  </si>
  <si>
    <t>Manrique Gomez</t>
  </si>
  <si>
    <t>Ortiz Rivera</t>
  </si>
  <si>
    <t>Dereck Steve</t>
  </si>
  <si>
    <t>Osorio Romero</t>
  </si>
  <si>
    <t>Wilson Ricardo</t>
  </si>
  <si>
    <t>Jimenez Caro</t>
  </si>
  <si>
    <t>Weifort Stiven</t>
  </si>
  <si>
    <t>Alvarez Vega</t>
  </si>
  <si>
    <t>Uriza Hoyos</t>
  </si>
  <si>
    <t>Olegario</t>
  </si>
  <si>
    <t>Rivera NiÑo</t>
  </si>
  <si>
    <t>Gomez Almanza</t>
  </si>
  <si>
    <t>Santiago Alberto</t>
  </si>
  <si>
    <t>Leiva PiÑeros</t>
  </si>
  <si>
    <t>Isac</t>
  </si>
  <si>
    <t>Martinez Mendez</t>
  </si>
  <si>
    <t>Parrado Riveros</t>
  </si>
  <si>
    <t>Wilman</t>
  </si>
  <si>
    <t>Heleno</t>
  </si>
  <si>
    <t>El volante me lo entregaron torcido</t>
  </si>
  <si>
    <t>Andres Guillermo</t>
  </si>
  <si>
    <t>Linares Gomez</t>
  </si>
  <si>
    <t>Escorcia Murillo</t>
  </si>
  <si>
    <t>CastaÑeda Leon</t>
  </si>
  <si>
    <t>https://manybot-files.s3.eu-central-1.amazonaws.com/530239/wa/2025/08/26/original_b823165fac396b6f7ac06f371405aab9.jpeg</t>
  </si>
  <si>
    <t>Diaz Castro</t>
  </si>
  <si>
    <t>Orozco Carrillo</t>
  </si>
  <si>
    <t>Gustavo Andres</t>
  </si>
  <si>
    <t>Maria Rebeca</t>
  </si>
  <si>
    <t>Echeverri De Chaux</t>
  </si>
  <si>
    <t>Que sea en el mismo dia</t>
  </si>
  <si>
    <t>https://manybot-files.s3.eu-central-1.amazonaws.com/530239/wa/2025/08/26/original_4fa1325de68668b24b6d190147b3a3b8.jpeg</t>
  </si>
  <si>
    <t>Alirio</t>
  </si>
  <si>
    <t>Devia Quimbayo</t>
  </si>
  <si>
    <t>Deivis Stvens</t>
  </si>
  <si>
    <t>Mateus Monroy</t>
  </si>
  <si>
    <t>Gomez Arias</t>
  </si>
  <si>
    <t>Son muy atentos con la atención y muy ágiles con el servicio que prestan.</t>
  </si>
  <si>
    <t>RamÍrez Moreno</t>
  </si>
  <si>
    <t>EstupiÑan Monrroy</t>
  </si>
  <si>
    <t>Vargas Navas</t>
  </si>
  <si>
    <t>Bernal Robayo</t>
  </si>
  <si>
    <t>Muy efectivos👍🏻👍🏻</t>
  </si>
  <si>
    <t>Favian</t>
  </si>
  <si>
    <t>Sanchez Pacheco</t>
  </si>
  <si>
    <t>Rossi Atilano</t>
  </si>
  <si>
    <t>Excelente atención y muy rápidos para la solución de problemas . Excelente 10/10</t>
  </si>
  <si>
    <t>https://manybot-files.s3.eu-central-1.amazonaws.com/530239/wa/2025/08/27/original_8147bb9aec858241555325fecc1d7949.jpeg</t>
  </si>
  <si>
    <t>Reinaldo</t>
  </si>
  <si>
    <t>Mayorga</t>
  </si>
  <si>
    <t>Corcho Yepes</t>
  </si>
  <si>
    <t>A pesar de que el personal de la tienda es amable. Me parece muy regular el servicio post venta, sobretodo en el tema de comunicación con el cliente y los tiempos pactados de entrega. Me pidieron una semana y se cumplieron los tiempos y si yo no les escribía no me informaban que ya estaba lista</t>
  </si>
  <si>
    <t>https://manybot-files.s3.eu-central-1.amazonaws.com/530239/wa/2025/08/27/original_04e785211da1f389284ed50663ddebdb.jpeg</t>
  </si>
  <si>
    <t>Helo Gaviria</t>
  </si>
  <si>
    <t>Minca funciona muy bien siempre. Mi patineta no solo es mi medio de transporte sino una solución al problema de movilidad de una ciudad como Bogotá.</t>
  </si>
  <si>
    <t>https://manybot-files.s3.eu-central-1.amazonaws.com/530239/wa/2025/08/28/original_c27244204cbef47abae0924f25316e9f.jpeg</t>
  </si>
  <si>
    <t>Mosquera Lozano</t>
  </si>
  <si>
    <t>Me parece que los tiempos de entrega son un poco largos, de resto todo muy bien</t>
  </si>
  <si>
    <t>Rodriguez Guerrero</t>
  </si>
  <si>
    <t>Hoyos Aramburo</t>
  </si>
  <si>
    <t>Jenifer Isabel</t>
  </si>
  <si>
    <t>Hernandez Rodriguez</t>
  </si>
  <si>
    <t>Nidia Yined</t>
  </si>
  <si>
    <t>Pinto Martinez</t>
  </si>
  <si>
    <t>Anderson Raul</t>
  </si>
  <si>
    <t>Capera Lozano</t>
  </si>
  <si>
    <t>Rivera Reyes</t>
  </si>
  <si>
    <t>Rojas Sarmiento</t>
  </si>
  <si>
    <t>Jimenez CastaÑeda</t>
  </si>
  <si>
    <t>Todo muy bien, solo proponer mejorar en los tiempos de servicio ya que son demasiado elevados por la cantidad de patinetes que ingresan</t>
  </si>
  <si>
    <t>https://manybot-files.s3.eu-central-1.amazonaws.com/530239/wa/2025/08/28/original_2ed305a5405a01d90792a95a7a95fa3d.jpeg</t>
  </si>
  <si>
    <t>Mabel Ines</t>
  </si>
  <si>
    <t>Arriaga Rengifo</t>
  </si>
  <si>
    <t>Soto Gallego</t>
  </si>
  <si>
    <t>Se demoran mucho en la entrega. Una semana y me tocó escribir porque no me habían avisado que fuera por ella.</t>
  </si>
  <si>
    <t>https://manybot-files.s3.eu-central-1.amazonaws.com/530239/wa/2025/08/28/original_23c0af8ecc3d15493eb8712e6ee0db46.jpeg</t>
  </si>
  <si>
    <t>Salazar Romero</t>
  </si>
  <si>
    <t>Sharon Yiseth</t>
  </si>
  <si>
    <t>Surmay Ramirez</t>
  </si>
  <si>
    <t>Jorge Nayid</t>
  </si>
  <si>
    <t>Galindo Barrero</t>
  </si>
  <si>
    <t>Correa Florez</t>
  </si>
  <si>
    <t>Fácil agendar, muy amables en la atención, pero deberían ajustar para que llegue el correo de confirmación del agendamiento de citas. De resto excelente</t>
  </si>
  <si>
    <t>CastaÑeda Delgadillo</t>
  </si>
  <si>
    <t>https://manybot-files.s3.eu-central-1.amazonaws.com/530239/wa/2025/08/28/original_62f3d99c925713a768cc728438809050.jpeg</t>
  </si>
  <si>
    <t>Sanchez MuÑoz</t>
  </si>
  <si>
    <t>Dicson Alfonso</t>
  </si>
  <si>
    <t>Cabrera Villalobos</t>
  </si>
  <si>
    <t>Jose Daniel</t>
  </si>
  <si>
    <t>Gonzalez Calvo</t>
  </si>
  <si>
    <t>Julian Dario</t>
  </si>
  <si>
    <t>Gonzalez Bulla</t>
  </si>
  <si>
    <t>Alvaro Daniel</t>
  </si>
  <si>
    <t>Reyes Gomez</t>
  </si>
  <si>
    <t>Hasta ahora todo muy bien con Minca !!!!</t>
  </si>
  <si>
    <t>Intravires Sas</t>
  </si>
  <si>
    <t>Gamba Perez</t>
  </si>
  <si>
    <t>Roandy</t>
  </si>
  <si>
    <t>Cardona Gomez</t>
  </si>
  <si>
    <t>Betancur PatiÑo</t>
  </si>
  <si>
    <t>Clever Dot Sas</t>
  </si>
  <si>
    <t>Amezquita Chiguasuque</t>
  </si>
  <si>
    <t>Duran Sanchez</t>
  </si>
  <si>
    <t>Muy buen servicio y amabilidad. Quedé muy contenta. Felicitaciones</t>
  </si>
  <si>
    <t>https://manybot-files.s3.eu-central-1.amazonaws.com/530239/wa/2025/08/30/original_6d5000956bf622b48311040dc46f1a4e.jpeg</t>
  </si>
  <si>
    <t>OrdoÑez  Rodriguez</t>
  </si>
  <si>
    <t>Ramirez Yepes</t>
  </si>
  <si>
    <t>MontaÑo Prieto</t>
  </si>
  <si>
    <t>Julieth Alexandra</t>
  </si>
  <si>
    <t>Sarmiento Arias</t>
  </si>
  <si>
    <t>Oscar Steven</t>
  </si>
  <si>
    <t>Russi Garzon</t>
  </si>
  <si>
    <t>Martinez Ochoa</t>
  </si>
  <si>
    <t>Claros Sanabria</t>
  </si>
  <si>
    <t>Palacio Echeverry</t>
  </si>
  <si>
    <t>Marelin</t>
  </si>
  <si>
    <t>Pantoja</t>
  </si>
  <si>
    <t>Didier Albenis</t>
  </si>
  <si>
    <t>Mejia Escorcia</t>
  </si>
  <si>
    <t>Ecxelente servicio técnico y también la asesoría. La marca es buenísima</t>
  </si>
  <si>
    <t>https://manybot-files.s3.eu-central-1.amazonaws.com/530239/wa/2025/08/30/original_b307fff07bd8f65eec725d9aaa0c83e0.jpeg</t>
  </si>
  <si>
    <t>Jhann Carlos</t>
  </si>
  <si>
    <t>Daza Diaz</t>
  </si>
  <si>
    <t>https://manybot-files.s3.eu-central-1.amazonaws.com/530239/wa/2025/08/30/original_39277f1749d5e78fc2f685f50d81e331.jpeg</t>
  </si>
  <si>
    <t>GonzÁlez MonguÍ</t>
  </si>
  <si>
    <t>Camacho Gacha</t>
  </si>
  <si>
    <t>Son muy atentos y el taller esta dispuesto a responder cualquier pregunta agilidad y rapidez gracias</t>
  </si>
  <si>
    <t>Villegas Sanchez</t>
  </si>
  <si>
    <t>Miguel Eduardo</t>
  </si>
  <si>
    <t>Bejarano</t>
  </si>
  <si>
    <t>https://manybot-files.s3.eu-central-1.amazonaws.com/530239/wa/2025/09/02/original_c8a7434057638fa603eac780c1d814a9.jpeg</t>
  </si>
  <si>
    <t>Hola todo perfecto la señora de la recepción es la mejor atiende muy bien</t>
  </si>
  <si>
    <t>https://manybot-files.s3.eu-central-1.amazonaws.com/530239/wa/2025/09/01/original_35cd43ef64c3022c1f90cd05d3486674.jpeg</t>
  </si>
  <si>
    <t>Elizabeth</t>
  </si>
  <si>
    <t>Ortiz Santamaria</t>
  </si>
  <si>
    <t>Giovanni</t>
  </si>
  <si>
    <t>Sanabria Almanza</t>
  </si>
  <si>
    <t>Serrato Gomez</t>
  </si>
  <si>
    <t>Coy Ferro</t>
  </si>
  <si>
    <t>Gladys Carolina</t>
  </si>
  <si>
    <t>Orozco Naranjo</t>
  </si>
  <si>
    <t>Artiga Barahona</t>
  </si>
  <si>
    <t>Me pareció muy lento el servicio, tomo 6 (calendario) días en completarse el mantenimiento. Deberían ofrecer un servicio de alquiler de patinetas como opción mientras se completa el servicio</t>
  </si>
  <si>
    <t>Molano Vargas</t>
  </si>
  <si>
    <t>La atención es rápida y oportuna</t>
  </si>
  <si>
    <t>https://manybot-files.s3.eu-central-1.amazonaws.com/530239/wa/2025/09/02/original_f10625d110d7f0a9383a8fc1badc8328.jpeg</t>
  </si>
  <si>
    <t>Harold</t>
  </si>
  <si>
    <t>Aguirre</t>
  </si>
  <si>
    <t>https://manybot-files.s3.eu-central-1.amazonaws.com/530239/wa/2025/09/03/original_80c0fdbf1e05a7da490a72a3256e2c83.jpeg</t>
  </si>
  <si>
    <t>Hugo Santiago</t>
  </si>
  <si>
    <t>Nieto Castro</t>
  </si>
  <si>
    <t>Excelente servicio y atención al cliente</t>
  </si>
  <si>
    <t>Yefferson</t>
  </si>
  <si>
    <t>Sanchez Salgado</t>
  </si>
  <si>
    <t>Ramos Paez</t>
  </si>
  <si>
    <t>Muy rápido, eficientes y peofesionales. Gracias!</t>
  </si>
  <si>
    <t>https://manybot-files.s3.eu-central-1.amazonaws.com/530239/wa/2025/09/02/original_034ba4090d3c37254cdc8a05b561e44c.jpeg</t>
  </si>
  <si>
    <t>MartÍnez</t>
  </si>
  <si>
    <t>Arias Suarez</t>
  </si>
  <si>
    <t>Gabriel Felipe</t>
  </si>
  <si>
    <t>Blanco Opayome</t>
  </si>
  <si>
    <t>Perez Marin</t>
  </si>
  <si>
    <t>ZuÑiga Obando</t>
  </si>
  <si>
    <t>Vallejos Delgado</t>
  </si>
  <si>
    <t>Fabian Mauricio</t>
  </si>
  <si>
    <t>Vargas Rodriguez</t>
  </si>
  <si>
    <t>Jayro Andres</t>
  </si>
  <si>
    <t>Balmaceda Mejia</t>
  </si>
  <si>
    <t>Arellano Sanchez</t>
  </si>
  <si>
    <t>Sicacha Vergara</t>
  </si>
  <si>
    <t>Jose Willy Duvan</t>
  </si>
  <si>
    <t>Carrillo Carrillo</t>
  </si>
  <si>
    <t>Serrato Penagos</t>
  </si>
  <si>
    <t>Muchas gracias por su servicio y atención, fueron excelentes.</t>
  </si>
  <si>
    <t>https://manybot-files.s3.eu-central-1.amazonaws.com/530239/wa/2025/09/03/original_b0aaca8b18659752b38a48fc948368f0.jpeg</t>
  </si>
  <si>
    <t>Uribe Olano</t>
  </si>
  <si>
    <t>Erika Viviana</t>
  </si>
  <si>
    <t>Fuentes Aldana</t>
  </si>
  <si>
    <t>Leiva Urrutia</t>
  </si>
  <si>
    <t>Lopez MuÑoz</t>
  </si>
  <si>
    <t>Ramirez Mejia</t>
  </si>
  <si>
    <t>Gregorio</t>
  </si>
  <si>
    <t>Cruz Izquierdo</t>
  </si>
  <si>
    <t>Montoya Gonzales</t>
  </si>
  <si>
    <t>Maicol</t>
  </si>
  <si>
    <t>Zipamocha</t>
  </si>
  <si>
    <t>El mantenimiento fue muy completo, siento más ajustada mi patineta. Y la atención del personal fue excelente</t>
  </si>
  <si>
    <t>https://manybot-files.s3.eu-central-1.amazonaws.com/530239/wa/2025/09/04/original_6bd9f3a1fb4edcc380f6d9ded71fa1e0.jpeg</t>
  </si>
  <si>
    <t>Josue</t>
  </si>
  <si>
    <t>Ortegon Sanchez</t>
  </si>
  <si>
    <t>https://manybot-files.s3.eu-central-1.amazonaws.com/530239/wa/2025/09/04/original_5675941baee4f5e9e0b35f7bf05f85e3.jpeg</t>
  </si>
  <si>
    <t>Sierra Bautista</t>
  </si>
  <si>
    <t>Alexander Alfonso</t>
  </si>
  <si>
    <t>Angel Arredondo</t>
  </si>
  <si>
    <t>Anna Miloslava</t>
  </si>
  <si>
    <t>Tajc Herrera</t>
  </si>
  <si>
    <t>Edgar Alejandro</t>
  </si>
  <si>
    <t>Russi Ariza</t>
  </si>
  <si>
    <t>Totalmente satisfecho y feliz con MINCA</t>
  </si>
  <si>
    <t>https://manybot-files.s3.eu-central-1.amazonaws.com/530239/wa/2025/09/04/original_9a7f8b4743cbbc107cd1f0bcba9fd6b2.jpeg</t>
  </si>
  <si>
    <t>Nelson Orlando</t>
  </si>
  <si>
    <t>Pulido Ferreira</t>
  </si>
  <si>
    <t>Excelente servicio y tiempos perfectos de entrega</t>
  </si>
  <si>
    <t>https://manybot-files.s3.eu-central-1.amazonaws.com/530239/wa/2025/09/04/original_e5d71f4f2e13ccff0cfad227c71cce90.jpeg</t>
  </si>
  <si>
    <t>Garcia Ruiz</t>
  </si>
  <si>
    <t>La parienta salió con otros daños que no llevaba y la entregaron mal</t>
  </si>
  <si>
    <t>Ingraphic Group Sas</t>
  </si>
  <si>
    <t>Forero Blanco</t>
  </si>
  <si>
    <t>Spot 5</t>
  </si>
  <si>
    <t>Luis Alfonso Tercero</t>
  </si>
  <si>
    <t>PiÑeros Barrero</t>
  </si>
  <si>
    <t>Portillo Cruz</t>
  </si>
  <si>
    <t>Excelente servicio, el personal es muy amable.</t>
  </si>
  <si>
    <t>https://manybot-files.s3.eu-central-1.amazonaws.com/530239/wa/2025/09/05/original_f58b7eeaad910d16e3571799f3318bc8.jpeg</t>
  </si>
  <si>
    <t>Velez Salazar</t>
  </si>
  <si>
    <t>El servicio que prestan es de calidad, toda las personas que trabajan son muy amables, en realidad eso es muy provechoso en atención al cliente. El problema que tienen son temas de tiempos de ejecución y entrega, estuve sin mi Minca 1 semana exactamente, y se afecta de sobre manera la movilidad, porque creo que una de las bondades de escoger Minca como marca y producto es por el respaldo que se ofrece, pero que el mantenimiento preventivo tarde 1 semana es exagerado el tiempo, más cuando debo reservar una hora para mi mantenimiento y aún así se tardan una semana. Creo que debe ser un tema para revisar.</t>
  </si>
  <si>
    <t>https://manybot-files.s3.eu-central-1.amazonaws.com/530239/wa/2025/09/05/original_e21c506da0845315b8884ab8c48e38f9.jpeg</t>
  </si>
  <si>
    <t>Narvaez Acosta</t>
  </si>
  <si>
    <t>Lopez Espejo</t>
  </si>
  <si>
    <t>Tobon Zuluaga</t>
  </si>
  <si>
    <t>Devia Diaz</t>
  </si>
  <si>
    <t>Excelente atención y muy rápido el servicio.</t>
  </si>
  <si>
    <t>Vallejo Ramirez</t>
  </si>
  <si>
    <t>Tatiana Carolina</t>
  </si>
  <si>
    <t>Coello Huaniri</t>
  </si>
  <si>
    <t>Alex Hamer</t>
  </si>
  <si>
    <t>Bejarano Novoa</t>
  </si>
  <si>
    <t>Anthony</t>
  </si>
  <si>
    <t>Bermudez Acosta</t>
  </si>
  <si>
    <t>Bastidas Collazos</t>
  </si>
  <si>
    <t>Rafael Aramis</t>
  </si>
  <si>
    <t>Pinzon Ramos</t>
  </si>
  <si>
    <t>Baraona</t>
  </si>
  <si>
    <t>Puntualidad en la engrega, y entregar la patineta cargada</t>
  </si>
  <si>
    <t>Ocampo CastaÑo</t>
  </si>
  <si>
    <t>Rápido y eficiente el servicio</t>
  </si>
  <si>
    <t>Diego Enrique</t>
  </si>
  <si>
    <t>Castillo Lancheros</t>
  </si>
  <si>
    <t>Deberían avisar que la scooter  no la entregan con carga. Porque en mi caso no tenía cargador. O mejor, que pudiera estar cargada al recogerla. Gracias</t>
  </si>
  <si>
    <t>List Iddelinne</t>
  </si>
  <si>
    <t>Diaz Ardila</t>
  </si>
  <si>
    <t>Zuluaga Rodriguez</t>
  </si>
  <si>
    <t>Javier Enrique</t>
  </si>
  <si>
    <t>Garzon Pinzon</t>
  </si>
  <si>
    <t>MuÑoz Maldonado</t>
  </si>
  <si>
    <t>Que respeten los tiempos de entrega y recepción de patinetas, no puede ser que habiendo separado la cita y esperado dos días para la entrega, reciban patinetas a otros clientes prometiendo que la entregan el mismo día</t>
  </si>
  <si>
    <t>Zulay Dayana</t>
  </si>
  <si>
    <t>Jimenez Heredia</t>
  </si>
  <si>
    <t>Solorzano Garcia</t>
  </si>
  <si>
    <t>El servicio de mantenimiento fue excelente sin embargo el servicio de entrega fue pésimo me llegó un correo diciendo que la podía recoger los sábados de 8 a 3 y cuando llegué al taller resultó que no fue así y me hicieron perder plata y tiempo</t>
  </si>
  <si>
    <t>Adrian Mauricio</t>
  </si>
  <si>
    <t>Lucas Romero</t>
  </si>
  <si>
    <t>Estuvo muy bien la atención y como resuelven el problema, en los tiempos de dar respuesta como en el diagnóstico debería ser un poco más rápida, pero de resto muy bien servicio.</t>
  </si>
  <si>
    <t>https://manybot-files.s3.eu-central-1.amazonaws.com/530239/wa/2025/09/06/original_d9bf8f9dd992684271f0295019d2ebd1.jpeg</t>
  </si>
  <si>
    <t>Yulian Andres</t>
  </si>
  <si>
    <t>Preciado Aguirre</t>
  </si>
  <si>
    <t>Sanchez Guerrero</t>
  </si>
  <si>
    <t>Daniel Octavio</t>
  </si>
  <si>
    <t>Castro Baena</t>
  </si>
  <si>
    <t>Lucas Daniel</t>
  </si>
  <si>
    <t>Cedano Casas</t>
  </si>
  <si>
    <t>Todo estuvo en orden, buen servicio</t>
  </si>
  <si>
    <t>Cristancho Morales</t>
  </si>
  <si>
    <t>Essilor</t>
  </si>
  <si>
    <t>Colombia</t>
  </si>
  <si>
    <t>Willian David</t>
  </si>
  <si>
    <t>Corro De La Hoz</t>
  </si>
  <si>
    <t>https://manybot-files.s3.eu-central-1.amazonaws.com/530239/wa/2025/09/08/original_4647b1ef32e0b61d8761bc63323c89f6.jpeg</t>
  </si>
  <si>
    <t>Velez Leon</t>
  </si>
  <si>
    <t>Cindy Vivian</t>
  </si>
  <si>
    <t>Melendez Rondon</t>
  </si>
  <si>
    <t>Ruta 77 Sas</t>
  </si>
  <si>
    <t>Jessica Carolina</t>
  </si>
  <si>
    <t>Llovera Consuegra</t>
  </si>
  <si>
    <t>Cristian Alexander</t>
  </si>
  <si>
    <t>Calderon Florez</t>
  </si>
  <si>
    <t>Pedro Xavier</t>
  </si>
  <si>
    <t>Jakson Ramirez</t>
  </si>
  <si>
    <t>Por ahora muy bien.</t>
  </si>
  <si>
    <t>Azucena</t>
  </si>
  <si>
    <t>Tv Car</t>
  </si>
  <si>
    <t>Colombia Sas</t>
  </si>
  <si>
    <t>Isaac Josue</t>
  </si>
  <si>
    <t>Hernandez Gimenez</t>
  </si>
  <si>
    <t>Lleve la scooter por un problema de batería que no cargaba y no me avisaron que no serían capaces de ponerle algo de carga para poder llevarla de vuelta. Por lo menos avisar que la entregarán sin batería para tomar las provisiones. Es como que en un consecionario de autos entreguen en auto sin que pueda encender. Me pareció mal servicio porque no piensan en el cliente. Tengan más cuidado con los detalles importantes.</t>
  </si>
  <si>
    <t>Davila</t>
  </si>
  <si>
    <t>Macias Gonzalez</t>
  </si>
  <si>
    <t>Juan SebastiÁn</t>
  </si>
  <si>
    <t>Cortes Montoya</t>
  </si>
  <si>
    <t>Alvaro Jose</t>
  </si>
  <si>
    <t>Medina Valencia</t>
  </si>
  <si>
    <t>Rodriguez Santana</t>
  </si>
  <si>
    <t>Rivera Avellaneda</t>
  </si>
  <si>
    <t>https://manybot-files.s3.eu-central-1.amazonaws.com/530239/wa/2025/09/10/original_14fade1330aea66c520d377315894f8d.jpeg</t>
  </si>
  <si>
    <t>Cepeda Prada</t>
  </si>
  <si>
    <t>Hernandez Tellez</t>
  </si>
  <si>
    <t>Montealegre Heredia</t>
  </si>
  <si>
    <t>https://manybot-files.s3.eu-central-1.amazonaws.com/530239/wa/2025/09/10/original_bb7e47deb6a2fc1a5fb57899bd4d1be1.jpeg</t>
  </si>
  <si>
    <t>Liliana Buitrago</t>
  </si>
  <si>
    <t>Aldana Pineda</t>
  </si>
  <si>
    <t>Manzano</t>
  </si>
  <si>
    <t>Edisson Andres</t>
  </si>
  <si>
    <t>Martinez Beltran</t>
  </si>
  <si>
    <t>Edison Danilo</t>
  </si>
  <si>
    <t>Excelente servicio y atencion</t>
  </si>
  <si>
    <t>Fue relativamente rápido la reparación</t>
  </si>
  <si>
    <t>https://manybot-files.s3.eu-central-1.amazonaws.com/530239/wa/2025/09/11/original_d6206235e67ead60107c9a8b94896250.jpeg</t>
  </si>
  <si>
    <t>Poasada Rendo</t>
  </si>
  <si>
    <t>La experiencia con la marca, me ha parecido excelente, nada que sentir de mi scooter.</t>
  </si>
  <si>
    <t>https://manybot-files.s3.eu-central-1.amazonaws.com/530239/wa/2025/09/11/original_0b9531941d8583473923bef001526513.jpeg</t>
  </si>
  <si>
    <t>Katerine</t>
  </si>
  <si>
    <t>Agudelo Ruiz</t>
  </si>
  <si>
    <t>Virgelina</t>
  </si>
  <si>
    <t>Rocha Ramirez</t>
  </si>
  <si>
    <t>Brandon Stive</t>
  </si>
  <si>
    <t>Benitez Montealegre</t>
  </si>
  <si>
    <t>https://manybot-files.s3.eu-central-1.amazonaws.com/530239/wa/2025/09/10/original_6f5fd64a9eafef2368de57e88da118c0.jpeg</t>
  </si>
  <si>
    <t>Romero Isaza</t>
  </si>
  <si>
    <t>La atención del personal fue muy amable, trataron de hacer el trabajo en el menor tiempo posible</t>
  </si>
  <si>
    <t>https://manybot-files.s3.eu-central-1.amazonaws.com/530239/wa/2025/09/10/original_2a3162e35cb1ffe3275d3a9483ff4d8c.jpeg</t>
  </si>
  <si>
    <t>Montoya Posada</t>
  </si>
  <si>
    <t>Me encanta que el servicio de taller sea prestado por la misma marca, así uno está más tranquilo para llevar la patineta y que den el mejor soporte</t>
  </si>
  <si>
    <t>Reyes Cartagena</t>
  </si>
  <si>
    <t>Sergio Ivan</t>
  </si>
  <si>
    <t>Parada Aguilar</t>
  </si>
  <si>
    <t>Escobar Robledo</t>
  </si>
  <si>
    <t>Equipel Sas</t>
  </si>
  <si>
    <t>Cadavid Duque</t>
  </si>
  <si>
    <t>Sebastian Ricardo</t>
  </si>
  <si>
    <t>Laguna Rodriguez</t>
  </si>
  <si>
    <t>Petrov</t>
  </si>
  <si>
    <t>Omar David</t>
  </si>
  <si>
    <t>Castro Rivas</t>
  </si>
  <si>
    <t>David Alberto</t>
  </si>
  <si>
    <t>Lopez Torres</t>
  </si>
  <si>
    <t>Saida</t>
  </si>
  <si>
    <t>La atención  y el mantenimiento  fue rápido y preciso</t>
  </si>
  <si>
    <t>Camargo Galvez</t>
  </si>
  <si>
    <t>Mendez Fajardo</t>
  </si>
  <si>
    <t>Las señoritas deberían tener más servicio al cliente, proactividad y carisma, están prestando un servicio</t>
  </si>
  <si>
    <t>Luz Andrea</t>
  </si>
  <si>
    <t>Bermeo Montealegre</t>
  </si>
  <si>
    <t>Roa Sanchez</t>
  </si>
  <si>
    <t>Jhon Gelmar</t>
  </si>
  <si>
    <t>Mejia Quintero</t>
  </si>
  <si>
    <t>Sanchez Moreno</t>
  </si>
  <si>
    <t>Alejandro Enrique</t>
  </si>
  <si>
    <t>Aguilar Sanchez</t>
  </si>
  <si>
    <t>Todo bien, lo único en lo que no estoy de acuerdo es que tuviera que cambiar una mordaza para poder cambiar la manguera que aceite de frenos</t>
  </si>
  <si>
    <t>Combaliza Contreras</t>
  </si>
  <si>
    <t>Muy bien servicio por parte de la tienda</t>
  </si>
  <si>
    <t>https://manybot-files.s3.eu-central-1.amazonaws.com/530239/wa/2025/09/13/original_adba9060323cfa547571d004cee76e2a.jpeg</t>
  </si>
  <si>
    <t>Julian Danilo</t>
  </si>
  <si>
    <t>CaÑon Anaya</t>
  </si>
  <si>
    <t>Solorzano Carmona</t>
  </si>
  <si>
    <t>John Alejandro</t>
  </si>
  <si>
    <t>Robayo Ortiz</t>
  </si>
  <si>
    <t>Giovanni Hamon</t>
  </si>
  <si>
    <t>Pinzon</t>
  </si>
  <si>
    <t>Caroalina</t>
  </si>
  <si>
    <t>Mansilla Gomez</t>
  </si>
  <si>
    <t>Gonzales Linares</t>
  </si>
  <si>
    <t>BermÚdez</t>
  </si>
  <si>
    <t>Cindy</t>
  </si>
  <si>
    <t>Jose Felipe</t>
  </si>
  <si>
    <t>Osorio Sepulveda</t>
  </si>
  <si>
    <t>Chingate</t>
  </si>
  <si>
    <t>Soy nuevo, pero creó que los tiempos de reparación si son un poco altos</t>
  </si>
  <si>
    <t>https://manybot-files.s3.eu-central-1.amazonaws.com/530239/wa/2025/09/15/original_5aa7a659048e7fa09a788fb04fab2623.jpeg</t>
  </si>
  <si>
    <t>Cardenas  Blanco</t>
  </si>
  <si>
    <t>Mal servicio, la cede de Cedritos siempre esta colapsara y la niña que atiende tiene cero intención de atender</t>
  </si>
  <si>
    <t>Daniela Andreina</t>
  </si>
  <si>
    <t>Rojas Castrillo</t>
  </si>
  <si>
    <t>Esteban Enrique</t>
  </si>
  <si>
    <t>Alvarado Bernal</t>
  </si>
  <si>
    <t>Jonathan Esteban</t>
  </si>
  <si>
    <t>Cubillos Vargas</t>
  </si>
  <si>
    <t>Cahuana</t>
  </si>
  <si>
    <t>Excelente servicio, el personal muy presto a servir.
Gracias</t>
  </si>
  <si>
    <t>https://manybot-files.s3.eu-central-1.amazonaws.com/530239/wa/2025/09/15/original_77dcfb5351686f94ee327467a048ab44.jpeg</t>
  </si>
  <si>
    <t>2025-09-15T18:42:43-05:00</t>
  </si>
  <si>
    <t>Brayan Alejandro</t>
  </si>
  <si>
    <t>Daza Acevedo</t>
  </si>
  <si>
    <t>Jonathan Andres</t>
  </si>
  <si>
    <t>Villanueva</t>
  </si>
  <si>
    <t>Jose Orlando</t>
  </si>
  <si>
    <t>No me avisaron que la llanta trasera ya está para cambio lo hubiéramos hecho de una vez</t>
  </si>
  <si>
    <t>Ivon Tatiana</t>
  </si>
  <si>
    <t>Morantes Ibarra</t>
  </si>
  <si>
    <t>Guio Moreno</t>
  </si>
  <si>
    <t>Marta Lucia</t>
  </si>
  <si>
    <t>Pardo Cardona</t>
  </si>
  <si>
    <t>La marca super me encanta</t>
  </si>
  <si>
    <t>RodrÍguez Barrera</t>
  </si>
  <si>
    <t>Alex Maishel</t>
  </si>
  <si>
    <t>Vanegas Queeman</t>
  </si>
  <si>
    <t>Lentos al responder no me enviaron de inmediato el link de pago, por último me entregaron el scooter con de la parte que se baja y sube el timón sin estar asegurado y la manija estaba alrevez</t>
  </si>
  <si>
    <t>Cristian Andres</t>
  </si>
  <si>
    <t>Gomez Giraldo</t>
  </si>
  <si>
    <t>Natalia Andrea</t>
  </si>
  <si>
    <t>Zapata Tobon</t>
  </si>
  <si>
    <t>Carol Lorena</t>
  </si>
  <si>
    <t>Rico Morales</t>
  </si>
  <si>
    <t>Johely</t>
  </si>
  <si>
    <t>Lopez Pachon</t>
  </si>
  <si>
    <t>Excelente marca no he tenido ningún inconveniente con mi patineta, solo se me daño el cargador pero fueron muy efectivos y muy buen servicio al cliente</t>
  </si>
  <si>
    <t>Stevenson</t>
  </si>
  <si>
    <t>Mena Serna</t>
  </si>
  <si>
    <t>Todo muy bien!</t>
  </si>
  <si>
    <t>https://manybot-files.s3.eu-central-1.amazonaws.com/530239/wa/2025/09/17/original_413ce5bcac7c041f48914b2f60115515.jpeg</t>
  </si>
  <si>
    <t>Jonathan Slim</t>
  </si>
  <si>
    <t>Mora Colina</t>
  </si>
  <si>
    <t>Bohorquez Ortega</t>
  </si>
  <si>
    <t>Lorena Isabel</t>
  </si>
  <si>
    <t>Anibal Velasquez</t>
  </si>
  <si>
    <t>No tengo sugerencias, muy agradecida por la atención y el buen trato del personal, feliz tarde</t>
  </si>
  <si>
    <t>Kevin Andrees</t>
  </si>
  <si>
    <t>Rios Polo</t>
  </si>
  <si>
    <t>Paez Puentes</t>
  </si>
  <si>
    <t>Zamir Yesid</t>
  </si>
  <si>
    <t>Baron Cuevas</t>
  </si>
  <si>
    <t>De La Rosa MuÑoz</t>
  </si>
  <si>
    <t>Una experiencia excepcional</t>
  </si>
  <si>
    <t>Marleny Aurora</t>
  </si>
  <si>
    <t>Lara Bernal</t>
  </si>
  <si>
    <t>Guillaume</t>
  </si>
  <si>
    <t>Garey</t>
  </si>
  <si>
    <t>Castellanos Sanchez</t>
  </si>
  <si>
    <t>Ramirez Guio</t>
  </si>
  <si>
    <t>https://manybot-files.s3.eu-central-1.amazonaws.com/530239/wa/2025/09/18/original_3b014f90d935bc7e17f9d0cd9e5ea196.jpeg</t>
  </si>
  <si>
    <t>Yerson Yair</t>
  </si>
  <si>
    <t>Salamanca Henao</t>
  </si>
  <si>
    <t>Rolan</t>
  </si>
  <si>
    <t>Mayra Alejandra</t>
  </si>
  <si>
    <t>Leyton Alvarez</t>
  </si>
  <si>
    <t>Obtuve una asesoría muy segura y comprometida, ya que obtuve respuesta muy agil a mi situación.</t>
  </si>
  <si>
    <t>https://manybot-files.s3.eu-central-1.amazonaws.com/530239/wa/2025/09/19/original_678f46af4f4f2aae2f8a1c3fc3b31c4f.jpeg</t>
  </si>
  <si>
    <t>Oscar Sebastian</t>
  </si>
  <si>
    <t>Puentes Arevalo</t>
  </si>
  <si>
    <t>Perez Velandia</t>
  </si>
  <si>
    <t>Ramirez Holguin</t>
  </si>
  <si>
    <t>Malagon Bocarejo</t>
  </si>
  <si>
    <t>Yoan Camilo</t>
  </si>
  <si>
    <t>Cardenas Zapata</t>
  </si>
  <si>
    <t>https://manybot-files.s3.eu-central-1.amazonaws.com/530239/wa/2025/09/19/original_c6ba0672b7e3568b796b1a65625d09f9.jpeg</t>
  </si>
  <si>
    <t>Johan Camilo</t>
  </si>
  <si>
    <t>Diaz Perez</t>
  </si>
  <si>
    <t>Miguel Guillermo</t>
  </si>
  <si>
    <t>Ñungo Casallas</t>
  </si>
  <si>
    <t>Garcia Ramirez</t>
  </si>
  <si>
    <t>Jimenez Rincon</t>
  </si>
  <si>
    <t>Torres Gaitan</t>
  </si>
  <si>
    <t>El señor es muy honesto ya que se me quedó el celular y volví a los 30 minutos y me lo tenía guardado excelente ser humano</t>
  </si>
  <si>
    <t>Romero Rodriguez</t>
  </si>
  <si>
    <t>Sanchez Rueda</t>
  </si>
  <si>
    <t>Rojas Suarez</t>
  </si>
  <si>
    <t>Ivan Camilo</t>
  </si>
  <si>
    <t>Tacuma Blanco</t>
  </si>
  <si>
    <t>Serna Calderon</t>
  </si>
  <si>
    <t>Roldan</t>
  </si>
  <si>
    <t>Se demoro mucho, es un Trabajo que pudo ser de dos dias entre valoración y arreglo</t>
  </si>
  <si>
    <t>https://manybot-files.s3.eu-central-1.amazonaws.com/530239/wa/2025/09/20/original_69c89440a0e3ef9cd09aa21bda25da6d.jpeg</t>
  </si>
  <si>
    <t>Figueroa Hernandez</t>
  </si>
  <si>
    <t>FlÓrez Romero</t>
  </si>
  <si>
    <t>Fue demorada la recepción de repuestos y a la primera entrega existieron fallos en la calidad de los repuestos instalados. Debe hacerse control de calidad antes de llamar a los clientes</t>
  </si>
  <si>
    <t>CastaÑeda  Martinez</t>
  </si>
  <si>
    <t>Meliza Alexandra</t>
  </si>
  <si>
    <t>Rivera MuÑoz</t>
  </si>
  <si>
    <t>Pachecho Ochoa</t>
  </si>
  <si>
    <t>Excelente servicio en general muy atentos a solucionar los inconvenientes además un servicio muy ágil</t>
  </si>
  <si>
    <t>Anyi Katherine</t>
  </si>
  <si>
    <t>Escobar Gonzalez</t>
  </si>
  <si>
    <t>Gonzalez Cardenas</t>
  </si>
  <si>
    <t>Muy buen trabajo, me solucionaron el problema que tenia</t>
  </si>
  <si>
    <t>https://manybot-files.s3.eu-central-1.amazonaws.com/530239/wa/2025/09/22/original_2c048b9fc04bf06cb7ba9708d083573a.jpeg</t>
  </si>
  <si>
    <t>Vargas Vargas</t>
  </si>
  <si>
    <t>Danny Bryan</t>
  </si>
  <si>
    <t>Acero Morales</t>
  </si>
  <si>
    <t>Blanca Janneth</t>
  </si>
  <si>
    <t>Salamanca Callejas</t>
  </si>
  <si>
    <t>Muy buen servicio. Son con fiables y seguros.</t>
  </si>
  <si>
    <t>https://manybot-files.s3.eu-central-1.amazonaws.com/530239/wa/2025/09/23/original_9004c7c439b534bf4383a0fabaa5b5a6.jpeg</t>
  </si>
  <si>
    <t>Tupaz Almeida</t>
  </si>
  <si>
    <t>Saenz Tenorio</t>
  </si>
  <si>
    <t>John Ricardo</t>
  </si>
  <si>
    <t>Peralta Morales</t>
  </si>
  <si>
    <t>Silvia Maria</t>
  </si>
  <si>
    <t>Hernandez Otalvaro</t>
  </si>
  <si>
    <t>Mallarino</t>
  </si>
  <si>
    <t>Leidi  Fernanda</t>
  </si>
  <si>
    <t>Saenz Piza</t>
  </si>
  <si>
    <t>Ovalle Romero</t>
  </si>
  <si>
    <t>Kevin</t>
  </si>
  <si>
    <t>Reapira</t>
  </si>
  <si>
    <t>https://manybot-files.s3.eu-central-1.amazonaws.com/530239/wa/2025/09/24/original_d0fbaf8eafb49137163c720ec5d0cd73.jpeg</t>
  </si>
  <si>
    <t>Escudero Rios</t>
  </si>
  <si>
    <t>Molano Vega</t>
  </si>
  <si>
    <t>Me dijeron que ya estaba lista pedí el favor que fueran a recogerla y se demoraron en entregarla...</t>
  </si>
  <si>
    <t>Aluminios Canosas</t>
  </si>
  <si>
    <t>Aydee</t>
  </si>
  <si>
    <t>Carrazco</t>
  </si>
  <si>
    <t>Eliecer David</t>
  </si>
  <si>
    <t>Gomez Villamil</t>
  </si>
  <si>
    <t>En el momento que la traje se me dijo que se realizarían reparaciones por temas de garantías, los cuales no se realizaron porque no se registraron. El técnico cirstan quien fue el que la recibió me dijo que lo cambiaría ya que el cambio del guradafangos como era garantía de una reparación previa de no mayor a 5 día ese cambio se hacía de inmediato. Hoy que vengo a retirar la patineta la encuentro que no se hizo la garantía, me dicen que mis reparaciones previas no aparecen y que el técnico ya no trabaja acá.</t>
  </si>
  <si>
    <t>Fabian Eduardo</t>
  </si>
  <si>
    <t>Barragan  Castro</t>
  </si>
  <si>
    <t>Cutiva Alvarez</t>
  </si>
  <si>
    <t>Parra Tijaro</t>
  </si>
  <si>
    <t>solo un inconveniente, yo deje el cargador y los trabajadores no lo registraron  entonces  me dijeron que  tenían que mirar camaras etc,  a ver sonde estaba el cargador, por uqe no lo habían anotado. entonces  me dijeron que tenia que volver otro dia  a ver si el cargador  si aparecía.   finalmente  si aparecio</t>
  </si>
  <si>
    <t>https://manybot-files.s3.eu-central-1.amazonaws.com/530239/wa/2025/09/29/original_4af759d7903a1ce6c5bd97d02bbcc9d1.jpeg</t>
  </si>
  <si>
    <t>Charry</t>
  </si>
  <si>
    <t>RodrÍguez</t>
  </si>
  <si>
    <t>Más ágil y más económico</t>
  </si>
  <si>
    <t>https://manybot-files.s3.eu-central-1.amazonaws.com/530239/wa/2025/09/24/original_f0a0a68631809f8fa030a981c61a4497.jpeg</t>
  </si>
  <si>
    <t>Erazo Cucalon</t>
  </si>
  <si>
    <t>Torres Palencia</t>
  </si>
  <si>
    <t>William FabiÁn</t>
  </si>
  <si>
    <t>Poveda Sanchez</t>
  </si>
  <si>
    <t>Melecio Cardona</t>
  </si>
  <si>
    <t>Los asesores y empelados del taller son muy amables y atentos, aunque el servicio de mantenimiento es un poco costoso siendo para una patineta casi nueva.</t>
  </si>
  <si>
    <t>https://manybot-files.s3.eu-central-1.amazonaws.com/530239/wa/2025/09/25/original_af033eedcde51b989ae88cba685e58d5.jpeg</t>
  </si>
  <si>
    <t>CastaÑo</t>
  </si>
  <si>
    <t>Salome</t>
  </si>
  <si>
    <t>Vasquez Arango</t>
  </si>
  <si>
    <t>Villarreal</t>
  </si>
  <si>
    <t>Julio Enrique</t>
  </si>
  <si>
    <t>Pedraza Beltran</t>
  </si>
  <si>
    <t>Diligentes</t>
  </si>
  <si>
    <t>Charlis Darwin</t>
  </si>
  <si>
    <t>Queralez</t>
  </si>
  <si>
    <t>Jairo Camilo</t>
  </si>
  <si>
    <t>RiaÑo Posada</t>
  </si>
  <si>
    <t>Considero q las moped deberían venir lista sin limitantes de velocidad</t>
  </si>
  <si>
    <t>https://manybot-files.s3.eu-central-1.amazonaws.com/530239/wa/2025/09/26/original_a1ad74c1cf430a5268e3cf611c650359.jpeg</t>
  </si>
  <si>
    <t>Diego David</t>
  </si>
  <si>
    <t>Restrepo Barrios</t>
  </si>
  <si>
    <t>Erika Yazmin</t>
  </si>
  <si>
    <t>Anacona OrdoÑez</t>
  </si>
  <si>
    <t>Edgard</t>
  </si>
  <si>
    <t>Gonzalez Romero</t>
  </si>
  <si>
    <t>Juan Paulo</t>
  </si>
  <si>
    <t>OrtegÓn Valencia</t>
  </si>
  <si>
    <t>Chaves Rivera</t>
  </si>
  <si>
    <t>Kevin Eduard</t>
  </si>
  <si>
    <t>Valencia Suarez</t>
  </si>
  <si>
    <t>Me encanta MINCA, son demasiado TOP con su servicio, sus productos y sobre todo su atención, siempre es como llegar a casa !! 🫂</t>
  </si>
  <si>
    <t>https://manybot-files.s3.eu-central-1.amazonaws.com/530239/wa/2025/09/26/original_0b5c0033d25be505e53e997d9a2a5691.jpeg</t>
  </si>
  <si>
    <t>Cordero</t>
  </si>
  <si>
    <t>VALENTINA</t>
  </si>
  <si>
    <t>AYALA QUINCHE</t>
  </si>
  <si>
    <t>https://storage.googleapis.com/tapthetable/assets/1989204/inbox/573194527981/1257058552861562.jpeg</t>
  </si>
  <si>
    <t>2025-09-26T13:25:25-05:00</t>
  </si>
  <si>
    <t>Michell Chiquinquira</t>
  </si>
  <si>
    <t>Martinez Portillo</t>
  </si>
  <si>
    <t>Roximer Alejandra</t>
  </si>
  <si>
    <t>Andrey Alejandro</t>
  </si>
  <si>
    <t>Ayala Martinez</t>
  </si>
  <si>
    <t>https://manybot-files.s3.eu-central-1.amazonaws.com/530239/wa/2025/09/26/original_61c7f0d2e2383d2186c97cdf94aa967a.jpeg</t>
  </si>
  <si>
    <t>Cantor</t>
  </si>
  <si>
    <t>Estuvo perfecto todo</t>
  </si>
  <si>
    <t>https://manybot-files.s3.eu-central-1.amazonaws.com/530239/wa/2025/09/26/original_8ffdf3efed98bd2d1d823a2b69a8bcb8.jpeg</t>
  </si>
  <si>
    <t>Ceron Rincon</t>
  </si>
  <si>
    <t>Bryan Ricardo</t>
  </si>
  <si>
    <t>Mendez Alvarado</t>
  </si>
  <si>
    <t>https://manybot-files.s3.eu-central-1.amazonaws.com/530239/wa/2025/09/26/original_b6a54a23e3901e3033a6448c9e9edd40.jpeg</t>
  </si>
  <si>
    <t>GABRIEL</t>
  </si>
  <si>
    <t>GUTIERREZ</t>
  </si>
  <si>
    <t>Espectacular todo Prueba prueba PRUEBA</t>
  </si>
  <si>
    <t>https://storage.googleapis.com/tapthetable/assets/1989204/inbox/573114418400/723430187418006.jpeg</t>
  </si>
  <si>
    <t>Valentina Ayala prieba</t>
  </si>
  <si>
    <t>2025-09-26T17:26:32-05:00</t>
  </si>
  <si>
    <t>Puentes Rozo</t>
  </si>
  <si>
    <t>https://manybot-files.s3.eu-central-1.amazonaws.com/530239/wa/2025/09/27/original_d0c017e057796af25c22859d562617a7.jpeg</t>
  </si>
  <si>
    <t>Montero Suarez</t>
  </si>
  <si>
    <t>https://manybot-files.s3.eu-central-1.amazonaws.com/530239/wa/2025/09/27/original_7789a8001de248b658a9190d7c4fded2.jpeg</t>
  </si>
  <si>
    <t>Torres Ayala</t>
  </si>
  <si>
    <t>Larios Benavides</t>
  </si>
  <si>
    <t>https://manybot-files.s3.eu-central-1.amazonaws.com/530239/wa/2025/09/27/original_e88a961df489d8e44d3886553e27702e.jpeg</t>
  </si>
  <si>
    <t>Elisa</t>
  </si>
  <si>
    <t>Castrillon Palacio</t>
  </si>
  <si>
    <t>Arias Betacourth</t>
  </si>
  <si>
    <t>Mucho tiempo para un simple revisión de mantenimiento</t>
  </si>
  <si>
    <t>https://manybot-files.s3.eu-central-1.amazonaws.com/530239/wa/2025/09/27/original_6434ab46853f823285b285ecbd4e35a9.jpeg</t>
  </si>
  <si>
    <t>La Mafe Mendez Sas</t>
  </si>
  <si>
    <t>VelÁsquez Gaona</t>
  </si>
  <si>
    <t>Necesito nueva revisión se me apagó 4 veces en el trayecto a mi trabajo y me aparece error en el tablero</t>
  </si>
  <si>
    <t>Eriselh</t>
  </si>
  <si>
    <t>Rebolledo</t>
  </si>
  <si>
    <t>Juyo Romero</t>
  </si>
  <si>
    <t>En general la limpieza bien, sin embargo por el problema que la llevé incicialmente no fue resultó del todo, que son los frenos.</t>
  </si>
  <si>
    <t>Torres Martinez</t>
  </si>
  <si>
    <t>Fernaldo</t>
  </si>
  <si>
    <t>Mogollon Cruz</t>
  </si>
  <si>
    <t>Alferd Jose</t>
  </si>
  <si>
    <t>Valera Leon</t>
  </si>
  <si>
    <t>Paez Aljure</t>
  </si>
  <si>
    <t>Sandoval Ospina</t>
  </si>
  <si>
    <t>Terrible, los vendedores hacen publicidad engañosa para que uno compre el seguro y las condiciones de este terminan siendo distintas</t>
  </si>
  <si>
    <t>Omar Hernando</t>
  </si>
  <si>
    <t>Chaparro Rojas</t>
  </si>
  <si>
    <t>Natalia Isabel</t>
  </si>
  <si>
    <t>Manco Maza</t>
  </si>
  <si>
    <t>Gomez Eusse</t>
  </si>
  <si>
    <t>Todo súper bien. Muchas gracias.</t>
  </si>
  <si>
    <t>https://manybot-files.s3.eu-central-1.amazonaws.com/530239/wa/2025/09/29/original_788bb7fbebce3415f870a2c814c3d168.jpeg</t>
  </si>
  <si>
    <t>ANDRES FELIPE</t>
  </si>
  <si>
    <t>OTALORA CALA</t>
  </si>
  <si>
    <t>Por favor ampliar horarios para recoger las patinetas</t>
  </si>
  <si>
    <t>NICOLAS ALFREDO</t>
  </si>
  <si>
    <t>RONCERIA RODRIGUEZ</t>
  </si>
  <si>
    <t>Me pareció muy buen servicio ya que se tuvo que cambiar el motor y se aplicó la garantía, lo único no tan bueno es que se demoró poco más de una semana, pero en general muy bien</t>
  </si>
  <si>
    <t>SERGIO</t>
  </si>
  <si>
    <t>OVALLE CAYON</t>
  </si>
  <si>
    <t>EDWIN LEONARDO</t>
  </si>
  <si>
    <t>GUERRERO DAZA</t>
  </si>
  <si>
    <t>Sería muy bueno revisar los horarios de atención, por temas laborales es muy dificil ajustarse a esos horarios</t>
  </si>
  <si>
    <t>MARCOLINO</t>
  </si>
  <si>
    <t>CARO</t>
  </si>
  <si>
    <t>YUDY PATRICIA</t>
  </si>
  <si>
    <t>ENCISO MARIN</t>
  </si>
  <si>
    <t>Maravillso todo! El servicio inigualable. Muy ordenados</t>
  </si>
  <si>
    <t>DAVID FELIPE</t>
  </si>
  <si>
    <t>GAITAN PACHON</t>
  </si>
  <si>
    <t>Amables y sencillos, muy fácil el proceso y calidad</t>
  </si>
  <si>
    <t>JULIAN EDUARDO</t>
  </si>
  <si>
    <t>RIVERA RUBIANO</t>
  </si>
  <si>
    <t>Quiero felicitar al personal técnico del taller de chico ya que su agilidad su oportuna atención y su eficacia a la hora de resolver los problemas es algo de felicitar</t>
  </si>
  <si>
    <t>PEDRO JUAN</t>
  </si>
  <si>
    <t>PABLO MORENO</t>
  </si>
  <si>
    <t>Muy bueno y felicitaciones a las personas que me atendieron hoy en la mañana</t>
  </si>
  <si>
    <t>KILINSMANN</t>
  </si>
  <si>
    <t>LEMUS BONILLA</t>
  </si>
  <si>
    <t>Exelente servicio y eficacia</t>
  </si>
  <si>
    <t>WILLIAM ARTURO</t>
  </si>
  <si>
    <t>HERNANDEZ VALLEJO</t>
  </si>
  <si>
    <t>Hasta el momento me ha parecido muy buena la postventa.</t>
  </si>
  <si>
    <t>MANUEL ALEJANDRO</t>
  </si>
  <si>
    <t>RAIGOZO REY</t>
  </si>
  <si>
    <t>PAULINA</t>
  </si>
  <si>
    <t>ARANGO LORZA</t>
  </si>
  <si>
    <t>Fueron muy amables, atentos y eficientes</t>
  </si>
  <si>
    <t>GERALDINE</t>
  </si>
  <si>
    <t>TORRES CHACON</t>
  </si>
  <si>
    <t>Los tiempos de entrega</t>
  </si>
  <si>
    <t>2025-10-03T11:52:02-05:00</t>
  </si>
  <si>
    <t>EDELMIRA</t>
  </si>
  <si>
    <t>ACOSTA ZAMBRANO</t>
  </si>
  <si>
    <t>Muy confiable y responsable</t>
  </si>
  <si>
    <t>SERGIO NICOLAS</t>
  </si>
  <si>
    <t>RUIZ PEÑA</t>
  </si>
  <si>
    <t>IVAN CAMILO</t>
  </si>
  <si>
    <t>VILLARRAGA RIAÑO</t>
  </si>
  <si>
    <t>Exelente servicio y muy contento con la atención</t>
  </si>
  <si>
    <t>MIGUEL</t>
  </si>
  <si>
    <t>BRIJALDO ALBA</t>
  </si>
  <si>
    <t>Muy buena y rápida la atención</t>
  </si>
  <si>
    <t>CLAUDIA JIMENA</t>
  </si>
  <si>
    <t>PALACIOS BERNAL</t>
  </si>
  <si>
    <t>Servicio amable</t>
  </si>
  <si>
    <t>SOFIA</t>
  </si>
  <si>
    <t>DIAZ BRUNAL</t>
  </si>
  <si>
    <t>Muy buen porce9s de mantenimiento y bastante eficiente</t>
  </si>
  <si>
    <t>JAIRO ALONSO</t>
  </si>
  <si>
    <t>ORDOÑEZ CAICEDO</t>
  </si>
  <si>
    <t>Cuando se le hace mantenimiento sería bueno que le la entregarán con buena carga del resto excelente</t>
  </si>
  <si>
    <t>ALEXANDER</t>
  </si>
  <si>
    <t>NORIEGA PEINADO</t>
  </si>
  <si>
    <t>Atención muy buena, atendieron todas mis solicitudes y mi patineta quedó nuevamente en óptimas condiciones. Gracias!!!</t>
  </si>
  <si>
    <t>FLORALBA</t>
  </si>
  <si>
    <t>ROJAS CARRERO</t>
  </si>
  <si>
    <t>GINA</t>
  </si>
  <si>
    <t>VILLAMIL PAEZ</t>
  </si>
  <si>
    <t>Lleve la patineta por mantenimiento preventivo y me realizaron una cotización por cosas adicionales que iban dentro del mantenimiento preventivo. Al consultar me informaron que solo por revisar cobran el mantenimiento preventivo y por limpiar. Es exagerado el cobro teniendo en cuenta además que la patineta se lleva a la mismo servicio de mantenimiento de minca.</t>
  </si>
  <si>
    <t>JUAN FELIPE</t>
  </si>
  <si>
    <t>ALVAREZ RIZZO</t>
  </si>
  <si>
    <t>Fue muy buena y rápida.</t>
  </si>
  <si>
    <t>DANIEL</t>
  </si>
  <si>
    <t>ALARCON</t>
  </si>
  <si>
    <t>Mi patineta entro 3 veces al taller por un pinchazo, al final encontré la mala reparación realizada, el parche instalado generó un "huevo" ocasiónando extrema vibración, el taller ofreció cambio de rueda en la cuarta entrada al taller, pero no la cambiaron, creo arreglaron bien el pinchazo pero sigue la vibración.</t>
  </si>
  <si>
    <t>JHON</t>
  </si>
  <si>
    <t>CARRILLO</t>
  </si>
  <si>
    <t>La marca es muy buena, de hecho tuve la versión anterior 2022 y me fue muy bien</t>
  </si>
  <si>
    <t>FELIPE</t>
  </si>
  <si>
    <t>TOLOZA CONTRERAS</t>
  </si>
  <si>
    <t>YENIFER</t>
  </si>
  <si>
    <t>NAVAS ROJAS</t>
  </si>
  <si>
    <t>Excelente servicio muchas gracias</t>
  </si>
  <si>
    <t>JUAN PABLO</t>
  </si>
  <si>
    <t>MORENO CONTRERAS</t>
  </si>
  <si>
    <t>Interesante sería darle prioridad a los que venimos desde afuera de la ciudad, para poder tener ese mantenimiento en el mismo día.  Mi caso, vengo desde la Mesa Cundinamarca, 110 km es recorrido en la y regreso, 3 peajes de los caros.</t>
  </si>
  <si>
    <t>WILLIAM ANDRES</t>
  </si>
  <si>
    <t>SIERRA SANCHEZ</t>
  </si>
  <si>
    <t>Vivo en ese taller, hago lo que me piden siempre, le compré forro para el agua, le compré impermeabilización, voy cada que cumplo un kilometraje a que le hagan mantenimiento. Pero vivo en ese taller. Y es un vehículo que tiene menos de un año de comprado. El ANS de tres días que te dicen en recepción cuando entregas la scooter nunca se cumple, yo debo esperar alrededor de ~8 días para la salida.</t>
  </si>
  <si>
    <t>ANNA MILOSLAVA</t>
  </si>
  <si>
    <t>TAJC HERRERA</t>
  </si>
  <si>
    <t>El servicio fue bueno, insistieron hasta encontrar el daño. La atención en punto, buena muy amables</t>
  </si>
  <si>
    <t>CARLOS ARTURO</t>
  </si>
  <si>
    <t>PORTILLO CRUZ</t>
  </si>
  <si>
    <t>Excelente servicio y atención, con referencia a su mantenimiento sugiero realizar una verificación más profunda de las fallas dado que en ocasiones he vuelto por fallas similares o que se pudieron evidenciar en el mantenimiento preventivo. Gracias</t>
  </si>
  <si>
    <t>JULIAN</t>
  </si>
  <si>
    <t>CORTES BAEZ</t>
  </si>
  <si>
    <t>La marca me parece muy buena, la atención, tiempo de respuesta y calidad del producto excelentes, feliz con mi Minca</t>
  </si>
  <si>
    <t>JUAN DAVID</t>
  </si>
  <si>
    <t>CIPAGAUTA</t>
  </si>
  <si>
    <t>JOSE LUIS</t>
  </si>
  <si>
    <t>ESPITIA ZAMBRANO</t>
  </si>
  <si>
    <t>LUIS FERNANDO</t>
  </si>
  <si>
    <t>ROMÁN OSPINA</t>
  </si>
  <si>
    <t>Atención óptima desde el ingreso</t>
  </si>
  <si>
    <t>SALES ANDSERVICES TECHNOLOGY SYSTEMS S A S</t>
  </si>
  <si>
    <t>JOHN HENDRYX</t>
  </si>
  <si>
    <t>COLORADO ROMERO</t>
  </si>
  <si>
    <t>Reo que es la mejor opción calidad precio y la estética de la patineta es espectacular solo le pondríais un guarda fangos delantero para esa patineta. Por todo lo demás es espectacular!</t>
  </si>
  <si>
    <t>ALBERTO</t>
  </si>
  <si>
    <t>VILLAMARIN</t>
  </si>
  <si>
    <t>La experiencia fue muy mala en esta oportunidad debido a varios factores: 1. Autorice el trabajo por Whats Up según mis necesidades; pero pasado el tiempo, no había comunicación, entonces decidí ir al taller. No estaba lista por falta de autorización. 2 entonces autorice que se realizara el mantenimiento y se despinchara (razón por la que la llevaba al taller) y cuando fui le habían cambiado la llanta, sin mi autorización. Eso me parece un mal servicio.</t>
  </si>
  <si>
    <t>JUAN SEBASTIAN</t>
  </si>
  <si>
    <t>USSA SALCEDO</t>
  </si>
  <si>
    <t>Excelente tiempo de respuesta y muy buen servicio se sintio la diferencia 100%</t>
  </si>
  <si>
    <t>HEYDY VANESA</t>
  </si>
  <si>
    <t>AMAYA RODRIGUEZ</t>
  </si>
  <si>
    <t>Sería chévere que ofrecerán el servicio de lavado
Fuera del mantenimiento</t>
  </si>
  <si>
    <t>ANDRES STIVEN</t>
  </si>
  <si>
    <t>GOMEZ TEGUA</t>
  </si>
  <si>
    <t>Respaldo de la marca</t>
  </si>
  <si>
    <t>MARIA ANGELICA</t>
  </si>
  <si>
    <t>SARMIENTO BELTRAN</t>
  </si>
  <si>
    <t>Antes de realizar cualquier ajuste en las cotizaciones,ordenes y demás deben ser validadas directamente con el propietario, ya que como bn lo han exigido siempre es el propietario que debe dar la previa autorización</t>
  </si>
  <si>
    <t>PARTNERS</t>
  </si>
  <si>
    <t>360 SAS</t>
  </si>
  <si>
    <t>ELIECER DAVID</t>
  </si>
  <si>
    <t>GOMEZ VILLAMIL</t>
  </si>
  <si>
    <t>Van mejorando en Medellín, ya que el taller antes el servicio era regular, cambiaron al técnico y está mejorando</t>
  </si>
  <si>
    <t>LIZARAZO REYES</t>
  </si>
  <si>
    <t>Estaba el motor dañado, salió rodando del sitio, pauperrima atencion</t>
  </si>
  <si>
    <t>MANUELA</t>
  </si>
  <si>
    <t>VERGARA RIVILLAS</t>
  </si>
  <si>
    <t>Tuve problemas con la recepción de los mensajes para ingresar, pero el personal fue muy amable y atento</t>
  </si>
  <si>
    <t>MARIA DEL PILAR</t>
  </si>
  <si>
    <t>CUERVO ORTIZ</t>
  </si>
  <si>
    <t>OSSA NARANJO</t>
  </si>
  <si>
    <t>Buen servicio tecnico</t>
  </si>
  <si>
    <t>ALEJANDRO</t>
  </si>
  <si>
    <t>ESTUPIÑÁN FRANCO</t>
  </si>
  <si>
    <t>Revisar a detalle la scooter según la novedad que presente el cliente, ir un poco mas allá de la revisión general</t>
  </si>
  <si>
    <t>RENATO</t>
  </si>
  <si>
    <t>BAÑOS ZARATE</t>
  </si>
  <si>
    <t>Me parece increíble que al recoger la patineta la devuelvan en el mismo estado y no tengan la mínima cortesía de una limpieza ….</t>
  </si>
  <si>
    <t>YENSY NATALITH</t>
  </si>
  <si>
    <t>JIMENEZ RIASCOS</t>
  </si>
  <si>
    <t>Solo me molestó el tema del tiempo que estuvo la patineta en el taller. 15 días exactamente y el día que yo la ingresé, al día siguiente me llegó la cotización para autorizar y autoricé todo y se demoró 15 días. Lo cual se me hizo mucho tiempo. Pero de resto bien</t>
  </si>
  <si>
    <t>JUAN  DIEGO</t>
  </si>
  <si>
    <t>JARAMILLO  GUTIERREZ</t>
  </si>
  <si>
    <t>Estuvo bien.
Pero sería bueno siempre tener presente el tema de la garantía. Porque gracias a eso podrían cobrar arreglar que no deberían ser cobrados</t>
  </si>
  <si>
    <t>ESTUDIO TERRAZZO SAS</t>
  </si>
  <si>
    <t>Muy atentos y rápido el servicio</t>
  </si>
  <si>
    <t>MONTALVO</t>
  </si>
  <si>
    <t>ALBERTO NICOLAS</t>
  </si>
  <si>
    <t>PARRA ACERO</t>
  </si>
  <si>
    <t>Me habría gustado que fuera más rápido el servicio porque estuve sin mi scooter casi 8 días, pero entiendo que eran temas electrónicos y es mejor evitar daños más grandes</t>
  </si>
  <si>
    <t>INDIRA GIRLEZA</t>
  </si>
  <si>
    <t>CASTELLANOS MARTINEZ</t>
  </si>
  <si>
    <t>Excelente atención, pero sugerencias por favor sería genial que tengas todos los respuestos de la Minca y gracias.</t>
  </si>
  <si>
    <t>VALERIA</t>
  </si>
  <si>
    <t>RONDON RINCON</t>
  </si>
  <si>
    <t>Muy amables, buena atención</t>
  </si>
  <si>
    <t>INGRID ADELAIDE</t>
  </si>
  <si>
    <t>CHACON ACOSTA</t>
  </si>
  <si>
    <t>He tenido muchos inconvenientes con el producto y por ende muchas visitas a servicios técnicos y siempre o reincide una falla o algo nuevo sucede, el producto es conveniente por movilidad pero no estoy muy satisfecho con el producto después de poco mas de 1 año de haberla adquirido</t>
  </si>
  <si>
    <t>AURA JUDITH</t>
  </si>
  <si>
    <t>GOMEZ MEZA</t>
  </si>
  <si>
    <t>Excelente servicio tecnico</t>
  </si>
  <si>
    <t>CATALINA</t>
  </si>
  <si>
    <t>LEON CERPA</t>
  </si>
  <si>
    <t>Excelente trabajo y atención</t>
  </si>
  <si>
    <t>ANGELICA  MARIA</t>
  </si>
  <si>
    <t>CAYSEDO</t>
  </si>
  <si>
    <t>Es una excelente experiencia, me encanta minca</t>
  </si>
  <si>
    <t>HELMUTH</t>
  </si>
  <si>
    <t>VARGAS PEREZ</t>
  </si>
  <si>
    <t>MAICOL STIVEN</t>
  </si>
  <si>
    <t>ALVARADO SIATOVA</t>
  </si>
  <si>
    <t>SANTIAGO</t>
  </si>
  <si>
    <t>REYES CORRECHA</t>
  </si>
  <si>
    <t>N/A</t>
  </si>
  <si>
    <t>WILLIAN</t>
  </si>
  <si>
    <t>AMAYA ALBORNOZ</t>
  </si>
  <si>
    <t>todo bien</t>
  </si>
  <si>
    <t>RODOLFO</t>
  </si>
  <si>
    <t>VERANO HERNANDEZ</t>
  </si>
  <si>
    <t>Cómo recomendación, se debe prestar más atención a la impermeabilización de la patineta teniendo en cuenta que es para la calle y por ende se puede mojar en todos sus dispositivos bajo la lluvia. Gracias</t>
  </si>
  <si>
    <t>SARA INVERSIONES</t>
  </si>
  <si>
    <t>Siempre han sido muy amables y con buena actitud de servicio</t>
  </si>
  <si>
    <t>ANDREW CAMILO</t>
  </si>
  <si>
    <t>SANCHEZ</t>
  </si>
  <si>
    <t>MARIELA</t>
  </si>
  <si>
    <t>OVALLE</t>
  </si>
  <si>
    <t>ARJONA CAÑON</t>
  </si>
  <si>
    <t>El servicio todo bien, solo que al entregar la patineta me ma entregan sin carga, no es posible llegar así a ningun lado</t>
  </si>
  <si>
    <t>MARTHA MILENA</t>
  </si>
  <si>
    <t>GARCIA</t>
  </si>
  <si>
    <t>PAULA CAMILA</t>
  </si>
  <si>
    <t>MARENTES HERRERA</t>
  </si>
  <si>
    <t>Sugiero que vayan comentando la situación a tiempo cuando algo no lo tienen</t>
  </si>
  <si>
    <t>ANGIE CAROLINA</t>
  </si>
  <si>
    <t>PARADA TRIVIÑO</t>
  </si>
  <si>
    <t>Tienen una excelente atención y muy efectivos en el momento de entregar mi patineta muchas gracias  🙂</t>
  </si>
  <si>
    <t>VIVIANA</t>
  </si>
  <si>
    <t>CAMPOS ROMERO</t>
  </si>
  <si>
    <t>Muy buena la atención prestada, fue tapido el mantenimiento</t>
  </si>
  <si>
    <t>DIANA</t>
  </si>
  <si>
    <t>NEME</t>
  </si>
  <si>
    <t>He llevado varias veces la patineta al taller y siento que no le revisan todo solo lo que uno les indica y no siento que le hagan pruebas</t>
  </si>
  <si>
    <t>SERGIO ANDRES</t>
  </si>
  <si>
    <t>MORALES GARCIA</t>
  </si>
  <si>
    <t>WEIFORT STIVEN</t>
  </si>
  <si>
    <t>ALVAREZ VEGA</t>
  </si>
  <si>
    <t>Me deja muy arrepentido el haber hecho una compra con su marca 
Es muy oportunista el hacer el cobro de un mantenimiento a una patineta que ni siquiera lleva los 6 meses de garantía aparte de cobrarme hasta las despinchada que es  otras ocasiones me dijeron que no las cobraban 
La patineta llevaba un guardabarros roto y está sin pastillas de frenos no era más pero se me hace excesivo el cobro no estoy nada contento y no entiendo cómo trabaja una empresa como ustedes donde nos les interese fidelizar su clientela y hagan este tipo de arbitrariedades</t>
  </si>
  <si>
    <t>NEIRA BUILES</t>
  </si>
  <si>
    <t>Muy serios y no me dijeron nada con respecto a mis puntos que queria que revisaran</t>
  </si>
  <si>
    <t>EDWAR IGNACIO</t>
  </si>
  <si>
    <t>PATIÑO DIEZ</t>
  </si>
  <si>
    <t>Volví a confiar en la marca ya que la garantía se hizo efectiva nuevamente mincalover</t>
  </si>
  <si>
    <t>TRIANA</t>
  </si>
  <si>
    <t>La revisión estuvo muy bien la entregan en impecable estado, tengo pendiente cambiar el cable de freno trasero ya que se daño, espero que cuando se encuentre disponible se encuentre dentro de la garantia</t>
  </si>
  <si>
    <t>MABEL</t>
  </si>
  <si>
    <t>CAMACHO MENDES</t>
  </si>
  <si>
    <t>Estoy contestando la encuesta sin saber cómo se desempeñe la patineta después del mantenimiento. En el primer mantenimiento, la patineta salió con un ruido que esperamos esta vez se elimine por completo</t>
  </si>
  <si>
    <t>NICOLAS</t>
  </si>
  <si>
    <t>FERREIRA VECERRA</t>
  </si>
  <si>
    <t>CABEZAS MORA</t>
  </si>
  <si>
    <t>Super, me siento muy cómodo y mas tranquilo es un poco difícil adaptarse a este tipo de transporte pero son muy buenas las patinetas 🙏🏻</t>
  </si>
  <si>
    <t>YEPES CHARRY</t>
  </si>
  <si>
    <t>Confianza en la patineta, el servicio y el trabajo</t>
  </si>
  <si>
    <t>CRISTHIAN ANDRES</t>
  </si>
  <si>
    <t>OVIEDO MONTALVO</t>
  </si>
  <si>
    <t>Debería haber la opción de cambiar el guardabarros de la Minca 2400 versión anterior ( la de suspensión delantera hidráulica) siempre me ensucia mucho cuando salgo. Por favor habiliten esa mejora para nuestras mincas 2400 que ya tenemos</t>
  </si>
  <si>
    <t>LINA MARCELA</t>
  </si>
  <si>
    <t>YEPES SALAZAR</t>
  </si>
  <si>
    <t>Mi primer mantenimiento y me encantó la atención y la agilidad en el mantenimiento, me entregaron mi Minca limpiecita, muy bien ajustada, mejor dicho como nueva. Gracias</t>
  </si>
  <si>
    <t>CARLOS ARTACHO</t>
  </si>
  <si>
    <t>ABASCAR</t>
  </si>
  <si>
    <t>Todo excelente . El servicio técnico según lo esperado</t>
  </si>
  <si>
    <t>JUAN CAMILO</t>
  </si>
  <si>
    <t>ORDÓÑEZ</t>
  </si>
  <si>
    <t>La tenvion y servicio siempre a la orden del cliente, tal vez tratar de que los tiempos en taller se reduzcan un poco, de resto 👍🏻</t>
  </si>
  <si>
    <t>HAROLD DAVID</t>
  </si>
  <si>
    <t>MOLANO TOLOZA</t>
  </si>
  <si>
    <t>Fue mejor de lo que esperaba, la atención, el servicio, la revisión y todo! Estoy enamorado</t>
  </si>
  <si>
    <t>CRISTHIAN</t>
  </si>
  <si>
    <t>ORJUELA</t>
  </si>
  <si>
    <t>Sugeriría que antes de entregar una patineta, verifiquen que todo se encuentra en orden, ya que lleve mi patineta para mantenimiento y me la entregaron con un sonido en la suspensión, aparentemente no la habían lubricado, volví y la llevé para que revisaran y después de andarla un par de calles, encontré que el sonido continuaba</t>
  </si>
  <si>
    <t>COMBARIZA CONTRERAS</t>
  </si>
  <si>
    <t>El servicio es rapido y es de buena calidad</t>
  </si>
  <si>
    <t>JAIME NICOLÁS</t>
  </si>
  <si>
    <t>RIAÑO ROJAS</t>
  </si>
  <si>
    <t>En realidad me parece muy bueno el soporte que brindan a la hora de mantenimientos y demás, la información es clara, tengo solo un pero, la lleve porque se dañó el espejo izquierdo y 5 días después de dejarla me comentan que no hay espejo para remplazar, además dejaron el tornillo roto en donde estaba no se molestaron ni siquiera en sacarlo, eso me deja desilusionado. 😞</t>
  </si>
  <si>
    <t>ANGELA BEATRIS</t>
  </si>
  <si>
    <t>TORRES TAMAYO</t>
  </si>
  <si>
    <t>Fatal. Las personas del taller y la de recepción dejaron muy apretada la patineta, imposible de plegar. Para ajustar incluso el manubrio tenían que golpear para que encajara.</t>
  </si>
  <si>
    <t>YULY TATIANA</t>
  </si>
  <si>
    <t>LOPEZ MENDEZ</t>
  </si>
  <si>
    <t>ROBINSON</t>
  </si>
  <si>
    <t>MENA PEÑA</t>
  </si>
  <si>
    <t>Óptimo no tengo ninguna queja mi experiencia con mi minca 800 a sido muy buena</t>
  </si>
  <si>
    <t>PASTRANA BONILLA</t>
  </si>
  <si>
    <t>La atención de entrada fue rápida, me hicieron el trabajo por garantía. Estuvo bien</t>
  </si>
  <si>
    <t>IVAN RICARDO</t>
  </si>
  <si>
    <t>MURCIA GARCIA</t>
  </si>
  <si>
    <t>El servicio que prestaron fue bueno, sin embargo no se encontraban todos los repuestos que se necesitaban y ya es la segunda vez que pasa, a tener en cuenta porque es tiempo que el cliente invierte en ir hasta las sedes y la idea es estar completamente satisfecho y tener la patineta 100% al día</t>
  </si>
  <si>
    <t>MIGUEL ALBERTO</t>
  </si>
  <si>
    <t>BOCCARDO WITZKE</t>
  </si>
  <si>
    <t>El CRM no funcionó para avisarme que la patineta estaba lista, tuve que escribir para saber qué había pasado con ella, hablé con Marcela por acá, me dijo que estaba lista y al día siguiente me llegó un mensaje por acá que estaba lista y que la fuera a buscar para que no me cobraran almacenaje... si el sistema no funcionó para yo ir cuando me la prometieron, no deben mandar el mensaje de presión de los 5 días</t>
  </si>
  <si>
    <t>ANDRES</t>
  </si>
  <si>
    <t>HAMON SILVA</t>
  </si>
  <si>
    <t>El servicio bueno y la amabilidad de las personas en el taller excelente</t>
  </si>
  <si>
    <t>JUAN GABRIEL</t>
  </si>
  <si>
    <t>PARRA GARCIA</t>
  </si>
  <si>
    <t>Siempre me ha ido bien con ustedes</t>
  </si>
  <si>
    <t>YEFERSON</t>
  </si>
  <si>
    <t>ACOSTA</t>
  </si>
  <si>
    <t>Excelente servicio 👏🏻</t>
  </si>
  <si>
    <t>JORGE EDUARDO</t>
  </si>
  <si>
    <t>MEJIA</t>
  </si>
  <si>
    <t>En fin de semana en la sede de Cedritos, la persona que atiende en el taller no da a basto</t>
  </si>
  <si>
    <t>FREDDY ALEJANDRO</t>
  </si>
  <si>
    <t>CASALLAS RODRIGUEZ</t>
  </si>
  <si>
    <t>EDWARD DANIEL</t>
  </si>
  <si>
    <t>TRIANA RODRÍGUEZ</t>
  </si>
  <si>
    <t>JHANN CARLOS</t>
  </si>
  <si>
    <t>DAZA DIAZ</t>
  </si>
  <si>
    <t>LADY CAROLINA</t>
  </si>
  <si>
    <t>GAMBOA RUIZ</t>
  </si>
  <si>
    <t>Muy amable y eficiente 
Muchas gracias 😊</t>
  </si>
  <si>
    <t>FREDDY ALEXANDER</t>
  </si>
  <si>
    <t>GOMEZ MORALES</t>
  </si>
  <si>
    <t>Muy demorada la respuesta del contact service</t>
  </si>
  <si>
    <t>FELIPE GAITÁN</t>
  </si>
  <si>
    <t>MICHELSEN</t>
  </si>
  <si>
    <t>Mi experiencia con MINCA durante los últimos cuatro años ha sido excepcional, desde la calidad del producto hasta la atención y el servicio. Lo recomiendo totalmente.</t>
  </si>
  <si>
    <t>CARLOS MARIO</t>
  </si>
  <si>
    <t>SANIN ALZATE</t>
  </si>
  <si>
    <t>CIFUENTES ORTEGA</t>
  </si>
  <si>
    <t>La atención del taller me parece excelente. La calidad de la patineta y las piezas no tanto.</t>
  </si>
  <si>
    <t>MARCELA PATRICIA</t>
  </si>
  <si>
    <t>CHUNZA RODRIGUEZ</t>
  </si>
  <si>
    <t>La experiencia es buena combinan diversión y diseño en cada rodada</t>
  </si>
  <si>
    <t>ROBLEDO IRIARTE</t>
  </si>
  <si>
    <t>ANGGIE STHEFANNI</t>
  </si>
  <si>
    <t>BARREIRO CARVAJAL</t>
  </si>
  <si>
    <t>YEISON JAVIER</t>
  </si>
  <si>
    <t>GORDILLO GARZON</t>
  </si>
  <si>
    <t>MANUEL DAVID</t>
  </si>
  <si>
    <t>SAAVEDRA SEGURA</t>
  </si>
  <si>
    <t>Estoy satisfecho</t>
  </si>
  <si>
    <t>DIEGO ANDRES</t>
  </si>
  <si>
    <t>CARVAJAL</t>
  </si>
  <si>
    <t>Pienso que se debe ser más exhaustivo en las pruebas de las patinetas antes de la entrega al cliente en todo aspecto comparativamente como se hace en un carro cuando sale de un concesionario que ha sido validado , verificado y testeado para dar confiabilidad  del detalle de cada prueba que se hace sobre la patineta para un buen soporte documental</t>
  </si>
  <si>
    <t>GREDY</t>
  </si>
  <si>
    <t>ASCANIO TORO</t>
  </si>
  <si>
    <t>LIGIA JUDITH</t>
  </si>
  <si>
    <t>GUIO SILVA</t>
  </si>
  <si>
    <t>Muy buen servicio estoy satisfecha</t>
  </si>
  <si>
    <t>OMAR FARIDH</t>
  </si>
  <si>
    <t>LAMPREA CORREDOR</t>
  </si>
  <si>
    <t>Buena experiencia y volvería siempre</t>
  </si>
  <si>
    <t>WILLIAM YAMITH</t>
  </si>
  <si>
    <t>CASTRO MENDOZA</t>
  </si>
  <si>
    <t>Exclelente servicio y marca recomendada</t>
  </si>
  <si>
    <t>RAFAEL</t>
  </si>
  <si>
    <t>BARBOSA</t>
  </si>
  <si>
    <t>Excelente marca, muy buenos productos, y la mejor asistencia tecnica para mantener a tope la patineta</t>
  </si>
  <si>
    <t>MAYELINE ADRIANA</t>
  </si>
  <si>
    <t>FIGUEREDO CORTES</t>
  </si>
  <si>
    <t>La marca como tal es muy buena, mi patineta no ha tenido fallas, es decir, todos los componentes son de muy calidad, los desgastes es por el uso que le doy.</t>
  </si>
  <si>
    <t>JOSE NELSON</t>
  </si>
  <si>
    <t>FIGUEROA FRAGOZO</t>
  </si>
  <si>
    <t>JENNY</t>
  </si>
  <si>
    <t>BUITRAGO DIAZ</t>
  </si>
  <si>
    <t>Excelente servicio, muy rápido y ágil!</t>
  </si>
  <si>
    <t>HUGO REINALDO</t>
  </si>
  <si>
    <t>CHAPARRO MUÑOZ</t>
  </si>
  <si>
    <t>La oportunidad en la respuesta es demasiado lenta, se demoran mucho realizando un mantenimiento preventivo sin embargo no hay evidencia de que se haya realizado todo lo q dicen, la scooter la entregan sucia.</t>
  </si>
  <si>
    <t>GARZON</t>
  </si>
  <si>
    <t>llevo más de tres años con la marca el servicio al cliente es lo que más nos activa hacer compradores recurrentes. Voy por mi tercera patineta con ustedes y estoy muy contento por el servicio al Cliente eso Fidel Elisa a los usuarios</t>
  </si>
  <si>
    <t>JOHN ALEJANDRO</t>
  </si>
  <si>
    <t>MANRIQUE SEPULVEDA</t>
  </si>
  <si>
    <t>MARIA CLARA</t>
  </si>
  <si>
    <t>TRILLOS ROZO</t>
  </si>
  <si>
    <t>Llevo más de dos años con la marca, me gusta mucho su servicio la pati es genial pero depsues de cierto tiempo siento que la pati necesita ir mucho a tallar por más que la tenga súper bien cuidada y con todos los mantenimientos al día</t>
  </si>
  <si>
    <t>MATEO</t>
  </si>
  <si>
    <t>MORALES CORREA</t>
  </si>
  <si>
    <t>Profesionales en su gestión</t>
  </si>
  <si>
    <t>CIFUENTES</t>
  </si>
  <si>
    <t>Siempre existencia disposición del personal para dar atención</t>
  </si>
  <si>
    <t>PABLO</t>
  </si>
  <si>
    <t>ARBELAEZ ECHEVERRI</t>
  </si>
  <si>
    <t>Todo salio muy bien</t>
  </si>
  <si>
    <t>ADRIAN</t>
  </si>
  <si>
    <t>FONTANILLA YEPEZ</t>
  </si>
  <si>
    <t>Que sigan así.     Exelente y. Buen servicio</t>
  </si>
  <si>
    <t>JUAN DIEGO</t>
  </si>
  <si>
    <t>OROZCO MONROY</t>
  </si>
  <si>
    <t>OSCAR FERNANDO</t>
  </si>
  <si>
    <t>ARANGO PARDO</t>
  </si>
  <si>
    <t>OSCAR</t>
  </si>
  <si>
    <t>CEDIEL</t>
  </si>
  <si>
    <t>Excelente servicio esta vez
Diferente al de la vez pasada</t>
  </si>
  <si>
    <t>CACERES NARANJO</t>
  </si>
  <si>
    <t>Las personas del taller son súper bien y queridas, pero las personas q tienen contestando WhatsApp no saben nada de servicio al cliente</t>
  </si>
  <si>
    <t>EDUARDO JOSE</t>
  </si>
  <si>
    <t>SMITH HERNANDEZ</t>
  </si>
  <si>
    <t>Me gusta la experiencia que brinda Minca. Buen producto y buen servicio.</t>
  </si>
  <si>
    <t>SEMAUT INGENIERIASAS</t>
  </si>
  <si>
    <t>Mejorar los tiempos de entrega en los mantenimientos</t>
  </si>
  <si>
    <t>KAROL MICHELLE</t>
  </si>
  <si>
    <t>ACOSTA CAÑAS</t>
  </si>
  <si>
    <t>Siempre atentos a lo que se necesite y rápida respuesta</t>
  </si>
  <si>
    <t>NEIRIS</t>
  </si>
  <si>
    <t>CASTRO</t>
  </si>
  <si>
    <t>Muy buena la verdad la atención y la entrega de mi patineta</t>
  </si>
  <si>
    <t>YUDY ALEJANDRA</t>
  </si>
  <si>
    <t>MORALES GUZMAN</t>
  </si>
  <si>
    <t>CARLOS MAURICIO</t>
  </si>
  <si>
    <t>YEPES MUNERA</t>
  </si>
  <si>
    <t>JAVIER SANTIAGO</t>
  </si>
  <si>
    <t>CALDERÓN RODRIGUEZ</t>
  </si>
  <si>
    <t>Chévere</t>
  </si>
  <si>
    <t>JHON JAIRO</t>
  </si>
  <si>
    <t>MORENO MACHADO</t>
  </si>
  <si>
    <t>Todo muy bueno</t>
  </si>
  <si>
    <t>GARCIA CASTAÑO</t>
  </si>
  <si>
    <t>Muy profesionales y antentos!!!</t>
  </si>
  <si>
    <t>OLGA LUCIA</t>
  </si>
  <si>
    <t>SAAVEDRA CRISTANCHO</t>
  </si>
  <si>
    <t>La experiencia fue excelente  en todo el procedimiento.</t>
  </si>
  <si>
    <t>DUVAN STIVEN</t>
  </si>
  <si>
    <t>VERGARA GAONA</t>
  </si>
  <si>
    <t>Pésima atención,y pésimo servicio!</t>
  </si>
  <si>
    <t>KATIA MILENA</t>
  </si>
  <si>
    <t>SAURITH FARFAN</t>
  </si>
  <si>
    <t>Me gusto la eficiencia del servicio y es muy buena calidad la marca ✅</t>
  </si>
  <si>
    <t>YESICA FERNANDA</t>
  </si>
  <si>
    <t>RODRIGUEZ RODRIGUEZ</t>
  </si>
  <si>
    <t>TORRES RAMIREZ</t>
  </si>
  <si>
    <t>Los tiempos de servicio son largos, muchos utilizamos las patinetas para ir y volver del trabajo, por lo tanto cada día sin la patineta significa un gasto de recursos significativos, me gustaría que los tiempos fueran más cortos. Gracias</t>
  </si>
  <si>
    <t>CRISTIAN ALEXANDER</t>
  </si>
  <si>
    <t>CONTRERAS GARZON</t>
  </si>
  <si>
    <t>Este taller en específico es excelente, muy amables, son muy pulidos con las entregas y siempre muy sinceros con las recomendaciones</t>
  </si>
  <si>
    <t>ANDRES DAVID</t>
  </si>
  <si>
    <t>ROA SANCHEZ</t>
  </si>
  <si>
    <t>Servicio agil y efectivo</t>
  </si>
  <si>
    <t>Bayro Coronado</t>
  </si>
  <si>
    <t>2025-11-04T16:53:01-05:00</t>
  </si>
  <si>
    <t>JOSÉ MARÍA</t>
  </si>
  <si>
    <t>GONZÁLEZ OLAZ</t>
  </si>
  <si>
    <t>Atencion rápida</t>
  </si>
  <si>
    <t>LUIS GUILLERMO</t>
  </si>
  <si>
    <t>BUITRAGO</t>
  </si>
  <si>
    <t>Requerimientos cumplidos   gracias</t>
  </si>
  <si>
    <t>FABIAN CAMILO</t>
  </si>
  <si>
    <t>GUATIBONZA PINZON</t>
  </si>
  <si>
    <t>LEIDY MARCELA</t>
  </si>
  <si>
    <t>SALCEDO BEDOYA</t>
  </si>
  <si>
    <t>Muy buena, el servicio fue rápido.</t>
  </si>
  <si>
    <t>LUIS RODRIGO</t>
  </si>
  <si>
    <t>BAYONA SALGADO</t>
  </si>
  <si>
    <t>Llevo mas de un año con la patineta y en términos generales me ha salido buena, lo único que no me gusta es que se desajusta muy seguido, pero de resto bien</t>
  </si>
  <si>
    <t>SANTAMARIA</t>
  </si>
  <si>
    <t>No tienen una política de  sostenibilidad ambiental que guíe a sus usuarios sobre que hacer con la utilización final de las baterías que tienen sus productos, no hay planes de retoma lo cual tampoco aporta a disminuir la contaminación y menos aun apoyan causas benéficas. Todos los modelos de las patinetas deberian tener batería extraíble, para facilitar tu carga, dado el peso que modelos cómo el  2.400 W, tiene. 35 Kgrs</t>
  </si>
  <si>
    <t>Excelente atención y muy buena marca siempre la recomiendo....</t>
  </si>
  <si>
    <t>BECERRA COBOS</t>
  </si>
  <si>
    <t>Buen servicio, gracias por tener los trabajos a tiempo :)</t>
  </si>
  <si>
    <t>HELMAN</t>
  </si>
  <si>
    <t>PINILLA ANGARITA</t>
  </si>
  <si>
    <t>SEBASTIAN ANDRES</t>
  </si>
  <si>
    <t>MACIAS LIEVANO</t>
  </si>
  <si>
    <t>DIEGO ALEJANDRO</t>
  </si>
  <si>
    <t>PACHECO PEÑA</t>
  </si>
  <si>
    <t>La patineta lleva 15 dias de comprada, por lo que pude ver no tenia la pastilla trasera, la persona que la entregó me dijo que solo habían ajustado los frenos, hasta ahí bien solucionado, sin embargo al legar a casa la pruebo quedó con un sonido en la suspensión trasera, entiendo que ingresó por ajuste de frenos pero creo que se debe hacer un chequeo general para entregar, muchas gracias.</t>
  </si>
  <si>
    <t>NATHALIA ANDREA</t>
  </si>
  <si>
    <t>VELOSA VEGA</t>
  </si>
  <si>
    <t>KEVIN JAVIER</t>
  </si>
  <si>
    <t>ALARCON MORALES</t>
  </si>
  <si>
    <t>rapidez</t>
  </si>
  <si>
    <t>ALFREDO RAFAEL</t>
  </si>
  <si>
    <t>RONDON BUSTILLO</t>
  </si>
  <si>
    <t>EDGAR JULIAN</t>
  </si>
  <si>
    <t>LOPEZ DUARTE</t>
  </si>
  <si>
    <t>Repuesto disponible y precios aceptables, espero que para repuestos o asuntos mas delicados, dediquen la misma atención y disponibilidad.</t>
  </si>
  <si>
    <t>JHOAN SEBASTIAN</t>
  </si>
  <si>
    <t>VELA ESPITIA</t>
  </si>
  <si>
    <t>No deberían tener agrandamiento de mantenimiento si van a empezar a revisar la patineta dos días después de lo agendado, les cuento mi caso, agende mantenimiento ya que en ocasiones anteriores no lo hacía y tardabas hasta 3 o 4 días, decidí hacerlo ya que me volví dependiente de su patineta y la necesito para mis días de trabajo de lunes a sábado, les contaba que agente el mantenimiento el pasado miércoles a las 12:30 y esperando que fuera más rápido, y empezaron a revizarla el viernes a las 11:25 acepté que le hicieran lo que tenían que hacerle a las 11:35 y hasta en día de hoy a las 10 am recibo el mensaje que la patineta está lista , no me sirve de nada agendar si va a tardar lo mismo o hasta más como esta vez</t>
  </si>
  <si>
    <t>2025-11-01T12:40:44-05:00</t>
  </si>
  <si>
    <t>QUINTERO</t>
  </si>
  <si>
    <t>Me gusta el servicio, la persona que me atendio muy amable y las veces que he necesitado servicio de mi patineta muy amable</t>
  </si>
  <si>
    <t>CRONICA GROUP</t>
  </si>
  <si>
    <t>PAULA KATHERIN</t>
  </si>
  <si>
    <t>MUÑETON ROJAS</t>
  </si>
  <si>
    <t>Excelente servicio, buena atención al cliente.</t>
  </si>
  <si>
    <t>WILMER ALEJANDRO</t>
  </si>
  <si>
    <t>PAKE PASTRANA</t>
  </si>
  <si>
    <t>JOSE FAVER</t>
  </si>
  <si>
    <t>VILLEGAS MARIN</t>
  </si>
  <si>
    <t>Amabilidad y compromiso</t>
  </si>
  <si>
    <t>JAVIER ANDRES</t>
  </si>
  <si>
    <t>GALINDO</t>
  </si>
  <si>
    <t>Todo estuvo excelente, la atencion y la oportunidad en el servicio fueron unicas, muy contento con el servicio</t>
  </si>
  <si>
    <t>OMAR ALEJANDRO</t>
  </si>
  <si>
    <t>MUÑOZ SIATOBA</t>
  </si>
  <si>
    <t>Llevo varios años con mi patineta y llevarla al mantenimiento la ha mantenido muy bien, en 5 años con la marca, tuve alguna vez un inconveniente, pero en general es muy bueno el servicio y ayuda mucho que ya tienen varias sedes de taller por la ciudad.</t>
  </si>
  <si>
    <t>OSCAR JAVIER</t>
  </si>
  <si>
    <t>RICARD HENAO MIRANDA</t>
  </si>
  <si>
    <t>Buena atención. Se demoró mucho, hasta 3 Semanas.</t>
  </si>
  <si>
    <t>ANDERSON</t>
  </si>
  <si>
    <t>CLAVIIJO  RODRIGUEZ</t>
  </si>
  <si>
    <t>DANIEL SANTIAGO</t>
  </si>
  <si>
    <t>CAMARGO DIAZ</t>
  </si>
  <si>
    <t>Servicio de mantenimiento muy demorado casi 8 días por un mantenimiento preventivo debe mejorar</t>
  </si>
  <si>
    <t>KAREN GONZALEZ</t>
  </si>
  <si>
    <t>LEON</t>
  </si>
  <si>
    <t>Buen servicio y rápido</t>
  </si>
  <si>
    <t>LUIS HORACIO</t>
  </si>
  <si>
    <t>URQUIJO ADARRAGA</t>
  </si>
  <si>
    <t>Sería bueno que el mantenimiento fuera mas ágil</t>
  </si>
  <si>
    <t>YINETH SHIRLEY</t>
  </si>
  <si>
    <t>BUSTOS BARRETO</t>
  </si>
  <si>
    <t>Tiempos justos</t>
  </si>
  <si>
    <t>DIEGO FERNANDO</t>
  </si>
  <si>
    <t>BELTRAN MONTOYA</t>
  </si>
  <si>
    <t>Fue Rapido y bueno solo que falto un poco más de ajuste en frenos de resto ok</t>
  </si>
  <si>
    <t>ROBERTO ALFREDO</t>
  </si>
  <si>
    <t>MANTILLA SANCHEZ</t>
  </si>
  <si>
    <t>JOAN DAVID</t>
  </si>
  <si>
    <t>GONZALEZ VILLAMIL</t>
  </si>
  <si>
    <t>Me gusta el proceso de recibo y entrega de la patineta, el chat lo hace más dinámico</t>
  </si>
  <si>
    <t>BIBIANA LUCIA</t>
  </si>
  <si>
    <t>GARCIA MARIN</t>
  </si>
  <si>
    <t>Excelente servicio
Siempre cumple con los tiempos</t>
  </si>
  <si>
    <t>ROMULO IVAN</t>
  </si>
  <si>
    <t>CUBIDEZ MATIZ</t>
  </si>
  <si>
    <t>La atención fue muy cordial siempre, tanto por chat como personalmente, pero la demora fue impresionante, deje mk patineta para servicio técnico el 20 de octubre y me la entregaron hasta el día de ayer 29, el servicio incluía sólo cambio de llanta trasera y cambio de pastillas delanteras y traseras, creo que es mucho tiempo para reemplazar repuestos que son consumibles</t>
  </si>
  <si>
    <t>llamar y ofrecer excusas</t>
  </si>
  <si>
    <t>YEISON ANDRES</t>
  </si>
  <si>
    <t>MORALES MARIN</t>
  </si>
  <si>
    <t>El tema del horario</t>
  </si>
  <si>
    <t>CESAR AUGUSTO</t>
  </si>
  <si>
    <t>VILLAMIL MEDINA</t>
  </si>
  <si>
    <t>No lograron  arreglar el desperfecto por garantía con los frenos</t>
  </si>
  <si>
    <t>DANIEL FELIPE</t>
  </si>
  <si>
    <t>ARROYABE BAUTISTA</t>
  </si>
  <si>
    <t>Fue rápido y todo quedó excelente</t>
  </si>
  <si>
    <t>RIVERA REYES</t>
  </si>
  <si>
    <t>La atención al cliente y el trabajo de las patinetas es excelente. Siempre dejan las patinetas 10/10. Es caro pero la verdad, vale la pena</t>
  </si>
  <si>
    <t>KELVIN</t>
  </si>
  <si>
    <t>DUARTE</t>
  </si>
  <si>
    <t>En mi caso la persona que realizo los ajustes a me explico de una forma clara los arreglos realizado, me hizo unas recomendaciones y resolvió mis dudas.</t>
  </si>
  <si>
    <t>JHON ELISEO</t>
  </si>
  <si>
    <t>MENDEZ FERREIRA</t>
  </si>
  <si>
    <t>Los asesores y técnicos son muy amables, y brindan un buen servicio. He tenido algunos inconvenientes con la patineta, pero espero que con este último mantenimiento todo funcione bien por un buen tiempo.</t>
  </si>
  <si>
    <t>NESTOR JAVIER</t>
  </si>
  <si>
    <t>YAYA YAYA</t>
  </si>
  <si>
    <t>Deberían avisar al cliente del avance de los mantenimientos, en especial cuando resultan arreglos adicionales y el cliente no sabe que debe entrar a autorizar</t>
  </si>
  <si>
    <t>WILLIAM FERNANDO</t>
  </si>
  <si>
    <t>RUANO</t>
  </si>
  <si>
    <t>Me parecio el mantenimiento fue basico</t>
  </si>
  <si>
    <t>JAVERIANA</t>
  </si>
  <si>
    <t>AMAYA MONROY</t>
  </si>
  <si>
    <t>Todo bien por ahora</t>
  </si>
  <si>
    <t>GERARDO ESTEBAN</t>
  </si>
  <si>
    <t>GOMEZ CASTRO</t>
  </si>
  <si>
    <t>Le he generado mantenimiento a la patineta tanto en la 72 como en chico y son mucho mas pulidos en la 72, entregan la patineta limpia como si fuera nueva, como recién lavada, en chico no , se preocupan por lo mínimo y no los detalles</t>
  </si>
  <si>
    <t>ANDRES  FABIAN</t>
  </si>
  <si>
    <t>CABEZAS MARTINEZ</t>
  </si>
  <si>
    <t>La atención en términos generales es buena, sin embargo, en ciertos casos la solución que proponen a algún problema es "toca cambiar esto", "toca cambiar lo otro" cuando, podrían quizás ofrecer soluciones "más económicas" que simplemente cambiar toda una pieza o toda una parte de la patineta... y a uno le toca buscar esas soluciones alternativas por otros lados, para que las reparaciones no salgan tan caras... y, en mi caso, me ha funcionado.</t>
  </si>
  <si>
    <t>JORGE ANDRES</t>
  </si>
  <si>
    <t>LOZANO BAYONA</t>
  </si>
  <si>
    <t>Se debe ser más empatico con los requerimientos y solicitudes del cliente. Adicional se sugiere se informe garantía de los soportes y mantenimientos realizados</t>
  </si>
  <si>
    <t>MONCAYO SANTACRUZ</t>
  </si>
  <si>
    <t>Todo fue muy bueno, solo una sugerencia y es la de retomar la apertura a las 7:30 hace muchos días he querido llevar mi patineta al taller, pero entro a las 8 am, quisiera tener esa media hora para poder llevarla</t>
  </si>
  <si>
    <t>FERNANDO</t>
  </si>
  <si>
    <t>LOPEZ</t>
  </si>
  <si>
    <t>CAMILO</t>
  </si>
  <si>
    <t>PEREZ</t>
  </si>
  <si>
    <t>Son una gran marca 
Pero la atención al cliente ha bajado de calidad 
Deje mi patieneta hace 8 dias en el taller y no me dieron razón solo hasta que llame muchas veces</t>
  </si>
  <si>
    <t>SERGIO ALEJANDRO</t>
  </si>
  <si>
    <t>MORA SERNA</t>
  </si>
  <si>
    <t>Se demoró casi un mes pero de resto todo está bien</t>
  </si>
  <si>
    <t>HERERA QUIÑONEZ</t>
  </si>
  <si>
    <t>JEANNETTE</t>
  </si>
  <si>
    <t>AREVALO</t>
  </si>
  <si>
    <t>Me encanta , es. Excelente , el servicio de agendamiento es muy fácil en línea y te ofrece muchas opciones ,</t>
  </si>
  <si>
    <t>HARVY REGNIER</t>
  </si>
  <si>
    <t>GARCIA SANTOS</t>
  </si>
  <si>
    <t>Me gustaría que me enviaran tips de limpieza y mantenimiento básico para mi patineta</t>
  </si>
  <si>
    <t>DANNY</t>
  </si>
  <si>
    <t>ROCHA PALACIO</t>
  </si>
  <si>
    <t>Muy demorada esta reparación y algo costosa</t>
  </si>
  <si>
    <t>EDUARD</t>
  </si>
  <si>
    <t>MOSQUERA</t>
  </si>
  <si>
    <t>Hay oportunidades de mejora</t>
  </si>
  <si>
    <t>ANDRÉS</t>
  </si>
  <si>
    <t>GÓMEZ TORO</t>
  </si>
  <si>
    <t>La atención del mecánico es excelente, sin embargo, el problema por el cual ingresé la patineta, persiste y debo ingresarla por garantía nuevamente.</t>
  </si>
  <si>
    <t>RAUL EDUARDO</t>
  </si>
  <si>
    <t>Los tiempos de entrega de la patineta en mantenimiento son muy demorados, o si se van demorar más tiempo tomarse el tiempo de avisarle, los digo porque el tiempo de espera de mi patineta fue 8 días</t>
  </si>
  <si>
    <t>MORENO</t>
  </si>
  <si>
    <t>Muy buen trabajo. Hay que mejorar los tiempos de mantenimientos</t>
  </si>
  <si>
    <t>TORRES TRUJILLO</t>
  </si>
  <si>
    <t>Muy mala atención en recepción.
El técnico que me atendió, todo lo contrario, todo un profesional y muy amable , cómo se debe de tratar al cliente</t>
  </si>
  <si>
    <t>CEDRITOS</t>
  </si>
  <si>
    <t>JOSÉ MIGUEL</t>
  </si>
  <si>
    <t>QUINTERO GUTIÉRREZ</t>
  </si>
  <si>
    <t>JEREMY GIUSEPH</t>
  </si>
  <si>
    <t>VARGAS LUENGAS</t>
  </si>
  <si>
    <t>El servicio estuvo bien, la patineta la dejaron muy bien, pero respecto a atención al cliente creo que tienen oportunidad e mejora.</t>
  </si>
  <si>
    <t>GUSTAVO ADOLFO</t>
  </si>
  <si>
    <t>RODRIGUEZ MOLINA</t>
  </si>
  <si>
    <t>JANCY DE JESUS</t>
  </si>
  <si>
    <t>GUTIERREZ GUTIERREZ</t>
  </si>
  <si>
    <t>Volveria a usar los servicios sin duda...</t>
  </si>
  <si>
    <t>ANGELA MARIA</t>
  </si>
  <si>
    <t>GONZALEZ TRUJILLO</t>
  </si>
  <si>
    <t>En la sede chico son muy amables y eficaces, muy satisfecha con el mantenimiento de mi scooter, mil gracias</t>
  </si>
  <si>
    <t>Satisfactorio</t>
  </si>
  <si>
    <t>HECTOR IVAN</t>
  </si>
  <si>
    <t>GUTIERREZ ARANGO</t>
  </si>
  <si>
    <t>La atención en la sede Chicó es buena; ojalá puedan estandarizar la calidad de la atención en todos los talleres de la ciudad.
En general, mi experiencia con la marca ha sido buena, espero poder seguir recibiendo un buen servicio postventa, que me genere confianza, para poder hacer el upgrade de mi patineta con esta misma marca.</t>
  </si>
  <si>
    <t>JAIME</t>
  </si>
  <si>
    <t>ARIAS CHIMBI</t>
  </si>
  <si>
    <t>Mejorar la atención al cliente en la recepción no te entregan especificando que le hicieron solo dejan que uno lo revise y uno en ocasiones ni sabe que le hicieron</t>
  </si>
  <si>
    <t>FABIAN</t>
  </si>
  <si>
    <t>ALVARAN ECHEVERRI</t>
  </si>
  <si>
    <t>Sugerencia proporcionar más información sobre cómo va el proceso de reparación</t>
  </si>
  <si>
    <t>LAURA DANIELA</t>
  </si>
  <si>
    <t>VARGAS RODRÍGUEZ</t>
  </si>
  <si>
    <t>Muy buena la atención</t>
  </si>
  <si>
    <t>MAURICIO</t>
  </si>
  <si>
    <t>La marca es súper me gusta bastanate pero el servicio de mantenimiento es muy malo me dicen unos días luego de alargan me la entregaron sin probarla y la patineta no quedo funcionando aún así me toca volverla a llevar</t>
  </si>
  <si>
    <t>ESPITIA AREVALO</t>
  </si>
  <si>
    <t>Demorados en la entrega de las patinetas.</t>
  </si>
  <si>
    <t>MARTÍNEZ GORDILLO</t>
  </si>
  <si>
    <t>Me gustaría saber más acerca de cómo funciona el display de mi scooter, no se si hay vídeos explicatorios en algún lado pero sería útil ya que tengo el último display y no la versión antigua</t>
  </si>
  <si>
    <t>JOHN EDUARDO</t>
  </si>
  <si>
    <t>GOYENECHE AVELLA</t>
  </si>
  <si>
    <t>ANDRES SEBASTIAN</t>
  </si>
  <si>
    <t>DUARTE PARDO</t>
  </si>
  <si>
    <t>Muy profesionales y muy dedicados</t>
  </si>
  <si>
    <t>ANDREA</t>
  </si>
  <si>
    <t>VALENCIA TORRES</t>
  </si>
  <si>
    <t>CRISTIAN DAVID</t>
  </si>
  <si>
    <t>ROMANI BARRIOS</t>
  </si>
  <si>
    <t>La mejor marca de minca</t>
  </si>
  <si>
    <t>JENNIFFER PAOLA</t>
  </si>
  <si>
    <t>CALDERON BRAVO</t>
  </si>
  <si>
    <t>No recomiendo postventa de minca. Se demoran mucho y es muy costoso.</t>
  </si>
  <si>
    <t>OTONIEL BELTRAN</t>
  </si>
  <si>
    <t>SILVA</t>
  </si>
  <si>
    <t>CARLOS ANTONIO</t>
  </si>
  <si>
    <t>ESCOBAR RAMIREZ</t>
  </si>
  <si>
    <t>Horrible</t>
  </si>
  <si>
    <t>PEREZ SANCHEZ</t>
  </si>
  <si>
    <t>Que el servicio fuera más rápido desde ayer en la mañana ya salía que le habían echo todo pero hasta hoy la entregan</t>
  </si>
  <si>
    <t>RAMOS ATAPUMA</t>
  </si>
  <si>
    <t>WIKIEMPRESARIOS SAS</t>
  </si>
  <si>
    <t>Sería buena crea un mensaje que nos recordará cada cuanto debemos hacer mantenimiento preventivo</t>
  </si>
  <si>
    <t>JOHAN SEBASTIAN</t>
  </si>
  <si>
    <t>ZUÑIGA OBANDO</t>
  </si>
  <si>
    <t>Revisar bien al entregar</t>
  </si>
  <si>
    <t>JAIVER</t>
  </si>
  <si>
    <t>DAVILA GIL</t>
  </si>
  <si>
    <t>La atención fue muy rápida y eficiente, gracias.</t>
  </si>
  <si>
    <t>INVERSIONES MOJHER S.A.S</t>
  </si>
  <si>
    <t>Excelente servicio y muy buena representación de post venta</t>
  </si>
  <si>
    <t>NANCY</t>
  </si>
  <si>
    <t>BARRETO</t>
  </si>
  <si>
    <t>EMMANUEL CAMILO</t>
  </si>
  <si>
    <t>ROJAS RODRIGUEZ</t>
  </si>
  <si>
    <t>Quedé muy agradado, han estado muy pendientes y el servicio de mantenimiento es muy cómodo y ágil.</t>
  </si>
  <si>
    <t>ERNESTO</t>
  </si>
  <si>
    <t>MALDONADO</t>
  </si>
  <si>
    <t>El servicio es muy bueno y muy honesto, le hacen a las patinetas lo necesario, en un muy buen tiempo y todo con previa autorización, eso da mucha confianza en el servicio.</t>
  </si>
  <si>
    <t>La verdad, no dan ganas de ir al taller, porque uno ya sabe lo que va a recibir y es regular/mala atención. Los resultados rara vez son satisfactorios, se nota que al final, lo que buscan es entregar las cosas de afán, y por salir del cliente, eso es lo que pienso. Hoy prácticamente es la última vez que tomo el servicio porque la patineta ya quedó peor en cuanto a motor y velocidad, pero para que gastar energías en causas perdidas. Menos mal cuando la llevé les deje claro lo que necesitaba y cuando la fui a recoger todo igual, nada solucionado y se notó que lo importante era entregar por entregar.</t>
  </si>
  <si>
    <t>YONEYBER</t>
  </si>
  <si>
    <t>HORMAZA ROA</t>
  </si>
  <si>
    <t>Excelente la entrega con la patineta limpia y con mantenimiento si no es mucha la molestia estaría excelente la entregan cargada ya que por la cantidad de talleres en la ciudad en ocasiones se queda uno cortico de carga para volver a casa después de una visita a sus talleres por todo lo demás muy contento con la marca</t>
  </si>
  <si>
    <t>LUIS ENRIQUE</t>
  </si>
  <si>
    <t>MARTINEZ ALARCÓN</t>
  </si>
  <si>
    <t>CARLOS ANDRES</t>
  </si>
  <si>
    <t>TORRES ALVARADO</t>
  </si>
  <si>
    <t>VANESSA IVETH</t>
  </si>
  <si>
    <t>FUERTES GARCIA</t>
  </si>
  <si>
    <t>Su servicio de mantenimiento es bueno, pero lento.</t>
  </si>
  <si>
    <t>SEBASTIAN</t>
  </si>
  <si>
    <t>HELENO</t>
  </si>
  <si>
    <t>WALTER</t>
  </si>
  <si>
    <t>ROZO</t>
  </si>
  <si>
    <t>ROMERO RIVERA</t>
  </si>
  <si>
    <t>Me ha gustado, pero compré la patineta antes de que saliera la nueva! creo q use debieron decirme que iban a renovar la imagen antes de invertir en una versión anterior</t>
  </si>
  <si>
    <t>PEREZ OSORIO</t>
  </si>
  <si>
    <t>Excelente atención y servicio, la patineta está en excelentes condiciones</t>
  </si>
  <si>
    <t>DAVID ESTEBAN</t>
  </si>
  <si>
    <t>DIAZ CASTRO</t>
  </si>
  <si>
    <t>SILVIA DIAZ DERMATOLOGIA SAS</t>
  </si>
  <si>
    <t>Deben ser claros con los tiempos de entrega y el costo de los mantenimientos.</t>
  </si>
  <si>
    <t>FRIAS  DELGADILLO</t>
  </si>
  <si>
    <t>EDGAR NICOLAS</t>
  </si>
  <si>
    <t>RODRIGUEZ MORALES</t>
  </si>
  <si>
    <t>Bastante eficiente y cordial la atención</t>
  </si>
  <si>
    <t>RAUL OLMEDO</t>
  </si>
  <si>
    <t>VARGAS GONZALEZ</t>
  </si>
  <si>
    <t>Buena atención.Falta cuidado en detalles mínimos,como tornillos, cauchos y ensamblaje.</t>
  </si>
  <si>
    <t>PROHAF</t>
  </si>
  <si>
    <t>INGENIERIA</t>
  </si>
  <si>
    <t>Preocupado.
Una patineta con una semana de comprada y con un daño en el guardabarros por error de diseño.
Posiblemente se vuelva a presentar la falla.
En los días q estuve presente en el taller llevaron unas 4 patinetas con el mismo problema y la solución va más allá de quitar y poner otra pieza igual para q termine en el mismo resultado</t>
  </si>
  <si>
    <t>ANDRES CAYETANO</t>
  </si>
  <si>
    <t>PRIETO</t>
  </si>
  <si>
    <t>Esta vez me fue mejor que las veces pasadas</t>
  </si>
  <si>
    <t>YENNY JOHANNA</t>
  </si>
  <si>
    <t>ARAUJO PATERNINA</t>
  </si>
  <si>
    <t>La verdad, tiene mucho que mejorar en los equipos, dado que el cliente no siempre es e responsable de las averías de la patineta</t>
  </si>
  <si>
    <t>BUIITRAGO GUIOT</t>
  </si>
  <si>
    <t>No bajen la calidad.</t>
  </si>
  <si>
    <t>BOTERO  DUQUE</t>
  </si>
  <si>
    <t>La verdad hasta el momento estoy contento con la patineta, y es en gran medida ppr dos razones.
1 la calidad del equipo como la forma de conseguir los repuestos con la tienda fue relativame te facil.
2. El servicio postventa me ha parecido excelente en calidad y con precios justos para tener el equipo siempre al dia.
Por esto estoy satisfecho con mi producto y su servicio</t>
  </si>
  <si>
    <t>VISCANO</t>
  </si>
  <si>
    <t>Paola de  atención servicio técnico de la Javeriana, excelente servicio da gusto q lo atiendan a uno así</t>
  </si>
  <si>
    <t>MARTIN</t>
  </si>
  <si>
    <t>Me ha gustado bastante la marca tanto así que cuando me hurtaron la primera no dudé en volverla a comprar inmediatamente muy contento con la marca.</t>
  </si>
  <si>
    <t>JUAN SEBASTIÁN</t>
  </si>
  <si>
    <t>PATIÑO SALAZAR</t>
  </si>
  <si>
    <t>Los asesores deberían saber manejar todos los medios de pagos que Minca ofrece, incluyendo, Addi, y la actitud para servir a la gente debería ser más positiva</t>
  </si>
  <si>
    <t>TOMAS</t>
  </si>
  <si>
    <t>PEÑA VALENZUELA</t>
  </si>
  <si>
    <t>Gracias por la atención al recibir la patineta. El  señor muy amable, claro y con el tiempo para explicarme q le iba a hacer a la patineta. 
La atención por el whapp también oportuna y rápida.
La patineta estaba perfecta en el momento q me la entregaron, con los arreglos acordados.</t>
  </si>
  <si>
    <t>SANDRA LILIANA</t>
  </si>
  <si>
    <t>SUAREZ ROJAS</t>
  </si>
  <si>
    <t>Buena experiencia</t>
  </si>
  <si>
    <t>ASEVEDO</t>
  </si>
  <si>
    <t>Espectacular, muy feliz con mi patineta</t>
  </si>
  <si>
    <t>BORDA SUAREZ</t>
  </si>
  <si>
    <t>Muy buen trabajo, todos muy queridos. 
Los repuestos son un poco costosos pero en general muy bien. 
Entusiasmado por adquirir pronto los nuevos modelos.</t>
  </si>
  <si>
    <t>Los de la recepción podrían ser más amables.</t>
  </si>
  <si>
    <t>DORIS LORENA</t>
  </si>
  <si>
    <t>SANCHEZ GONZALEZ</t>
  </si>
  <si>
    <t>El mantenimiento para la moneda duró 8 días Me pareció mucho tiempo.</t>
  </si>
  <si>
    <t>JUAN DANIEL</t>
  </si>
  <si>
    <t>HOYOS GIRALDO</t>
  </si>
  <si>
    <t>Ok</t>
  </si>
  <si>
    <t>MAYORGA GUTIERREZ</t>
  </si>
  <si>
    <t>Los mantenimientos hacen lucir el vehículo como nuevo. Muchas gracias</t>
  </si>
  <si>
    <t>LUISA FERNANDA</t>
  </si>
  <si>
    <t>FAJARDO SALAZAR</t>
  </si>
  <si>
    <t>Estuvieron súper pendientes y me dieron actualizaciones del estado de mi moped. De verdad que ha sido la mejor decisión haber comprado con ustedes. Los mejores!</t>
  </si>
  <si>
    <t>PETO</t>
  </si>
  <si>
    <t>NELSON</t>
  </si>
  <si>
    <t>Excelente servicio post-venta</t>
  </si>
  <si>
    <t>RESTREPO LUNA</t>
  </si>
  <si>
    <t>Antes se me demoraba un dia o maximo dos dias y esta vez se demoró una semana completa</t>
  </si>
  <si>
    <t>DANIEL EDUARDO</t>
  </si>
  <si>
    <t>CUENCA ROJAS</t>
  </si>
  <si>
    <t>Buena la atención y servicio pero no me respondieron por la luz trasera de la patineta y servicio cae</t>
  </si>
  <si>
    <t>ARIAS</t>
  </si>
  <si>
    <t>Me parece estupendo el sistema de atención y constante comunicación con el cliente. Todo online</t>
  </si>
  <si>
    <t>JOHN JAIRO</t>
  </si>
  <si>
    <t>GOMEZ MEJIA</t>
  </si>
  <si>
    <t>Buen producto, mal servicio</t>
  </si>
  <si>
    <t>DAVID ERNESTO</t>
  </si>
  <si>
    <t>ARGUELLO RUIZ</t>
  </si>
  <si>
    <t>Me agrada el respaldo de la marca con el taller, si bien, me he dado cuenta que algunos talleres son más llenos que otros me gusta que siempre me tengan informado sobre lo que ocurre</t>
  </si>
  <si>
    <t>Me encanta Minca 100%</t>
  </si>
  <si>
    <t>LUIS FELIPE</t>
  </si>
  <si>
    <t>JARAMILLO GIRALDO</t>
  </si>
  <si>
    <t>Es muy bueno el servicio. 
La tienda es agradable</t>
  </si>
  <si>
    <t>DAVID CAMILO</t>
  </si>
  <si>
    <t>BERNAL FORERO</t>
  </si>
  <si>
    <t>Corrigieron problema del rincón que tenia, la entregaron limpia</t>
  </si>
  <si>
    <t>LEYDI YURID</t>
  </si>
  <si>
    <t>PINEDA CAMACHO</t>
  </si>
  <si>
    <t>Buen servicio y atención gracias</t>
  </si>
  <si>
    <t>MARIA ALEXANDRA</t>
  </si>
  <si>
    <t>LUGO TORRES</t>
  </si>
  <si>
    <t>CIFUENTES ORTIZ</t>
  </si>
  <si>
    <t>SANTIAGO ALBERTO</t>
  </si>
  <si>
    <t>LEIVA PIÑEROS</t>
  </si>
  <si>
    <t>Servicio eficaz, respuestas rápidas y claridad en las indicaciones y precios</t>
  </si>
  <si>
    <t>MAZA</t>
  </si>
  <si>
    <t>Me ha parecido fabuloso el servicio que me ha prestado MINCA acuerdo a soporte técnicos 
Súper recomendados 
Muy profesionales 
Excelente servicio al cliente</t>
  </si>
  <si>
    <t>FABIÁN</t>
  </si>
  <si>
    <t>BARRAGAN  SARAÍ</t>
  </si>
  <si>
    <t>Todo a salido bien</t>
  </si>
  <si>
    <t>NESTOR</t>
  </si>
  <si>
    <t>GUTIERREZ MEJIA</t>
  </si>
  <si>
    <t>Alto potencial de la marca pobre respuesta en servicio al cliente. Atencion regular. Respuesta tecnica pobre a deficiente. Experiencia. Muy poco recomendable</t>
  </si>
  <si>
    <t>MICHELLE</t>
  </si>
  <si>
    <t>AÑEZ PLATA</t>
  </si>
  <si>
    <t>Las patinetas son de buena calidad, la atención del personal en el taller y showroom es amable y servicial, sin embargo la calidad y rapidez de las respuestas vía WhatsApp no es clara, rápida ni óptima, aún hay mucho que mejorar en este aspecto. La marca en general es buena.</t>
  </si>
  <si>
    <t>DIAZ</t>
  </si>
  <si>
    <t>TAMI ARDILA</t>
  </si>
  <si>
    <t>No tuve inconvenientes esta vez</t>
  </si>
  <si>
    <t>YEIMI DAYANA</t>
  </si>
  <si>
    <t>LOPERA ROMERO</t>
  </si>
  <si>
    <t>La atención inicial no fue mala, pero no toman apuntes de la totalidad de solicitudes de revisión que se les pide. En esta ocasión llevé mi patineta el jueves 30 de octubre y me la entregaron hoy jueves 6 de noviembre 1 semana después cuando me dijeron que la entregaban el martes y solicitaron autorización de la orden el sábado en la mañana. El martes si no les escribo que la orden estaba autorizada desde el sábado y aparecía sin autorización no sé cuántos días más se hubiesen demorado. Creo que deben pensar más en los usuarios porque si se les hace un requerimiento de revisión es por algo no por cansones, sino porque de verdad uno que anda en ellas todos los días ya conoce su vehículo. Esas demoras representan para las personas que las usamos como medio de transporte gastos adicionales en taxis buses u otros medios. Además de que cuando entregan la patineta uno se da cuenta que tienen cosas por ejemplo la recogí y la revisé y tenía en el protector de la llanta de adelante silicona untada de la impermeabilización y el freno izquierdo estaba botando un líquido. Cuando la ande tenía un sonido raro como de rose con el freno de atrás entonces la verdad ya me ha pasado que las dos veces que la he llevado a Cedritos he tenido inconvenientes con tiempos de entrega y resultado. Porque siempre le queda algo raro o me toca llevarla a que la ajusten, y el tema esq no dejan eso como historial lo cual me parece tenaz.</t>
  </si>
  <si>
    <t>SANCHEZ MARTINEZ</t>
  </si>
  <si>
    <t>Estuvo bien, pero no entiendo por qué envían la notificación de que está la patineta 20 minutos antes de que cierren la tienda.</t>
  </si>
  <si>
    <t>DAVID</t>
  </si>
  <si>
    <t>PROCEL</t>
  </si>
  <si>
    <t>JEYSON STIVEN</t>
  </si>
  <si>
    <t>GAMA MESA</t>
  </si>
  <si>
    <t>VELÁSQUEZ</t>
  </si>
  <si>
    <t>REYES</t>
  </si>
  <si>
    <t>Servicio muy rapido</t>
  </si>
  <si>
    <t>ANDRES FABIAN</t>
  </si>
  <si>
    <t>BURGOS VANEGAS</t>
  </si>
  <si>
    <t>JESSICA</t>
  </si>
  <si>
    <t>HERRERA HERRERA</t>
  </si>
  <si>
    <t>Siempre me va muy bien y el servicio de Angie es el mejor!!!! aunq bueno, todos en general, pero ella es muy pila y explica muy bien todo!!! Gracias</t>
  </si>
  <si>
    <t>JUAN ALEXANDER</t>
  </si>
  <si>
    <t>ALONSO RUIZ</t>
  </si>
  <si>
    <t>La atención es buena gracias</t>
  </si>
  <si>
    <t>JESSICA ANDREA</t>
  </si>
  <si>
    <t>ALVIRA PARDO</t>
  </si>
  <si>
    <t>Hasta el momento ha sido muy bueno, el taller de la Javeriana es muy bueno y atienden muy bien</t>
  </si>
  <si>
    <t>DANIEL ALFONSO</t>
  </si>
  <si>
    <t>RODRIGUEZ CHAPARRO</t>
  </si>
  <si>
    <t>Me siento satisfecho con el servicio prestado</t>
  </si>
  <si>
    <t>KAREN YULICSA</t>
  </si>
  <si>
    <t>MARCELA</t>
  </si>
  <si>
    <t>MENDOZA</t>
  </si>
  <si>
    <t>Servicio rápido, de calidad y buena atención</t>
  </si>
  <si>
    <t>ORLANDO CRUZ</t>
  </si>
  <si>
    <t>MARTINEZ</t>
  </si>
  <si>
    <t>Mejor atención cuando es presencial</t>
  </si>
  <si>
    <t>JUAN MANUEL</t>
  </si>
  <si>
    <t>CUELLAR</t>
  </si>
  <si>
    <t>El servicio a la entrada de lampatineta es excelente, pero la patineta quedó muy reajustada</t>
  </si>
  <si>
    <t>JESUS ALFONSO</t>
  </si>
  <si>
    <t>GOMEZ HORTUA</t>
  </si>
  <si>
    <t>No cambio el servicio de minca por nada!</t>
  </si>
  <si>
    <t>CARLOS GEOVANY</t>
  </si>
  <si>
    <t>RODRIGUEZ BARBOSA</t>
  </si>
  <si>
    <t>Dependiendo de cada dictamen de daño, este se debe de hacer en un tiempo más corto el arreglo, para su entrega Gracias</t>
  </si>
  <si>
    <t>ESTEFENN DIAZGRANADOS</t>
  </si>
  <si>
    <t>Muy buen servicio, rápido y organizado</t>
  </si>
  <si>
    <t>BRAYAN Ramírez</t>
  </si>
  <si>
    <t>2025-11-08T11:53:43-05:00</t>
  </si>
  <si>
    <t>ISABEL</t>
  </si>
  <si>
    <t>RUIZ RUIZ</t>
  </si>
  <si>
    <t>Contratar personal calificado y con experiencia</t>
  </si>
  <si>
    <t>CHRISTIAN ANDRES</t>
  </si>
  <si>
    <t>MARTINEZ GORDO</t>
  </si>
  <si>
    <t>Muy buen trabajo!</t>
  </si>
  <si>
    <t>ISABEL CRISTINA</t>
  </si>
  <si>
    <t>VELASQUEZ ACEVEDO</t>
  </si>
  <si>
    <t>Lleve la patineta el 30 de octubre a las 8:00 am al taller la avenida las Vegas en medellín. Me dijeron que eran dos días hábiles, apenas me enviaron la notificación de lo que se iba a arreglar el martes y hasta el viernes no estaba lista. Tuve que llamar al servicio al cliente para que me entregarán el sábado 8 de noviembre a las 12:30 pm y cuando llegué no estaba lista.</t>
  </si>
  <si>
    <t>GÓMEZ SÁNCHEZ</t>
  </si>
  <si>
    <t>Asesoría como atención son demasiado buenas y los resultados del mantenimiento excelentes</t>
  </si>
  <si>
    <t>ALEJANDRA</t>
  </si>
  <si>
    <t>SAAVEDRA</t>
  </si>
  <si>
    <t>Lo mejor, fue rápido y me la entregaron como nueva mi Moped</t>
  </si>
  <si>
    <t>CLAUDIA MARCELA</t>
  </si>
  <si>
    <t>ROJAS FRANCO</t>
  </si>
  <si>
    <t>Información oportuna del estado del mantenimiento y rapidez en el mismo</t>
  </si>
  <si>
    <t>HERNANDEZ ESPITIA</t>
  </si>
  <si>
    <t>Mala lleve my patineta para cambio de frenos y me la entregaron con una falla en el displey la lleve y me devolvieron igual</t>
  </si>
  <si>
    <t>RODULFO ARMANDO</t>
  </si>
  <si>
    <t>CASTIBLANCO CARRASCO</t>
  </si>
  <si>
    <t>El trabajo que se debía hacer era sencilla y se demoró demasiado tiempo, ademas de ser costoso. Por otro lado es el colmo que no tengan los suministros necesarios para reparaciones básicas. Necesitaba el protector plástico de la pata de apoyo y no lo hubo. Pedí ademas una tapa plástica para la válvula de la llanta y tampoco la hubo. Son cosas muy simples que hacen que un servicio sea malo.</t>
  </si>
  <si>
    <t>HERNANDO</t>
  </si>
  <si>
    <t>OVALLE ROMERO</t>
  </si>
  <si>
    <t>La atención me pareció muy buena solo que a veces la información se da de manera no clara ni completa a lo que se asume un valor  de pago o acuerdo y después tiene que pagar más por el servicio.
Se debe avisar al cliente el servicio completo para así saber cuánto se debe pagar como valor final. Gracias</t>
  </si>
  <si>
    <t>RUIZ</t>
  </si>
  <si>
    <t>RAMIREZ LEAL</t>
  </si>
  <si>
    <t>Buena experiencia , todo muy rápido y excelente servicio 
Me gustaría que el taller fuera más grande y poder a tender más personas</t>
  </si>
  <si>
    <t>ANTONIO SANCHEZ</t>
  </si>
  <si>
    <t>CHAUX</t>
  </si>
  <si>
    <t>Muy buena atencion, excelente mantenimiento, la patineta quedo 10/10</t>
  </si>
  <si>
    <t>María Alejandra Calderón</t>
  </si>
  <si>
    <t>2025-11-10T11:50:39-05:00</t>
  </si>
  <si>
    <t>CURREA</t>
  </si>
  <si>
    <t>HUGO</t>
  </si>
  <si>
    <t>SALAZAR CASTILLO</t>
  </si>
  <si>
    <t>Siempre con un gran profesionalismo y compromiso...</t>
  </si>
  <si>
    <t>2025-11-10T14:32:41-05:00</t>
  </si>
  <si>
    <t>Muy buena logística, puede que hayan cosas que mejorar, pero no cambio el taller Minca por ir a otro taller</t>
  </si>
  <si>
    <t>ANA MARIA</t>
  </si>
  <si>
    <t>CAMACHO LOPEZ</t>
  </si>
  <si>
    <t>OSCAR EDUARDO</t>
  </si>
  <si>
    <t>GONZALEZ ROMERO</t>
  </si>
  <si>
    <t>Compré está patineta por la diferencia de precio respecto a una sedway. Pero a la fecha he pagado mucho más dinero que la diferencia del valor de la otra marca. Es muy constante los arreglos, mantenimientos y ahora cambios de piezas que requiere la patineta. Finalmente de los temas presentados, nunca ofrecen una arreglo onreparacion, siempre es comprar la pieza nueva. De verdad que comparando a la anterior patineta que tenía, debo decir que regular la experiencia.</t>
  </si>
  <si>
    <t>ANGELICA MARIA</t>
  </si>
  <si>
    <t>LEON CARDENAS</t>
  </si>
  <si>
    <t>La rapidez en realizar y atender una solicitud es demasiado larga. Es lo único que estoy en desacuerdo con la marca.</t>
  </si>
  <si>
    <t>EDER LEONARDO</t>
  </si>
  <si>
    <t>HERNANDEZ MONTENEGRO</t>
  </si>
  <si>
    <t>muy buena atencion del muchacho</t>
  </si>
  <si>
    <t>JOSÉ YOAN</t>
  </si>
  <si>
    <t>REAY CAÑAS</t>
  </si>
  <si>
    <t>Me gustaría que tuvieran horarios más extendidos ya que manejan puro horario de oficina y si la tienda no está abierta le toca a uno llevarla a otro taller para que le deben solucion</t>
  </si>
  <si>
    <t>2025-11-11T10:27:45-05:00</t>
  </si>
  <si>
    <t>VELANDIA SUAREZ</t>
  </si>
  <si>
    <t>JULIAN DAVID</t>
  </si>
  <si>
    <t>LOPEZ CABRERA</t>
  </si>
  <si>
    <t>El mantenimiento que le hacen a las patinetas es excelente.</t>
  </si>
  <si>
    <t>BARRAGAN FLOREZ</t>
  </si>
  <si>
    <t>LAURA CAMILA</t>
  </si>
  <si>
    <t>BERMÚDEZ</t>
  </si>
  <si>
    <t>Mejorar la solución de problemas, revisar sus patinetas antes de venderla a un cliente</t>
  </si>
  <si>
    <t>JORGE DIEGO</t>
  </si>
  <si>
    <t>GIRALDO CARDENAS</t>
  </si>
  <si>
    <t>Me gusta la personalización que hay para cada inquietud</t>
  </si>
  <si>
    <t>CRISTHIAN DAVID</t>
  </si>
  <si>
    <t>NARVAEZ ACOSTA</t>
  </si>
  <si>
    <t>Es importante que el personal de atención al cliente y el personal técnico estén alineados para no dar información incorrecta al cliente. En ocaciones la marca presenta fallas en esto</t>
  </si>
  <si>
    <t>LOPEZ CAÑON</t>
  </si>
  <si>
    <t>Al final no solucionaron completamente el problema, hicieron un pequeño arreglo pero me dieron buenas indicaciones de qué hacer con la patineta</t>
  </si>
  <si>
    <t>No quiero recibir la Lanyard Minca</t>
  </si>
  <si>
    <t>2025-11-11T09:10:12-05:00</t>
  </si>
  <si>
    <t>JUAN CARLOS</t>
  </si>
  <si>
    <t>DEBOURG MIRANDA</t>
  </si>
  <si>
    <t>Todo excelente por el momento</t>
  </si>
  <si>
    <t>DANIELA ALEJANDRA</t>
  </si>
  <si>
    <t>PEREZ ARBOLEDA</t>
  </si>
  <si>
    <t>La atención fue excelente, mi scooter quedó como nueva a diferencia de como la entregué después de un accidente, aunque tardó un poco entiendo que no siempre se tienen los repuestos al alcance. Estoy muy satisfecha con la atención</t>
  </si>
  <si>
    <t>JOSE ALEJANDRO</t>
  </si>
  <si>
    <t>HELO GAVIRIA</t>
  </si>
  <si>
    <t>Estoy conforme con el servicio prestado y el arreglo realizado. Esperemos que me dure el cambio de llanta que realizamos.</t>
  </si>
  <si>
    <t>MARÍA CAMILA</t>
  </si>
  <si>
    <t>GUTIÉRREZ GUTIÉRREZ</t>
  </si>
  <si>
    <t>Me pusieron un display que nunca autorice cambiar (ni siquiera me dijeron que lo cambiarían) me di cuenta por el kilometraje y porque el mío tenía un rayón, si no es porque voy y muestro las evidencias me meten ese que aparte estaba dañado, y se hacen los locos los asesores, cómo si uno por ser mujer no conociera</t>
  </si>
  <si>
    <t>BLANCO HERNANDEZ</t>
  </si>
  <si>
    <t>Estoy muy contento con la atención q se me ha brindado en cedritos.</t>
  </si>
  <si>
    <t>CORREDOR GIL</t>
  </si>
  <si>
    <t>ERIK SANTIAGO</t>
  </si>
  <si>
    <t>no realizaron  el ajuste en la patineta,  como  tenia que ser</t>
  </si>
  <si>
    <t>JOSE IGNACIO</t>
  </si>
  <si>
    <t>CABALLERO CORREA</t>
  </si>
  <si>
    <t>DANIEL FERNANDO</t>
  </si>
  <si>
    <t>GARCIA ACOSTA</t>
  </si>
  <si>
    <t>Realmente puedo calificar la experiencia en este taller con un 100%
Muy atentos, muy amables, muy profesionales.</t>
  </si>
  <si>
    <t>2025-11-11T13:31:03-05:00</t>
  </si>
  <si>
    <t>PULIDO</t>
  </si>
  <si>
    <t>Me parece que es buena la atención dada en el soporte de la patineta</t>
  </si>
  <si>
    <t>CASTILLO ROBAYO</t>
  </si>
  <si>
    <t>Súper la atención y servicio, muy agradecido</t>
  </si>
  <si>
    <t>MIGUEL ADOLFO</t>
  </si>
  <si>
    <t>OCHOA JIMENEZ</t>
  </si>
  <si>
    <t>Siempre me ha gustado la atención es excelente</t>
  </si>
  <si>
    <t>CASTRO CASAS</t>
  </si>
  <si>
    <t>Mal mal mal …….todo</t>
  </si>
  <si>
    <t>NADIA JHOANA</t>
  </si>
  <si>
    <t>LOPEZ GAVIRIA</t>
  </si>
  <si>
    <t>Quiero hablar con un asesor</t>
  </si>
  <si>
    <t>APONTE PINZON</t>
  </si>
  <si>
    <t>Desde que entré la atención de la persona que me recibió fue excelente y los tiempos que me propusieron los cumplieron. Gracias</t>
  </si>
  <si>
    <t>PATRICIA</t>
  </si>
  <si>
    <t>TRIANA VARGAS</t>
  </si>
  <si>
    <t>GIOVANNY ALEXANDER</t>
  </si>
  <si>
    <t>LOPEZ LOPEZ</t>
  </si>
  <si>
    <t>Depronto mejorar la atención al cliente un poco más de amabilidad en el punto</t>
  </si>
  <si>
    <t>LUIS IGNACIO</t>
  </si>
  <si>
    <t>FORERO MOLINA</t>
  </si>
  <si>
    <t>GUILLERMO ANDRES</t>
  </si>
  <si>
    <t>OSORIO VALDIRI</t>
  </si>
  <si>
    <t>La atención al cliente y la calidad del trabajo en el taller de Avenida Chile es mala. Pagué $30.000 por una despinchada el pasado 31 de octubre y al día siguiente sin utilizarla amaneció desinflada la llanta. Tuve que llevarla al taller de Javeriana en donde tomaron registro fotográfico del hueco que tenía la llanta, pero me cobraron nuevamente por la despinchada esta vez $25.000. Elevé la queja el 1 de noviembre y no obtuve respuesta.</t>
  </si>
  <si>
    <t>LEONARDO</t>
  </si>
  <si>
    <t>Tienen buen servicio</t>
  </si>
  <si>
    <t>DANIEL ESTEBAN</t>
  </si>
  <si>
    <t>HERNÁNDEZ</t>
  </si>
  <si>
    <t>Excelente servicio de la señorita de atención al cliente en el taller de la 95, 10 de 10.</t>
  </si>
  <si>
    <t>2025-11-14T13:28:12-05:00</t>
  </si>
  <si>
    <t>ELECTRO INNOVACION</t>
  </si>
  <si>
    <t>JV SAS</t>
  </si>
  <si>
    <t>Inicialmente la patineta ingreso por un daño, ni siquiera supe qué fue lo que le sucedió a la patineta, se quedó dos semanas y cuando llegué me dijeron que no tenían personal para realizar el mantenimiento porque habían renunciado, aparte de eso cuando quedaron de entregarla el taller estaba cerrado y no respondían. 
En varias ocasiones se les ha llamado y ha sido imposible la comunicación.</t>
  </si>
  <si>
    <t>El servicio es excelente la atención super buena, lo único son los horarios de atención, son los mismo que una oficina y no tiempo para las personas que trabajamos de lunes a sabado de ir a llevarla, siempre me toca pedir permiso en mi trabajo y la verdad eso es lo uncio malo</t>
  </si>
  <si>
    <t>HANSEL YESID</t>
  </si>
  <si>
    <t>VILLAMIL MORALES</t>
  </si>
  <si>
    <t>JOHANNA</t>
  </si>
  <si>
    <t>URREGO OTERO</t>
  </si>
  <si>
    <t>Excelente servicio, atención y tiempos de entrega. Siempre agradecida!</t>
  </si>
  <si>
    <t>JOSE</t>
  </si>
  <si>
    <t>OSORIO</t>
  </si>
  <si>
    <t>Muy buen servicio, la patineta quedó súper bien, me encantó siempre todo con minca es excelente.</t>
  </si>
  <si>
    <t>CRISTIAN ADRIAN</t>
  </si>
  <si>
    <t>ROMERO NAVIA</t>
  </si>
  <si>
    <t>Hasta el momento la marca me parece buena, lo único en que no estoy conforme es que presente una queja por el tema de autonomía, me dijeron que estaba bien, pero yo cargo la patineta y solo ando 20 kilómetros</t>
  </si>
  <si>
    <t>Deben ser más amables con los clientes, no hacerles caras y no desinformar, porque por este medio dicen una cosa y allá dicen otra.</t>
  </si>
  <si>
    <t>DIAZ GRANADOS ALVAREZ</t>
  </si>
  <si>
    <t>Todo estuvo bien. Un poco demorado pero salió bien. Solo recomendaría que carguen las patinetas antes de entregarlas o le avisen a uno que no lo van a hacer. Recogí la mía hoy y me quedé varado a la mitad del camino porque no venía cargada.</t>
  </si>
  <si>
    <t>HERNAN MAURICIO</t>
  </si>
  <si>
    <t>GOMEZ MORENO</t>
  </si>
  <si>
    <t>Es la mejor marca en scooter</t>
  </si>
  <si>
    <t>NATALIA</t>
  </si>
  <si>
    <t>MUÑOZ GIRALDO</t>
  </si>
  <si>
    <t>WILLIAM FELIPE</t>
  </si>
  <si>
    <t>GONZALEZ PUENTES</t>
  </si>
  <si>
    <t>ZAPATA</t>
  </si>
  <si>
    <t>RUBEN DARIO</t>
  </si>
  <si>
    <t>TALERO CARABALLO</t>
  </si>
  <si>
    <t>Impecable</t>
  </si>
  <si>
    <t>DUQUE LONDOÑO</t>
  </si>
  <si>
    <t>CUARTAS OTERO</t>
  </si>
  <si>
    <t>La atención en los talleres puede mejorar mi patineta duro en el taller 2 meses por falta de respuestas</t>
  </si>
  <si>
    <t>DIEGO ALBERTO</t>
  </si>
  <si>
    <t>GUTIERREZ PINTO</t>
  </si>
  <si>
    <t>ANNA KAROLYNNA</t>
  </si>
  <si>
    <t>CHARRIS LLANOS</t>
  </si>
  <si>
    <t>LUZ ANGELICA</t>
  </si>
  <si>
    <t>GARZON PIÑEROS</t>
  </si>
  <si>
    <t>La vida es más agradable con una minca pero si debería ser una máquina no pensada para pasear sino realmente como medio de transporte diario</t>
  </si>
  <si>
    <t>ALIRIO</t>
  </si>
  <si>
    <t>DEVIA QUIMBAYO</t>
  </si>
  <si>
    <t>Los chicos son muy amables.</t>
  </si>
  <si>
    <t>TAPIA GARCIA</t>
  </si>
  <si>
    <t>CAMILA</t>
  </si>
  <si>
    <t>HERRERA</t>
  </si>
  <si>
    <t>Mi experiencia con la marca ha sido muy buena. Considero que es una marca confiable, que demuestra un verdadero compromiso con mi bienestar y se esfuerza por ofrecer siempre un servicio de calidad desde el primer acercamiento</t>
  </si>
  <si>
    <t>ALARCÓN CAMARGO</t>
  </si>
  <si>
    <t>HENRY MIGUEL</t>
  </si>
  <si>
    <t>MUÑOZ NUÑEZ</t>
  </si>
  <si>
    <t>Se demoró mas de una semana el mantenimiento. De resto, todo bien.</t>
  </si>
  <si>
    <t>MAYRA ALEJANDRA</t>
  </si>
  <si>
    <t>LEYTON ALVAREZ</t>
  </si>
  <si>
    <t>Exelente atención</t>
  </si>
  <si>
    <t>LOPEZ  CAMACHO</t>
  </si>
  <si>
    <t>aun no se nada de mi patineta y se entrego hace mas 1 un mes por segunda ves por garantia</t>
  </si>
  <si>
    <t>MARIA CAMILA</t>
  </si>
  <si>
    <t>VILLAMIZAR</t>
  </si>
  <si>
    <t>Realice el cambio de luz. Recién la recogí y ya está suelta la luz :/</t>
  </si>
  <si>
    <t>JUAN ANTONIO</t>
  </si>
  <si>
    <t>JARAMILLO</t>
  </si>
  <si>
    <t>Muy buena la experiencia en tienda y dejaron la patineta muy bien. La plataforma muy buena y muy clara</t>
  </si>
  <si>
    <t>TIBADUIZA</t>
  </si>
  <si>
    <t>Es importante dar sugerencias para el buen uso y conservar la vida útil de la patineta. Sin embargo, si uno solicita el arreglo por garantía, es bueno que lo revisen y expliquen por qué aplica o no la garantía en vez de una vez cobrar por el servicio</t>
  </si>
  <si>
    <t>GENZELL JOHANN</t>
  </si>
  <si>
    <t>SUAREZ GUITIERREZ</t>
  </si>
  <si>
    <t>Gracias por su servicio prestado</t>
  </si>
  <si>
    <t>MORENO GARCIA</t>
  </si>
  <si>
    <t>Buena experiencia en cuanto a calidad del entregable. Trabajaría más en reducir los tiempos de entrega, ya que para muchos es el vehículo para desplazarse al trabajo y quedar por más de 2 días sin transporte afecta la semana.</t>
  </si>
  <si>
    <t>ESTEBAN</t>
  </si>
  <si>
    <t>CASTILLO RODRIGUEZ</t>
  </si>
  <si>
    <t>El servicio en general es bueno aunque me lleve una pequeña desepcion, ya que tuve que cambiar el display de mi minca 1600w por un daño y el nuevo display no permite poner una contraseña o pin a diferencia del anterior display, opcion que siento que es fundamental e importante por seguridad</t>
  </si>
  <si>
    <t>SIERRA AMAYA</t>
  </si>
  <si>
    <t>La amabilidad de recepción es excelente y todos en el taller tienen muy buen trato, pero el proceso de entrega es demorado por el volumen se pedidos para las pocas personas que tienen. Mi recomendación es destinar más personal en la recepción o programar mejor las entregas de patinetas</t>
  </si>
  <si>
    <t xml:space="preserve">JAVERIANA SE INGRESO EL 12 Y SE FINALIZO EL 13 , EL FRONT ESTABA ÑLENO CUAN DO LLEGO </t>
  </si>
  <si>
    <t>LIZETH KATHERINE</t>
  </si>
  <si>
    <t>GUERRA CIFUENTES</t>
  </si>
  <si>
    <t>IVAN MAURICIO</t>
  </si>
  <si>
    <t>ACOSTA TOVAR</t>
  </si>
  <si>
    <t>Excelente servicio y solución</t>
  </si>
  <si>
    <t>ANTHONY ALEXANDER</t>
  </si>
  <si>
    <t>DORIA DORIA</t>
  </si>
  <si>
    <t>La carga no le dura mucho</t>
  </si>
  <si>
    <t>HECTOR AUGUSTO</t>
  </si>
  <si>
    <t>TURRIAGO APOLINAR</t>
  </si>
  <si>
    <t>Las sugerencias de los posibles ajustes ante o en el siguiente mantenimiento podrían ser escritos, estregar un informe o listado vía whatsaap</t>
  </si>
  <si>
    <t>YENNIFER PAOLA</t>
  </si>
  <si>
    <t>CABRERA  HERRERA</t>
  </si>
  <si>
    <t>Me pareció muy bueno, la atención y los arreglos correspondientes bien</t>
  </si>
  <si>
    <t>WILLIAM</t>
  </si>
  <si>
    <t>CANTOR ROMERO</t>
  </si>
  <si>
    <t>UPEGUI RODRIGUEZ</t>
  </si>
  <si>
    <t>La verdad su personal del showroom cedritos Iris sobre todo es excelente es la mejor vendedora que tienen recuerda a sus clientes es amable mejor dicho top! En el taller cedritos cesar que bacan se toma el trabajo de explicar siempre una sonrisa de igual manera cuando he estado molesto tanto el cómo las niñas de recepción un amor sabe muy bien escuchar y manejar a su cliente.
AHORA BIEN. Con la marca pues con la 2400 un poco jarto ya voy por el tercer controlador se traba el motor delantero y pues eso es mamón por que es una gastadora de plata en tiempo y taxis pues la pati es mi medio de transporte. Recomendación tener un par de patis para casos de arreglos demorados</t>
  </si>
  <si>
    <t>LEONEL SANTIAGO</t>
  </si>
  <si>
    <t>AREVALO ZAMORA</t>
  </si>
  <si>
    <t>ME ENCANTA SU SERVICIO
Y ECONOMIA</t>
  </si>
  <si>
    <t>CARLOS JULIO</t>
  </si>
  <si>
    <t>JARA CHAGUALÁ</t>
  </si>
  <si>
    <t>EDWIN ALEXANDER</t>
  </si>
  <si>
    <t>MELO</t>
  </si>
  <si>
    <t>muchas gracias, aunue fue demorado el proceso bien todo gracias</t>
  </si>
  <si>
    <t>2025-11-14T16:43:28-05:00</t>
  </si>
  <si>
    <t>JUAN ESTEBAN</t>
  </si>
  <si>
    <t>NIEVES PALACIO</t>
  </si>
  <si>
    <t>Hola buena tarde el dia de hoy recibí del taller mi minca 350 lite
En el trayecto a mi casa la patineta se apago aún teniendo carga 
Cuando la encendí aparecía sin carga</t>
  </si>
  <si>
    <t>INVERSIONES OSLIRA</t>
  </si>
  <si>
    <t>SAS</t>
  </si>
  <si>
    <t>Deberian tener stok de repuestos. Como no van a tener repuestos de scooter nuevas. Y que deberia tener prioridad de agilidad por ser garantia o nueva la scooter</t>
  </si>
  <si>
    <t xml:space="preserve">AV CHILE, SE LLEVARON LOS REPUESTOS DE LA BODEGA A AV CHILE LAS PISTAS DE LOS RODAMIENTOS </t>
  </si>
  <si>
    <t>SANCHEZ CUBILLOS</t>
  </si>
  <si>
    <t>JORGE ENRIQUE</t>
  </si>
  <si>
    <t>AMOR</t>
  </si>
  <si>
    <t>La patinetas necesitan un mejor diseño para apuntar hacía no solo un problema de movilidad sino también que ayude con la movilidad en Bogota que soporte las lluvias o los huecos</t>
  </si>
  <si>
    <t>HENRRY ALONSO</t>
  </si>
  <si>
    <t>ROZO FERNANDEZ</t>
  </si>
  <si>
    <t>NELSON STICK</t>
  </si>
  <si>
    <t>MORENO MARTINEZ</t>
  </si>
  <si>
    <t>La lavada fue regular, de resto bien, pero si se debe mejorar el tema de la lavada</t>
  </si>
  <si>
    <t>VILLAVECES</t>
  </si>
  <si>
    <t>En general el equipo y el servicio son muy buenos es una buena decisión al escoger con quien quieres estar mientras tienes tu parineta</t>
  </si>
  <si>
    <t>La atención por parte de las personas fue excelente 
Son muy atentos</t>
  </si>
  <si>
    <t>CARLOS ALBERTO</t>
  </si>
  <si>
    <t>VILLAMOR CELIS</t>
  </si>
  <si>
    <t>El servicio fue muy bno y la atención del taller y de los asesores es muy recomendable</t>
  </si>
  <si>
    <t>CLAUDIA VIVIANA</t>
  </si>
  <si>
    <t>HERNANDEZ TIQUE</t>
  </si>
  <si>
    <t>Suñer</t>
  </si>
  <si>
    <t>MICHELL</t>
  </si>
  <si>
    <t>HERNANDEZ TRIANA</t>
  </si>
  <si>
    <t>YESICA ESTEFANIA</t>
  </si>
  <si>
    <t>PINEDA GUALTEROS</t>
  </si>
  <si>
    <t>RIVERA</t>
  </si>
  <si>
    <t>Satisfactoria</t>
  </si>
  <si>
    <t>FAYBER ALEXIS</t>
  </si>
  <si>
    <t>MARTINEZ ROJAS</t>
  </si>
  <si>
    <t>Me gusta mucho el servicio en la Av chile, siempre voy y me atienden bien y rápido, muchas gracias.</t>
  </si>
  <si>
    <t>DUVAN AMEZQUITA</t>
  </si>
  <si>
    <t>MARIN</t>
  </si>
  <si>
    <t>Buena atención satisfecho con el servicio recibido. Mil gracias</t>
  </si>
  <si>
    <t>MONTAÑEZ</t>
  </si>
  <si>
    <t>Muy agradecido con minca</t>
  </si>
  <si>
    <t>DIAZ ACEVEDO</t>
  </si>
  <si>
    <t>El mantenimiento de mi patineta estuvo bien, lo único que no me gusto fue el cambio de la llanta trasera por una sin el labrado de la original. Se agradece el cambio por cuestiones de fabrica pero se debe tener en stock las referencias correctas para que los respectivos cambios.</t>
  </si>
  <si>
    <t>BERNAL</t>
  </si>
  <si>
    <t>En minca siempre me siento seguro de dejar mi patineta, es la mejor marca del mundo.</t>
  </si>
  <si>
    <t>MOISES</t>
  </si>
  <si>
    <t>CARDENAS AGUIRRE</t>
  </si>
  <si>
    <t>Atención rápida y buena explicación del percance mecánico de la patineta</t>
  </si>
  <si>
    <t>CASTIBLANCO SILVA</t>
  </si>
  <si>
    <t>OMAR DAVID</t>
  </si>
  <si>
    <t>GONZALEZ CUERVO</t>
  </si>
  <si>
    <t>Los repuestos son extremadamente elevados con el costo en el mercado, deberían reevaluarlos</t>
  </si>
  <si>
    <t>MARYULY ASTRID</t>
  </si>
  <si>
    <t>ACOSTA BEJARANO</t>
  </si>
  <si>
    <t>Me pareció buena, ya que digamos, tuve un inconveniente con la patineta la lleve y pues subo el arreglo, pero después otra vez se volvió a tener ese inconveniente y volví a llevarle me la me la arreglaron. Además este me parece buena atención como muy atentos o muy muy atentos, como el proceso de la patineta.</t>
  </si>
  <si>
    <t>HERNANDEZ PACHECO</t>
  </si>
  <si>
    <t>Aveces tengo muchos arreglos con ustedes y no duran mucho</t>
  </si>
  <si>
    <t>TATIANA PATRICIA</t>
  </si>
  <si>
    <t>ACOSTA LUCAS</t>
  </si>
  <si>
    <t>Excelente servicio, muy buen servicio</t>
  </si>
  <si>
    <t>ESTIVEN</t>
  </si>
  <si>
    <t>OROZCO ZULUAGA</t>
  </si>
  <si>
    <t>un servicio muy completo en cuanto mantenimiento y reparaciones</t>
  </si>
  <si>
    <t>RODRIGUEZ</t>
  </si>
  <si>
    <t>Se debería lavar los equipos en el momento de la entrega</t>
  </si>
  <si>
    <t>HILDA CAROLINA</t>
  </si>
  <si>
    <t>URREGO DIAZ</t>
  </si>
  <si>
    <t>Estoy muy satisfecho</t>
  </si>
  <si>
    <t>RAFAEL LEONARDO</t>
  </si>
  <si>
    <t>BELLO GIRALDO</t>
  </si>
  <si>
    <t>Siempre están disponibles y atentos a las necesidades del usuario</t>
  </si>
  <si>
    <t>PINTO</t>
  </si>
  <si>
    <t>Muy rápido y bueno el servicio. Agendar es muy fácil y se consiguen citas rápido</t>
  </si>
  <si>
    <t>CARVAJAL JARAMILLO</t>
  </si>
  <si>
    <t>YESICA PAOLA</t>
  </si>
  <si>
    <t>RUEDA RINCON</t>
  </si>
  <si>
    <t>Cumplir los  tiempo de entrega y mejor información</t>
  </si>
  <si>
    <t>SANDRA</t>
  </si>
  <si>
    <t>SABOGAL MESA</t>
  </si>
  <si>
    <t>Es una patineta excelente solo mejoraría la duración de las pastillas de frenos</t>
  </si>
  <si>
    <t>HERNAN SANTIAGO</t>
  </si>
  <si>
    <t>CASTIBLANCO VEGA</t>
  </si>
  <si>
    <t>TACUMA BLANCO</t>
  </si>
  <si>
    <t>Excelente atención y eficiencia.</t>
  </si>
  <si>
    <t>MANJARRES PASTRAN</t>
  </si>
  <si>
    <t>agilidad</t>
  </si>
  <si>
    <t>JAVIER</t>
  </si>
  <si>
    <t>PACHECHO OCHOA</t>
  </si>
  <si>
    <t>BRAYAN ALEXANDER</t>
  </si>
  <si>
    <t>GONZALEZ FREZNEDA</t>
  </si>
  <si>
    <t>Exelente servicio y atención de los chicos del taller aunque quedaron unas fallitas de ruido al hacer la observación las corrigieron de inmediato.</t>
  </si>
  <si>
    <t>MARIA MARGARITA</t>
  </si>
  <si>
    <t>CASAS ROZO</t>
  </si>
  <si>
    <t>Muy buen servicio y atentos</t>
  </si>
  <si>
    <t>BELTRAN NAVARRO</t>
  </si>
  <si>
    <t>Muy bueno y me gustaría que fuera un poco más rápido, de resto muy bueno</t>
  </si>
  <si>
    <t>EDWIN ELIECER</t>
  </si>
  <si>
    <t>LOPEZ MORALEZ</t>
  </si>
  <si>
    <t>Deberían aclarar el tema de las garantías y más con algo tan importante como es el cargador de la scooter ya que de este depende la vida útil de esta, la verdad he visto que en otras empresas ayudan más al cliente en este aspecto tan importante, además de que el precio del arreglo me parece excesivo el valor de la reparación, nada accecisible y no debería contarse como un accesorio extra de la patineta, cuando sin este la patineta no funciona.</t>
  </si>
  <si>
    <t>NIMAI</t>
  </si>
  <si>
    <t>MOREIRA</t>
  </si>
  <si>
    <t>Tener flexibilidad en la recepción de patineta sin cita previa</t>
  </si>
  <si>
    <t>FRANCO</t>
  </si>
  <si>
    <t>Buenos</t>
  </si>
  <si>
    <t>Soy cliente fiel de Minca hace más de 4 años y con varias patinetas. Extraño que el taller tenga que recurrir a terceros para revisiones de baterías, que dichas revisiones tengan un costo adicional significativo sin que impliquen necesariamente una solución y además que sea tan demorado. Siendo el corazón de una patineta eléctrica la revisiones y reparaciones deberían ser parte del mantenimiento propio como cualquier otro componente y en tiempos razonables. Por lo demás, siempre contento con Minca.</t>
  </si>
  <si>
    <t>LILIANA MARCELA</t>
  </si>
  <si>
    <t>COY RODRIGUEZ</t>
  </si>
  <si>
    <t>O atención y el servicio son muy buenos !</t>
  </si>
  <si>
    <t>GARZON FERNANDEZ</t>
  </si>
  <si>
    <t>MATEUS YEPES</t>
  </si>
  <si>
    <t>Todos son excelentes profesionales! Además son supremamente cálidos. Sin duda, la persona que atiende y los chicos del taller son grandes profesionales. ¡Súper recomendado el taller de Javeriana! ¡Mil millones de gracias por todo!✨</t>
  </si>
  <si>
    <t>MARIA PRISCILA</t>
  </si>
  <si>
    <t>RIVEROS DE FUENTES</t>
  </si>
  <si>
    <t>Si bien la funcionalidad de la patineta es óptima, los acabados en el mantenimiento pueden ser mas prolijos. 
Gracias</t>
  </si>
  <si>
    <t>CASTAÑEDA MORALES</t>
  </si>
  <si>
    <t>El servicio en general es bueno. Lo único que recomendaría sería que extendieran el horario hasta las 8:00pm ya que para muchos nos queda difícil llevarla a taller por los horarios de trabajo</t>
  </si>
  <si>
    <t>EDUIN ENRIQUE</t>
  </si>
  <si>
    <t>RUIZ CORDERO</t>
  </si>
  <si>
    <t>Exelente servicio bueno confiable y eficaz</t>
  </si>
  <si>
    <t>ANDREA GISSEL</t>
  </si>
  <si>
    <t>GOMEZ MOGOLLON</t>
  </si>
  <si>
    <t>ARENAS</t>
  </si>
  <si>
    <t>Recomendaría ampliar el horario del taller para la comodidad de quienes tenemos como única opción de llevar o recoger los vehículos después de la jornada laboral</t>
  </si>
  <si>
    <t>CARLOS</t>
  </si>
  <si>
    <t>CARLOS EDUARDO</t>
  </si>
  <si>
    <t>PRIETO VALERIO</t>
  </si>
  <si>
    <t>Los mantenimientos son caros y superficiales. Después del primero a la semana la patineta sonaba como una matraca... No la aceitaron. El mantenimiento de garantía del carro cuesta 120 pesos por km y el de uds 217...</t>
  </si>
  <si>
    <t>AL EMPACAR</t>
  </si>
  <si>
    <t>S.A.S</t>
  </si>
  <si>
    <t>Gracias por la encuesta, recomiendo revisar bien antes de entregar la patineta en aras de no tener q volver por arreglos que supuestamente quedaron bien, me percaté de daños posteriores a la entrega y eso implica desplazamientos innecesarios</t>
  </si>
  <si>
    <t>ROSA YOLIMA</t>
  </si>
  <si>
    <t>ACOSTA FANDIÑO</t>
  </si>
  <si>
    <t>Fueron muy amables, eficientes y me siento total mente complacida con el servicio, muchas gracias.</t>
  </si>
  <si>
    <t>GONZALEZ VENEGAS</t>
  </si>
  <si>
    <t>Todo sin sobre saltos. Lo único es que intenté llevar la patineta un par de veces entre semana y debido a mi horario de trabajo llegaba pasadas las 5pm, por lo que sería bueno poder ingresar la patineta a mantenimiento el día sábado</t>
  </si>
  <si>
    <t>FECHA</t>
  </si>
  <si>
    <t>Etiquetas de fila</t>
  </si>
  <si>
    <t>Total general</t>
  </si>
  <si>
    <t>Cuenta de Pregunta 1</t>
  </si>
  <si>
    <t>MES</t>
  </si>
  <si>
    <t>Cuenta de Pregunta 2</t>
  </si>
  <si>
    <t xml:space="preserve">CEDRITOS, A TENIDO PROBLEMAS DE CONTROLADOR </t>
  </si>
  <si>
    <t>CHICO, CASO FALABELLA</t>
  </si>
  <si>
    <t xml:space="preserve">JAVERIANA, SE DEMORO POR GUARDABARRO TRASERO </t>
  </si>
  <si>
    <t xml:space="preserve">CEDRITOS, ESPERA DE BASE TREN </t>
  </si>
  <si>
    <t xml:space="preserve">MEDELLIN </t>
  </si>
  <si>
    <t>La atención fue buena y agradezco la lavada. Solo revisaría porque uno pude cita para entregarla, pero no se sabe cuando la devuelven. Es raro. En mi opinión deberia pedir cita para un día y recibirla de vuelta ese mismo día y si no hay capacidad se acaban las citas y se pude pide otra. Es raro dejarla una semana</t>
  </si>
  <si>
    <t>JIMENEZ VARGAS</t>
  </si>
  <si>
    <t>PASCUAL RAUL</t>
  </si>
  <si>
    <t>Hasta ahora me ha ido muy bien, la patineta no me ha puesto problema y la atención post venta ha sido muy buena</t>
  </si>
  <si>
    <t>CASTRO GARCIA</t>
  </si>
  <si>
    <t>La única nota que quiero dejar es que por favor avisen a los clientes de que las moped no se cargan. Llegue confiado y no retrase min llegada al trabajo porque estaba casi sin batería. Es importante que lo aclaren. Gracias.</t>
  </si>
  <si>
    <t>JUAN ARGOTE</t>
  </si>
  <si>
    <t>Los guarda barros traseros de las ATS se parten muy fácil</t>
  </si>
  <si>
    <t>SANABRIA LEAL</t>
  </si>
  <si>
    <t>JOHAN ESTIVEN</t>
  </si>
  <si>
    <t>Buena la maraca pero me parece que deben traer mas componentes y partes para la patineta</t>
  </si>
  <si>
    <t>CARDENAS ARIAS</t>
  </si>
  <si>
    <t>N</t>
  </si>
  <si>
    <t>La respuesta del taller siempre es rapida y oportuna, hacen recomendaciones sobre el uso y los arreglos necesarios, es un muy buen servicio</t>
  </si>
  <si>
    <t>SANTOS ROMERO</t>
  </si>
  <si>
    <t>JAIRO ALBERTO</t>
  </si>
  <si>
    <t>Lleve mi patineta por el tema del controlador, la batería estaba en perfectas condiciones, después de que la saqué del taller la batería falló y no me dieron una explicación convincente. Igual me tocó pagar el arreglo. Se debería mejorar en ese sentido inspeccionar cuando se deje una patineta que funciona y que no, porque se convierte en una palabra contra la otra. Muchas gracias</t>
  </si>
  <si>
    <t>RODRIGUEZ SANTANA</t>
  </si>
  <si>
    <t>JORGE ALBERTO</t>
  </si>
  <si>
    <t>Buena atención y coherencia con el servicio prestado</t>
  </si>
  <si>
    <t>MORALES FONSECA</t>
  </si>
  <si>
    <t>Mejorar los tiempos de entrega, ya que están demorados en ello</t>
  </si>
  <si>
    <t>RODRIGUEZ RAMIREZ</t>
  </si>
  <si>
    <t>MARIA LORENA</t>
  </si>
  <si>
    <t>Me encanta el taller chico, siempre tiene buenos turnos de reserva y son muy rápidos, la atención es increíble!</t>
  </si>
  <si>
    <t>VILLEGAS RINCON</t>
  </si>
  <si>
    <t>Me ha tocado llevar en varias ocasiones mi patineta por regular calidad y atención además he gastado mucha plata en mantenimientos y repuestos. También en transportes adicionales por que me ha dejado varado en 6 ocasiones y el gasto en los días que no he tenido la patinena la verdad en ocasiones me gusta tenerla pero si me ha salido muy cara con las situaciones presentadas anteriormente</t>
  </si>
  <si>
    <t>CEPEDA PRADA</t>
  </si>
  <si>
    <t>PEREZ VELANDIA</t>
  </si>
  <si>
    <t>MARIA FERNANDA</t>
  </si>
  <si>
    <t>Justa</t>
  </si>
  <si>
    <t>VEGA PINTO</t>
  </si>
  <si>
    <t>MELVA ERYKA</t>
  </si>
  <si>
    <t>El servicio de venta y pos-venta es de los mejores. Son atentos y puntuales y en mi primer servicio de mantenimiento preventivo lo realizaron en tiempo récord. Los recomiendo totalmente</t>
  </si>
  <si>
    <t>BERNAL LOZADA</t>
  </si>
  <si>
    <t>ALVARO</t>
  </si>
  <si>
    <t>Considero que fueron rápidos y amables en el servicio prestado</t>
  </si>
  <si>
    <t>BERMUDEZ CESPEDES</t>
  </si>
  <si>
    <t>TATIANA</t>
  </si>
  <si>
    <t>RAMOS RODRIGUEZ</t>
  </si>
  <si>
    <t>MINCA lo mejor en Scooter, atención y servicio 100% garantizado</t>
  </si>
  <si>
    <t>HERRERA MORALES</t>
  </si>
  <si>
    <t>FRANCISCO JAVIER</t>
  </si>
  <si>
    <t>Muy buena atención y servicio técnico eficiente</t>
  </si>
  <si>
    <t>RODRIGUEZ RONCANCIO</t>
  </si>
  <si>
    <t>ANGIE JULIETH</t>
  </si>
  <si>
    <t>La asesora fue descortés</t>
  </si>
  <si>
    <t>Cardenas Cardenas</t>
  </si>
  <si>
    <t>Arantxa Stefany</t>
  </si>
  <si>
    <t>Fue muy rapido y diligente. Tenia un problema con mi Scooter y fue solucionado muy rapido</t>
  </si>
  <si>
    <t>Buen servicios</t>
  </si>
  <si>
    <t>BRAVO ROLDAN</t>
  </si>
  <si>
    <t>CARLOS DAVID</t>
  </si>
  <si>
    <t>Pésimo servicio postventa, nadie responde el WhatsApp y difícilmente la línea de servicio al cliente, se demoraron 11 días realizando el mantenimiento</t>
  </si>
  <si>
    <t>MOLINA RAMIREZ</t>
  </si>
  <si>
    <t>JOHAN FABIAN</t>
  </si>
  <si>
    <t>Buena atención, excelente disposición del personal del taller y precios cómodos</t>
  </si>
  <si>
    <t>NA</t>
  </si>
  <si>
    <t>DIEGO FERNANDO SIERRA SUAREZ</t>
  </si>
  <si>
    <t>El servicio es muy bueno y todas las recomendaciones que hacen es para que el vehículo siempre esté 10/10 y eso se agradece</t>
  </si>
  <si>
    <t>MARCELO</t>
  </si>
  <si>
    <t>Muy eficiente el servicio</t>
  </si>
  <si>
    <t>NIÑO</t>
  </si>
  <si>
    <t>DIEGO</t>
  </si>
  <si>
    <t>La verdad muy decepcionado con la nueva ATS 2400W, el pliegue es super incomodo y se parte con facilidad, sumado a eso, los botones del controlador se caen con facilidad, y el no tener guardabarros al frente es fatal</t>
  </si>
  <si>
    <t>HERNANDEZ MEDINA</t>
  </si>
  <si>
    <t>JAIME EDUARDO</t>
  </si>
  <si>
    <t>Los canales como whatsapp y demás son lentos y no dan la información completa.</t>
  </si>
  <si>
    <t>CASTRO  ARGUELLO</t>
  </si>
  <si>
    <t>Les falta hacer las cosas con mejor calidad y no solo hacer por hacer</t>
  </si>
  <si>
    <t>CUBIDES</t>
  </si>
  <si>
    <t>JONATHAN CAMILO</t>
  </si>
  <si>
    <t>GAMEZ</t>
  </si>
  <si>
    <t>Excelente servicio, muy atentos con las necesidades</t>
  </si>
  <si>
    <t>PEDREROS GUERRA</t>
  </si>
  <si>
    <t>DANIEL ANDRES</t>
  </si>
  <si>
    <t>La marca Minca, me parece genial llevo año y medio con mi patineta y me ha parecido espectacular.</t>
  </si>
  <si>
    <t>RESTREPO POLO</t>
  </si>
  <si>
    <t>CORTES ARIAS</t>
  </si>
  <si>
    <t>Muy buena atención</t>
  </si>
  <si>
    <t>LAVERDE</t>
  </si>
  <si>
    <t>Buena atención, buen servicio, rápida solución en los mantenimientos</t>
  </si>
  <si>
    <t>CARVAJAL REINOSO</t>
  </si>
  <si>
    <t>ANDRES MAURICIO</t>
  </si>
  <si>
    <t>Excelente producto y excelente servicio</t>
  </si>
  <si>
    <t>GUILLEN</t>
  </si>
  <si>
    <t>https://manybot-files.s3.eu-central-1.amazonaws.com/530239/wa/2024/11/29/original_6aa6a3797f7c092ba01e0ca602354328.jpeg</t>
  </si>
  <si>
    <t>Tuve un inconveniente con uds relacionada con la compra de mi Minca y me siento un poco engañado. Espero alguien pueda contactarse conmigo. Grvs</t>
  </si>
  <si>
    <t>Landinez Gomez</t>
  </si>
  <si>
    <t>Me encantó el trato , el profesionalismo y el carisma de todo el personal de la cede chico … sería bueno que todos los talleres fueran así … tuvimos una súper mala experiencia con el taller de Cedritos así que si todos los talleres fueran tan eficaces como el de chico , abrían clientes más felices</t>
  </si>
  <si>
    <t>JOSE HERNANDO</t>
  </si>
  <si>
    <t>Muchas gracias ☺️</t>
  </si>
  <si>
    <t>PARRA LEON</t>
  </si>
  <si>
    <t>Muy buen servicio post venta 
Calidad en el mantenimiento 
Precios justos y accesibles</t>
  </si>
  <si>
    <t>PALACIOS GOMEZ</t>
  </si>
  <si>
    <t>La patineta tiene un error de diseño, al no tener guarda barro en la llanta delantera todo el barro salpica al conductor y a la misma patineta, quedando muy sucia ya que salpica por todo lado, pensé que ofrecerían una solución en el taller, pero me dijeron que debo buscar por otro lado ya que no tienen solución para eso. Me gustaría que como marca ofrecieran unos guardabarros diseñados especialmente para la patineta, para no tener que dejar mi patineta en manos de un tercero.</t>
  </si>
  <si>
    <t>NOVOA CASTILLO</t>
  </si>
  <si>
    <t>JOSUE DAVID</t>
  </si>
  <si>
    <t>RICO</t>
  </si>
  <si>
    <t>No me fue solucionada la falla y se demora el servicio</t>
  </si>
  <si>
    <t>RINCON VARGAS</t>
  </si>
  <si>
    <t>HOLMAN FERNEY</t>
  </si>
  <si>
    <t>Pues la verdad no ha sido muy buena ya que al principio la información donde se compró no fue clara, esto se lo hicimos saber a la personas que nos atendió en el taller, la llevamos para un mantenimiento en el cual no se le hizo nada solo un ajuste de frenos que era lo que tenía principalmente, la verdad siento que en el Momento que la reciben deberían decirle a uno solo es esto y entregarla de una vez ya que solo nos purgaron los frenos y cobran el mantenimiento completo.</t>
  </si>
  <si>
    <t>CHACON FORERO</t>
  </si>
  <si>
    <t>Estoy fascinado con mi Mimca800w.  El personal de taller de calle 72 es fantástico</t>
  </si>
  <si>
    <t>HERRERA MORALEZ</t>
  </si>
  <si>
    <t>Tuve una muy mala experiencia frente a la primera revisión eléctrica que le hicieron, puesto que me entregaron la patineta y la falla persistió. Eso significó que el arreglo que le hicieron a la patineta (cambio de socket) no correspondía al fallo inicial y, por tanto, no dio la autonomía para la que está preparada y me tocó llegar caminando a mi casa. Además que tuve que volverla a llevar al servicio técnico y, aunque se me indicó que me darían prelación, no fue así y me dijeron mentiras frente a las fechas que me la entregarían. También estuve intentando contactarlo por Instagram pero la atención allí fue peor.</t>
  </si>
  <si>
    <t>NAVA AVILA</t>
  </si>
  <si>
    <t>NICOLAS FELIPE</t>
  </si>
  <si>
    <t>Me tardé mucho en comunicarme con un asesor a través de whats app cuando quería conocer el estado del proceso, casi que no me contestan</t>
  </si>
  <si>
    <t>ARCE RUIZ</t>
  </si>
  <si>
    <t>CRISTIAN DARIO</t>
  </si>
  <si>
    <t>Sería bueno que pasaran sede en el sur y Soacha</t>
  </si>
  <si>
    <t>CORDOBA</t>
  </si>
  <si>
    <t>ELI JOHANA</t>
  </si>
  <si>
    <t>Excelente marca</t>
  </si>
  <si>
    <t>CORTEZ MAYORGA</t>
  </si>
  <si>
    <t>SANDRA CAROLINA</t>
  </si>
  <si>
    <t>Gracias por su atención</t>
  </si>
  <si>
    <t>La comunicación es clara y oportuna, falta tal vez Aclarar lo que se encontró deficiente</t>
  </si>
  <si>
    <t>ANAYA CORPAS</t>
  </si>
  <si>
    <t>ASTRID</t>
  </si>
  <si>
    <t>Experiencia de compra buena, experiencia en taller mala, no dan garantía de los arreglos, y es muy caro los arreglos</t>
  </si>
  <si>
    <t>GUTEMBERG</t>
  </si>
  <si>
    <t>DAMARIS MCNAMARA</t>
  </si>
  <si>
    <t>Excelente servicio al cliente por parte de Paola, y entrega del scooter en tiempo acordado</t>
  </si>
  <si>
    <t>VELANDIA BONILLA</t>
  </si>
  <si>
    <t>Mucha amabilidad y cordialidad</t>
  </si>
  <si>
    <t>URIBE</t>
  </si>
  <si>
    <t>NILSON</t>
  </si>
  <si>
    <t>El servicio de minca siempre es muy bueno</t>
  </si>
  <si>
    <t>MELO MORENO</t>
  </si>
  <si>
    <t>CAMILO ANDRES</t>
  </si>
  <si>
    <t>MATEUS</t>
  </si>
  <si>
    <t>OSCAR RICARDO</t>
  </si>
  <si>
    <t>He tenido mucha decepción. Ha estado más en el taller que en uso. La calidad de las llantas es mala, la calidad de guarda barros es mala, el pito tuvo daños también. La experiencia ha sido pésima porque es desgastante para el usuario llevar tantas veces al taller una patineta técnicamente nueva.
Además el diseño de los comandos no es el mejor, el botón de pito y direccionales es difícil accionarlo. Las direccionales no son muy visibles cuando hay mucha luz por lo que es riesgoso para el usuario pues otros vehículos no alcanzan a ver la direccional.</t>
  </si>
  <si>
    <t>MOLINA FELIPE</t>
  </si>
  <si>
    <t>DAVID LEONARDO</t>
  </si>
  <si>
    <t>La marca es buena, solo que hemos tenido un problema para cambiar la factura a nombre de mi hijo, el es que la usa. no ha sido fácil el trámite, de resto el equipo ha salido bueno</t>
  </si>
  <si>
    <t>HENAO CASTRILLON</t>
  </si>
  <si>
    <t>SANDRA MILENA</t>
  </si>
  <si>
    <t>LOMBANA</t>
  </si>
  <si>
    <t>Una buena marca ahorrando extrictamente para comprarme la 2400 versión 2026</t>
  </si>
  <si>
    <t>LOPEZ GOMEZ</t>
  </si>
  <si>
    <t>ANDRES CAMILO</t>
  </si>
  <si>
    <t>Amables y ágiles</t>
  </si>
  <si>
    <t>AMAYA MENDEZ</t>
  </si>
  <si>
    <t>JULIO CESAR</t>
  </si>
  <si>
    <t>Muy buena la experiencia</t>
  </si>
  <si>
    <t>MARTINEZ MARIN</t>
  </si>
  <si>
    <t>CRISTIAN</t>
  </si>
  <si>
    <t>La atencion siempre buena. Pero un poco disconforme con la patineta que parece ser muy delicada. La bateria con problemas. Y no la cambian. Sino que la arreglan. Lo que espero a futuro no sea que deba pagar por una nueva que no tiene ni un año y ya con problemas serios. 
Que aconsejan que no se moje ( en bogota!). Tiene amortiguadores. Pero no se puede mover mucho y hay que evitar desniveles porque puede afectar a la bateria. Hay patinetas mas economicas que son "todo terreno" y sin mantenimiento ni nada me han durado una eternidad. Esta le hago todos los mantenimientos. Le compre todos los productos. Y asi y todo es una princesita para usarla.</t>
  </si>
  <si>
    <t>GONZALEZ</t>
  </si>
  <si>
    <t>MANUEL</t>
  </si>
  <si>
    <t>El mantenimiento fue rápido, óptimo y de calidad</t>
  </si>
  <si>
    <t>PRADA MOREO</t>
  </si>
  <si>
    <t>JOSELO</t>
  </si>
  <si>
    <t>Como sugerencia me gustaría que el tiempo mantenimiento no sea de 3 días ya que es mi medio de transporte</t>
  </si>
  <si>
    <t>GUAYACAN FUQUENE</t>
  </si>
  <si>
    <t>LEIDY</t>
  </si>
  <si>
    <t>TODO BN👍</t>
  </si>
  <si>
    <t>PASTRANA TORRES</t>
  </si>
  <si>
    <t>Dar al final en la entrega de la patineta junto con ella un diagnóstico impreso donde diga que tenía la patineta y que le hicieron para tener un checkin en la patineta sobre que hay que cambiar o que hay que tener en cuenta para el próximo mantenimiento o revisión.</t>
  </si>
  <si>
    <t>VEGA BOLIVAR</t>
  </si>
  <si>
    <t>Fue un muy buen servicio, rápido y claro en el proceso</t>
  </si>
  <si>
    <t>RAMÍREZ GARZON</t>
  </si>
  <si>
    <t>DAYRON EDUARDO</t>
  </si>
  <si>
    <t>En general es una marca confiable y con excelente servicio y soporte</t>
  </si>
  <si>
    <t>MATEUS ROJAS</t>
  </si>
  <si>
    <t>WILMER ZAHID</t>
  </si>
  <si>
    <t>Siempre atentos con la solicitud y frente al tiempo de entrega no he tenido inconveniente alguno, simplemente un servicio a la altura</t>
  </si>
  <si>
    <t>BARBOSA GARCIA</t>
  </si>
  <si>
    <t>JANETH ESPERANZA</t>
  </si>
  <si>
    <t>Gracias por el servicio</t>
  </si>
  <si>
    <t>GARCIA ZAPATA</t>
  </si>
  <si>
    <t>JULIAN ANDRES</t>
  </si>
  <si>
    <t>Todo funciona muy bien, me siento a gusto con el servicio, pero sería bueno acercar los talleres a otras zonas</t>
  </si>
  <si>
    <t>VALDERRAMA CARDENAS</t>
  </si>
  <si>
    <t>VALDEZ</t>
  </si>
  <si>
    <t>KENICKIE</t>
  </si>
  <si>
    <t>Mejorar el servicio del chat, me dijieron una cosa y en el taller hicieron otra.</t>
  </si>
  <si>
    <t>VARGAS</t>
  </si>
  <si>
    <t>CASTRO ROJAS</t>
  </si>
  <si>
    <t>GOMEZ FUENTES</t>
  </si>
  <si>
    <t>AMADO</t>
  </si>
  <si>
    <t>Me hicieron esperar mucho tiempo por un repuesto. Me indicaron que la patineta ya estaba y cuando llegué no estaba bien reparada.</t>
  </si>
  <si>
    <t>PUENTES AREVALO</t>
  </si>
  <si>
    <t>OSCAR SEBASTIAN</t>
  </si>
  <si>
    <t>Me gustó mucho la atención y las explicaciones que me brindo el señor de mantenimiento muchas gracias</t>
  </si>
  <si>
    <t>SUAREZ CALLE</t>
  </si>
  <si>
    <t>LAURA MILENA</t>
  </si>
  <si>
    <t>A veces los tiempo de espera son extensos, sin embargo un muy buen trabajo, César del taller de Cedritos, es una calidad de persona y siempre está muy dispuesto con todo.</t>
  </si>
  <si>
    <t>GUALDRON PORTELA</t>
  </si>
  <si>
    <t>SERGIO EDUARDO</t>
  </si>
  <si>
    <t>CEDRITOS GUARDABARROS STOP M</t>
  </si>
  <si>
    <t>CHICO ARREGLO DE BATRERIA</t>
  </si>
  <si>
    <t>AV CHILE GUARDABARROS RROTO</t>
  </si>
  <si>
    <t>AV CHILE ARREGLO DE BATERIA MODELO 2022</t>
  </si>
  <si>
    <t>JAVERIANA FALLAD E CONTROLADOR</t>
  </si>
  <si>
    <t>JAVERIAMA</t>
  </si>
  <si>
    <t>CEDRITOS CAMBIO DE RODAMIENTOS, INGRESO EL 20 Y SE FINALIZO EL 21</t>
  </si>
  <si>
    <t>AV CHILE</t>
  </si>
  <si>
    <t>AV CHILE, CAMBIO DE LLANTA</t>
  </si>
  <si>
    <t>JAVERIANA CAMBIO DE CINTA DE SEGURIDAD</t>
  </si>
  <si>
    <t>JAVERIANA, INTERVENIDA EL 12 AUTORIZO EL 18</t>
  </si>
  <si>
    <t xml:space="preserve">CHICO CAMBIO EL CONTROLADOR EL 14 DE OCTUBRE </t>
  </si>
  <si>
    <t>SEMANA</t>
  </si>
  <si>
    <t>Cedritos</t>
  </si>
  <si>
    <t>Muy bueno todo</t>
  </si>
  <si>
    <t>Chico</t>
  </si>
  <si>
    <t>Excelente atención por parte de PAOLA, atenta a los detalles técnicos por los cuales va uno, un servicio al cliente EXCELENTE, realmente queda uno satisfecho como cliente.</t>
  </si>
  <si>
    <t>Javeriana</t>
  </si>
  <si>
    <t>Pesima atencion de la persona wue me recibio y pesima actitud! Yo igual odio minca y fue mi peor decision de compra, ya en mantenimiento he pagado otra patineta</t>
  </si>
  <si>
    <t>SARMIENTO</t>
  </si>
  <si>
    <t>Prueba</t>
  </si>
  <si>
    <t>Taller Chicó</t>
  </si>
  <si>
    <t>AYALA</t>
  </si>
  <si>
    <t>SANTIAGO ROBLES</t>
  </si>
  <si>
    <t>Me encanta la marca y el buen servicio un prestan, cuando la llevo para cambio de neumáticos me la entregan limpia y con algunos ajustes . Eso es maravilloso 👏</t>
  </si>
  <si>
    <t>PRADA MORENO</t>
  </si>
  <si>
    <t>Avenida chile</t>
  </si>
  <si>
    <t>HERRERA PARRA</t>
  </si>
  <si>
    <t>CRISTIAN ARBEY</t>
  </si>
  <si>
    <t>Chile</t>
  </si>
  <si>
    <t>SANDOVAL RUIZ</t>
  </si>
  <si>
    <t>JEFFERSON</t>
  </si>
  <si>
    <t>SAYAGO CAMACHO</t>
  </si>
  <si>
    <t>Debería demorarse menos tiempo en los arreglos</t>
  </si>
  <si>
    <t>ANGARITA TORRES</t>
  </si>
  <si>
    <t>Buena atención</t>
  </si>
  <si>
    <t>CORRO DE LA HOZ</t>
  </si>
  <si>
    <t>WILLIAN DAVID</t>
  </si>
  <si>
    <t>El servicio tarda demasiado lleve mi scooter a las 9 por un despinche y no tuve respuesta o información si no hasta las 4 de la tarde por un despinche</t>
  </si>
  <si>
    <t>Cll 72</t>
  </si>
  <si>
    <t>LARA MONTEALEGRE</t>
  </si>
  <si>
    <t>DENIS VINCE</t>
  </si>
  <si>
    <t>Para ser la primera vez que la llevo al taller, me pareció muy bueno el servicio. Quizás tener en stock repuestos para no tener que esperar tanto tiempo para cambiar un accesorio</t>
  </si>
  <si>
    <t>Chicó</t>
  </si>
  <si>
    <t>VARGAS AGUIRRE</t>
  </si>
  <si>
    <t>Siempre han Sido muy diligentes y atentos, llevo 2 años y medio con la marca y siempre han Sido diligentes y dispuestos a ayudar</t>
  </si>
  <si>
    <t>CASTRO GONZALEZ</t>
  </si>
  <si>
    <t>HAROLD EDUARDO</t>
  </si>
  <si>
    <t>Todo super</t>
  </si>
  <si>
    <t>Yo opinó que se demoraron mucho con la patineta adicional deberían de haber más talleres hacia el sur</t>
  </si>
  <si>
    <t>CHAYANNE HANID</t>
  </si>
  <si>
    <t>OBANDO ALFONSO</t>
  </si>
  <si>
    <t>CABALLERO MATEUS</t>
  </si>
  <si>
    <t>Amabilidad y buen servicio</t>
  </si>
  <si>
    <t>Las vegas</t>
  </si>
  <si>
    <t>Av chile</t>
  </si>
  <si>
    <t>APONTE GONZALEZ</t>
  </si>
  <si>
    <t>ANDREA CAROLINA</t>
  </si>
  <si>
    <t>Excelente atención y compromiso 👍🏻</t>
  </si>
  <si>
    <t>Sede Cedritos</t>
  </si>
  <si>
    <t>CERMEÑO DIAZ</t>
  </si>
  <si>
    <t>ELIZABETH</t>
  </si>
  <si>
    <t>SEGURA MEJIA</t>
  </si>
  <si>
    <t>SANTIAGO EDUARDO</t>
  </si>
  <si>
    <t>2025-12-01T11:21:10-05:00</t>
  </si>
  <si>
    <t>....</t>
  </si>
  <si>
    <t>El detalle del guardabarro, me parece que se daña muy seguido , para mi minca 2.400 ATS</t>
  </si>
  <si>
    <t>FINO LOPEZ</t>
  </si>
  <si>
    <t>JACKSON SAIR</t>
  </si>
  <si>
    <t>La atención al cliente en el taller mejor DEMACIADO eso es muy bueno y adicionalmente uno se siente más como en casa</t>
  </si>
  <si>
    <t>Empezamos en el taller de la 72</t>
  </si>
  <si>
    <t>MUÑOZ CORREDOR</t>
  </si>
  <si>
    <t>NARENN DARYANIF</t>
  </si>
  <si>
    <t>Las Vegas</t>
  </si>
  <si>
    <t>FRANCO RODRIGUEZ</t>
  </si>
  <si>
    <t>Deberían tener un stock de todos los repuestos, en este caso me tocó optar por una llanta maciza porque no tenían sellomatic</t>
  </si>
  <si>
    <t>SARMIENTO GARCIA</t>
  </si>
  <si>
    <t>JULIAN FELIPE</t>
  </si>
  <si>
    <t>Deberian unificar el servicio y decisiones en todos sus talleres. He tenido información y actitudes bastante diferentes por parte de los vendedores y tecnicos. 
Espero que me reconozcan por garantia la manija del freno delantero que en un total de 1.100km apenas esta presentando fuga y no debo asumir el costo del repuesto.</t>
  </si>
  <si>
    <t>CEREJO</t>
  </si>
  <si>
    <t>Al momento de ingresar la patineta por temas electrónicos (no prende) les indique que necesitaba urgente el trabajo, lastimosamente no fue así se tardó más de 8 días y los canales para aprobar la realización de los ajustes ni funcionaba, me tocó comunicarme con otra tienda para recibir ayuda, me voy preocupado al no saber realmente que daño tuvo la patineta ya que he tenido los cuidados necesarios y realizado los mantenimientos respectivos, no llevo mucho con ella y ya van dos ingresos por fallas en la batería, se apaga de un momento a otro y no reacciona cargando, me siento muy decepcionado y desilusionado de haber comprado la nueva patineta, tuve una 500w y nunca me pasó esto, deja mucho que hablar de una marca que consideraba de calidad, pondré en prueba de aquí en adelante sino realmente uda fallaron como marca, fabricantes y comercializadores</t>
  </si>
  <si>
    <t>Sede 72</t>
  </si>
  <si>
    <t>RAMIREZ VARGAS</t>
  </si>
  <si>
    <t>El servicio técnico ofrece en primera instancia mucha diligencia y seriedad. Profesionalismo y precisión.
Son diligentes con el diagnóstico y rápidos en o respuesta.
En realidad el servicio técnico es muy serio y rápido 
Muy agradecida</t>
  </si>
  <si>
    <t>SABOGAL GAITAN</t>
  </si>
  <si>
    <t>JOHANA</t>
  </si>
  <si>
    <t>ENRIQUE</t>
  </si>
  <si>
    <t>GREGORIO</t>
  </si>
  <si>
    <t>El mantenimiento fue mas rápido de lo que esperaba, la patineta está ajustada y funcional hasta el momento</t>
  </si>
  <si>
    <t>SÁNCHEZ CHÁVEZ</t>
  </si>
  <si>
    <t>RAMIRO ANDRÉS</t>
  </si>
  <si>
    <t>En los aspectos de Recepción y trabajo no tengo queja, en servicio al cliente pésimo, tardaron 2 meses para entregar la patineta, nunca me contactaron cad vez que escribía la respuesta es que en uno o dos días estaría lista</t>
  </si>
  <si>
    <t>BELTRAN</t>
  </si>
  <si>
    <t>JAVIER HERNANDO</t>
  </si>
  <si>
    <t>Hola buenos días estoy muy contento feliz refeliz con la marca les deseo a todo el equipo de mica una feliz navid y próspero año nuevo.🥳🥳🥳♥️👌🏻✌🏻🤠🇨🇴</t>
  </si>
  <si>
    <t>Las Vegas Medellín</t>
  </si>
  <si>
    <t>CARDONA GARCIA</t>
  </si>
  <si>
    <t>Cerditos</t>
  </si>
  <si>
    <t>ESPARZA VELASCO</t>
  </si>
  <si>
    <t>CAMILO MAURICIO</t>
  </si>
  <si>
    <t>Muy mala experiencia.  Deje lanpatineta 10 días.  Y salio peor</t>
  </si>
  <si>
    <t>RÍOS COLLAZOS</t>
  </si>
  <si>
    <t>EDWIN ALEJANDRO</t>
  </si>
  <si>
    <t>Me parece una marca que se preocupa por la calidad de servicio al cliente y eso se valora un montón</t>
  </si>
  <si>
    <t>Taller chicó</t>
  </si>
  <si>
    <t>SOJO DIAZ</t>
  </si>
  <si>
    <t>IDELSON JOSE</t>
  </si>
  <si>
    <t>Buena calidad del producto</t>
  </si>
  <si>
    <t>Avenida Chile</t>
  </si>
  <si>
    <t>VELASCO VARON</t>
  </si>
  <si>
    <t>HELBERT DAVID</t>
  </si>
  <si>
    <t>Quedo con el mismo ruido por la que la lleve.</t>
  </si>
  <si>
    <t>ORTIZ MARTINEZ</t>
  </si>
  <si>
    <t>EDWIM</t>
  </si>
  <si>
    <t>Me ah gustado mucho la patineta desde que la tengo solo pediría que mejorarán el servicio respecto a repuestos por que es un modelo nuevo pero no tienen repuestos</t>
  </si>
  <si>
    <t>SILVA CUBILLOS</t>
  </si>
  <si>
    <t>Muy mala actitud y comunicacion, se comprometieron con muchas cosas que no cumplieron perjudicamndome. Todos los dias me decian que en la tarde me enviaban el informe y asi me tuvieron varios dias, hasta que no fui al lugar personalmente no me dieron razon. Luego dicen que no cargarla en unos meses por viaje es mal uso. Dijeron que ellos me ayudaban a recoger la moped y tampoco</t>
  </si>
  <si>
    <t>chico</t>
  </si>
  <si>
    <t>BERNAL CUNDI</t>
  </si>
  <si>
    <t>Pésima patineta, desde el día 1 en garantía. Y no arreglan, voy a interponer una PQR</t>
  </si>
  <si>
    <t>Taller avenida chile</t>
  </si>
  <si>
    <t>GARCIA RUIZ</t>
  </si>
  <si>
    <t>Buen servicio, el local es muy bueno. Lo único es que es difícil el acceso y el parqueo. A veces es difícil la logística para llevar la patineta y recogerla.</t>
  </si>
  <si>
    <t>TORRES AYALA</t>
  </si>
  <si>
    <t>En el de la javeriana</t>
  </si>
  <si>
    <t>PEREZ AMARIS</t>
  </si>
  <si>
    <t>ALFONSO JUNIOR</t>
  </si>
  <si>
    <t>Excelente servicio, siempre vengo a ese taller 
Primero por cercanía y lo mejor una excelente atención</t>
  </si>
  <si>
    <t>En el de la 72</t>
  </si>
  <si>
    <t>RODRIGUEZ NIETO</t>
  </si>
  <si>
    <t>DIEGO MAURICIO</t>
  </si>
  <si>
    <t>VÁSQUEZ LEON</t>
  </si>
  <si>
    <t>JOSMAN AUGUSTO</t>
  </si>
  <si>
    <t>El proceso de pos muy malo, quieren cambiar todas las partes por nuevas y no hacen arreglos sencillos en los mantenimientos, lleve un cargador por que me salio malo y la.respuesta es que debia comprar uno nuevo, al recibirlo hasta roto me lo entregaron</t>
  </si>
  <si>
    <t>JOSE ALEXANDER</t>
  </si>
  <si>
    <t>Excelente, use la patineta de vuelta a la casa y todo funcionó de manera correcta, gracias.</t>
  </si>
  <si>
    <t>Aveces tienen mala calidad de los productos</t>
  </si>
  <si>
    <t>Unos crack, excelente trabajo me agradó</t>
  </si>
  <si>
    <t>CONTRERAS BURGOS</t>
  </si>
  <si>
    <t>YHOE SEBASTIAN</t>
  </si>
  <si>
    <t>Minca es una marca que realmente destaca por su calidad y diseño. Sus productos combinan estética moderna con funcionalidad, y eso hace que cada pieza sea práctica y visualmente atractiva. Además, la durabilidad y el buen rendimiento que ofrecen generan mucha confianza. Personalmente, me encanta porque se nota el cuidado en los detalles y la búsqueda constante de innovación.</t>
  </si>
  <si>
    <t>MANRIQUE</t>
  </si>
  <si>
    <t>VANNESA</t>
  </si>
  <si>
    <t>En calle 72 y en calle 140 (garantía)</t>
  </si>
  <si>
    <t>OJEDA  GONZALEZ</t>
  </si>
  <si>
    <t>JULIANA</t>
  </si>
  <si>
    <t>Pues que no sé si es cuestión por el mantenimiento o que sé le olvidó limpiar venía con grasa en el chasis dé resto todo bien</t>
  </si>
  <si>
    <t>Cedrito</t>
  </si>
  <si>
    <t>TIQUE CHILATRA</t>
  </si>
  <si>
    <t>LUIS</t>
  </si>
  <si>
    <t>La patineta aun continua con fallas en los frenos, el viernes la vuelvo a llevar para validar si es cuestion de uso de la guaya o si deben realizar otros arreglos.
pero tienen un buen servicio</t>
  </si>
  <si>
    <t>GONZALEZ SARMIENTO</t>
  </si>
  <si>
    <t>SANTIAGO ANDRES</t>
  </si>
  <si>
    <t>DC COMERCIALSAS</t>
  </si>
  <si>
    <t>Minca Electric Showroom Avenida Chile</t>
  </si>
  <si>
    <t>SILVA DIAZ</t>
  </si>
  <si>
    <t>DARLY</t>
  </si>
  <si>
    <t>Buen servico , atención rápida y buena seguimiento</t>
  </si>
  <si>
    <t>FONTALVO MAYUSA</t>
  </si>
  <si>
    <t>CARLOS FELIPE</t>
  </si>
  <si>
    <t>Mejoraría un poco la forma en la que se ofrecen los demás servicios adicionales, creo que es importante para el cliente saber el aproximado de valor final</t>
  </si>
  <si>
    <t>Minca Chico</t>
  </si>
  <si>
    <t>CAMARGO</t>
  </si>
  <si>
    <t>MARÍA FERNANDA</t>
  </si>
  <si>
    <t>Muy rápido, muy profesionales</t>
  </si>
  <si>
    <t>ARRIETA FUENTES</t>
  </si>
  <si>
    <t>MARIA ANGELA</t>
  </si>
  <si>
    <t>Todo muy bueno buen servicio y lo indispensable como lo quería</t>
  </si>
  <si>
    <t>HERRERA BURGOS</t>
  </si>
  <si>
    <t>JORGE LUIS</t>
  </si>
  <si>
    <t>VIRGÜEZ ORTIZ</t>
  </si>
  <si>
    <t>KAROL TATIANA</t>
  </si>
  <si>
    <t>Atienden un poquito de mala gana pero bien</t>
  </si>
  <si>
    <t>GONZALEZ RODRIGUEZ</t>
  </si>
  <si>
    <t>ÁNGEL DAVID</t>
  </si>
  <si>
    <t>MERLANO VALVERDE</t>
  </si>
  <si>
    <t>PAULA VANESSA</t>
  </si>
  <si>
    <t>ABELLA COMBITA</t>
  </si>
  <si>
    <t>CAMILO EDUARDO</t>
  </si>
  <si>
    <t>Exelente atención del taller y asesores pero algo retrasado en las reparaciones y no se resolvió un problema en la patineta pero de resto todo exelente</t>
  </si>
  <si>
    <t>ALVAREZ PEROZO</t>
  </si>
  <si>
    <t>HENRY RAFAEL</t>
  </si>
  <si>
    <t>TALLER</t>
  </si>
  <si>
    <t>Con respecto a la marca me siento respaldada
 lo único fue que me tocó tomar garantía porque los frenos de mi moped en la parte delantera empezaron a sonar igual que como cuando la llevé a revisión
Y la cadena de los pedales se soltó</t>
  </si>
  <si>
    <t>Jenifer Salamanca</t>
  </si>
  <si>
    <t>Andrea Valencia</t>
  </si>
  <si>
    <t>La patineta estuvo 3 semanas en el taller, ayer que me la entregaron no funcionó, la arreglaron rápido y me la volvieron a entregar y después de andar en ella menos de 1km se volvió a dañar. Tengo esta patineta hace 1.5 años y le he invertido algo más de $1’500,000. La atención siempre ha sido buena pero la calidad de las reparaciones o de la patineta per se si deja mucho que pensar.</t>
  </si>
  <si>
    <t>CONSTANTINO DEREIX</t>
  </si>
  <si>
    <t>hola</t>
  </si>
  <si>
    <t>Tiffany Cortes</t>
  </si>
  <si>
    <t>Bastante rápido , buena explicación de las reparaciones y buenas recomendaciones para evitar problemas básicos en un futuro</t>
  </si>
  <si>
    <t>Rojas Prieto</t>
  </si>
  <si>
    <t>Geison</t>
  </si>
  <si>
    <t>Jenifer</t>
  </si>
  <si>
    <t>Prueba prueba prieba</t>
  </si>
  <si>
    <t>Robledo Iriarte</t>
  </si>
  <si>
    <t>Buena atención personal muy atento</t>
  </si>
  <si>
    <t>Guerrero Caucali</t>
  </si>
  <si>
    <t>Elsa Paola</t>
  </si>
  <si>
    <t>Buena experiencia en general, sería bueno cumplir los horarios estipulados desde el primer día.</t>
  </si>
  <si>
    <t>Ferreira</t>
  </si>
  <si>
    <t>Buen servicio pos venta, me gustó el mantenimiento 👍🏽</t>
  </si>
  <si>
    <t>Martinez Rodriguez</t>
  </si>
  <si>
    <t>Rafael Andres</t>
  </si>
  <si>
    <t>El joven del taller 
Exelente a tensión 👍</t>
  </si>
  <si>
    <t>Jaramillo Mazo</t>
  </si>
  <si>
    <t>James Frank</t>
  </si>
  <si>
    <t>Buena la asistencia que nos prestaron</t>
  </si>
  <si>
    <t>Galvis Sanchez</t>
  </si>
  <si>
    <t>Julio</t>
  </si>
  <si>
    <t>Pésimo servicio</t>
  </si>
  <si>
    <t>Leon Cortes</t>
  </si>
  <si>
    <t>Daniel Emilio</t>
  </si>
  <si>
    <t>Jhon Fredy Alfonso</t>
  </si>
  <si>
    <t>La bicicleta funciona bien en las subidas tiene fuerza lo único es que la autonomía y la velocidad máxima no es como dice en las especificaciones de la bicicleta, es menor.</t>
  </si>
  <si>
    <t>Lemus Torres</t>
  </si>
  <si>
    <t>Carlos Mario</t>
  </si>
  <si>
    <t>Excelente servicio, oportuno y rápida. Se siente la solidez de más marca. Gracias</t>
  </si>
  <si>
    <t>Camargo Zarate</t>
  </si>
  <si>
    <t>Yesid Camilo</t>
  </si>
  <si>
    <t>Confirmo los repuestos necesarios</t>
  </si>
  <si>
    <t>Las patinetas son buenísimas y la atención en los talleres es buena.</t>
  </si>
  <si>
    <t>Pedreros Quintero</t>
  </si>
  <si>
    <t>En particular, la opción de comprar unas luces exploradoras, y que la luz frontal se pueda apuntar manualmente para iluminar el terreno mejor</t>
  </si>
  <si>
    <t>Zambrano Huertas</t>
  </si>
  <si>
    <t>Sugeriría un horario entre semana un poco más extenso, por ahí hasta las 7, por si como cliente respeto una reparación con urgencia</t>
  </si>
  <si>
    <t>Tovar MartÍnez</t>
  </si>
  <si>
    <t>Miguel AndrÉs</t>
  </si>
  <si>
    <t>Mejorar un poco el servicio postventa</t>
  </si>
  <si>
    <t>Arango Diaz</t>
  </si>
  <si>
    <t>Ivan Dario</t>
  </si>
  <si>
    <t>Yenifer salamanca</t>
  </si>
  <si>
    <t>En general es buena aunque costosa para los beneficios que tiene...</t>
  </si>
  <si>
    <t>Segura Rodriguez</t>
  </si>
  <si>
    <t>Praxedis Eloisa</t>
  </si>
  <si>
    <t>Muy bien servicio, el personal es atento y ayudan a solucionar los temas pronto</t>
  </si>
  <si>
    <t>Rocha Palacio</t>
  </si>
  <si>
    <t>Danny</t>
  </si>
  <si>
    <t>Buendía</t>
  </si>
  <si>
    <t>Buenos días, en general todo está muy bien , como sugerencia que cuando uno ingrese la clave para usar la minca, ella se haga transparente para que nadie más la vea desde atrás.es un peligro si se está solo en una calle y se apaga la minca . Que la clave se vaya tapando a medida que uno la ingresa.</t>
  </si>
  <si>
    <t>Suarez Coy</t>
  </si>
  <si>
    <t>Ivan Daniel</t>
  </si>
  <si>
    <t>mala la marca malo el servicio pesimo el mantnimiento mejor dicho les falta todo para ser una marca me arrepiento de haber comprado eso</t>
  </si>
  <si>
    <t>Romero</t>
  </si>
  <si>
    <t>Danilo</t>
  </si>
  <si>
    <t>El servicio fue muy bueno, me atendieron rápido y la impermeabilización fue rápida también</t>
  </si>
  <si>
    <t>Marin Castiblanco</t>
  </si>
  <si>
    <t>Todo muy bueno.</t>
  </si>
  <si>
    <t>Rivera RincÓn</t>
  </si>
  <si>
    <t>JuliÁn</t>
  </si>
  <si>
    <t>Fue muy rápido el tiempo de respuesta del taller, a pesar que el mismo día estuvo lista cuando vine a recogerla la patineta aún no funcionaba por lo que me la devolvieron a revisión y me hicieron perder tiempo</t>
  </si>
  <si>
    <t>Gracias por la atención</t>
  </si>
  <si>
    <t>Alia</t>
  </si>
  <si>
    <t>Hasta el momento me ha parecido buena la atención y servicio del personal de MINCA</t>
  </si>
  <si>
    <t>Carvajal Reinoso</t>
  </si>
  <si>
    <t>Hasta la fecha me ha parecido muy buena, solo que con la vibración al andar en ella se sueltan las roscas del maniubro de los lados y toca estar parando muy seguido y ajustar las roscas de los lados,.</t>
  </si>
  <si>
    <t>Murillo Gonzalez</t>
  </si>
  <si>
    <t>Evelyn</t>
  </si>
  <si>
    <t>Avila Cordero</t>
  </si>
  <si>
    <t>Jeisson David</t>
  </si>
  <si>
    <t>Duarte</t>
  </si>
  <si>
    <t>Yeison Armando</t>
  </si>
  <si>
    <t>Buena atención y servicio con el ajuste de frenos</t>
  </si>
  <si>
    <t>Gran servicio</t>
  </si>
  <si>
    <t>FAJARDO</t>
  </si>
  <si>
    <t>Excelente servicio de todo el personal</t>
  </si>
  <si>
    <t>RAMIREZ CIENDUA</t>
  </si>
  <si>
    <t>Chapinero</t>
  </si>
  <si>
    <t>BELTRAN URREGO</t>
  </si>
  <si>
    <t>LUIS ALBERTO</t>
  </si>
  <si>
    <t>Me ha parecido una patineta excelente y el servicio de mantenimiento fue muy bueno, quedo como nueva, muchas gracias!</t>
  </si>
  <si>
    <t>DIAZ PINTO</t>
  </si>
  <si>
    <t>Buen asesoramiento, la patineta quedó increíble, salió como nueva, súper recomendado 🔥🔥</t>
  </si>
  <si>
    <t>SUAREZ LOZADA</t>
  </si>
  <si>
    <t>SEBASTIAN GUILLERMO</t>
  </si>
  <si>
    <t>Todos son muy amables!</t>
  </si>
  <si>
    <t>PALACINO GARCIA</t>
  </si>
  <si>
    <t>MYRIAM ALICIA</t>
  </si>
  <si>
    <t>El servicio fue excelente, el personal 10/10</t>
  </si>
  <si>
    <t>ESCALANTE LOZANO</t>
  </si>
  <si>
    <t>DANIELA</t>
  </si>
  <si>
    <t>RODRIGUEZ GUTIERREZ</t>
  </si>
  <si>
    <t>Medellín, Las Vegas</t>
  </si>
  <si>
    <t>En general, la atención al cliente fue buena, lo único malo fue que se demoraron aproximadamente 3 semanas en enviarme la patineta a mi domicilio, teniendo en cuenta que no podía pasar por ella al taller</t>
  </si>
  <si>
    <t>LANCHEROS FRESNEDA</t>
  </si>
  <si>
    <t>TOMAS SANTIAGO</t>
  </si>
  <si>
    <t>GORDO MALAGON</t>
  </si>
  <si>
    <t>PAULA VIVIANA</t>
  </si>
  <si>
    <t>Los técnicos trabajan espectacular pero la persona de la recepción fue demasiado apática y displicente además no brindan ningun tipo de información sin antes decir que todo tiene un valor que nos informemos y luego preguntemos</t>
  </si>
  <si>
    <t>OJEDA MONTAÑEZ</t>
  </si>
  <si>
    <t>DENISE VANESA</t>
  </si>
  <si>
    <t>ABRIL RIOS</t>
  </si>
  <si>
    <t>EVELYN BRIGITTE</t>
  </si>
  <si>
    <t>ARANGO DIAZ</t>
  </si>
  <si>
    <t>IVAN DARIO</t>
  </si>
  <si>
    <t>Avenida chille</t>
  </si>
  <si>
    <t>MORENO TABARES</t>
  </si>
  <si>
    <t>Me gustó mucho como quedó la patineta, se nota que son cuidados con los detalles.</t>
  </si>
  <si>
    <t>REYES NAVARRO</t>
  </si>
  <si>
    <t>Tengo una duda? El taller de la Javeriana recibe moped para cualquier mantenimiento</t>
  </si>
  <si>
    <t>OCAÑO REYES</t>
  </si>
  <si>
    <t>Tiene sus detallitos me a molestado mucho la patineta por la autonomia</t>
  </si>
  <si>
    <t>Gracias por todo el acompañamientos. Sería bueno habilitar una opción de “pago en línea” de la cotización que se genere y de “recogida en showroom” para cuando el taller ya haya cerrado</t>
  </si>
  <si>
    <t>PEREZ RICCI</t>
  </si>
  <si>
    <t>JUAN KAMILO</t>
  </si>
  <si>
    <t>IDARRAGA JIMENEZ</t>
  </si>
  <si>
    <t>CLARA INES</t>
  </si>
  <si>
    <t>Callle 72</t>
  </si>
  <si>
    <t>La calidad no se ajusta al precio, ni a la expectativa que tenía con la marcar</t>
  </si>
  <si>
    <t>PRECIADO MUÑOZ</t>
  </si>
  <si>
    <t>CLAUDIA JOHANNA</t>
  </si>
  <si>
    <t>RODRIGUEZ PAEZ</t>
  </si>
  <si>
    <t>RINCON SEMA</t>
  </si>
  <si>
    <t>GERMAN DAVID</t>
  </si>
  <si>
    <t>Excelente servicio. Todo el trabajo impecable. Muchas gracias</t>
  </si>
  <si>
    <t>CALA</t>
  </si>
  <si>
    <t>LORENZO SANCHEZ</t>
  </si>
  <si>
    <t>CALLE 72</t>
  </si>
  <si>
    <t>Show room avenida chile</t>
  </si>
  <si>
    <t>Me encantaría que a la mopped de 350w Minca city le mejoraran las direccionales</t>
  </si>
  <si>
    <t>SALCEDO RAMIREZ</t>
  </si>
  <si>
    <t>JHON STEBAN</t>
  </si>
  <si>
    <t>excelente servicio</t>
  </si>
  <si>
    <t>PARRA ALBARRACIN</t>
  </si>
  <si>
    <t>ALVARO IVAN</t>
  </si>
  <si>
    <t>Si</t>
  </si>
  <si>
    <t>No escofican el costo del mantenimiento antes de que ingrese al taller y una vez sale la suspensión suena peor de como había ingresado, mala experiencia en el taller</t>
  </si>
  <si>
    <t>BEDOYA SUAREZ</t>
  </si>
  <si>
    <t>Av. 19 Calle 142</t>
  </si>
  <si>
    <t>Atención respetuosa, colaborativa e información precisa y oportuna</t>
  </si>
  <si>
    <t>ILP CONSTRUCCIONES LTDA</t>
  </si>
  <si>
    <t>Me gusto la atención y toda la comunicación por WhatsApp, es muy sencillo el proceso</t>
  </si>
  <si>
    <t>BOHORQUEZ MARTINEZ</t>
  </si>
  <si>
    <t>PAOLA</t>
  </si>
  <si>
    <t>Me encantó el servicio, rápido, súper detallado, me encantó que todo llega por correo. Agradezco mucho el servicio!!</t>
  </si>
  <si>
    <t>RODRIGUEZ PEREZ</t>
  </si>
  <si>
    <t>DIANA CAROLINA</t>
  </si>
  <si>
    <t>Hasta el momento muy contenta con la marca y la atención ha sido super buena</t>
  </si>
  <si>
    <t>CONDE MARTÍNEZ</t>
  </si>
  <si>
    <t>IBETH MILENA</t>
  </si>
  <si>
    <t>Una buena atención y un mantenimiento de buena calfad</t>
  </si>
  <si>
    <t>LARA MUNEVAR</t>
  </si>
  <si>
    <t>Medellin</t>
  </si>
  <si>
    <t>Muy colaboradores y atentos a los requerimientos</t>
  </si>
  <si>
    <t>GARCIA MUÑOZ</t>
  </si>
  <si>
    <t>RODRIGO ANDRES</t>
  </si>
  <si>
    <t>BOHORQUEZ AGUIRRE</t>
  </si>
  <si>
    <t>KATERINE PAOLA</t>
  </si>
  <si>
    <t>Es un excelente taller se encuentran los repuestos y piensas en el momento preciso y la mecánica de las patineta es grandiosas queda como recién comprada</t>
  </si>
  <si>
    <t>VARGAS PIRAJAN</t>
  </si>
  <si>
    <t>JOSE DAVID</t>
  </si>
  <si>
    <t>El taller es muy pequeño para la cantidad de clientes que van a buscar un servicio por eso la atención aunque lo quieren hacer bien resulta incómodo.</t>
  </si>
  <si>
    <t>MEDINA</t>
  </si>
  <si>
    <t>OLEGARIO</t>
  </si>
  <si>
    <t>Excelente servicio jamas dejemos de cambiar son los mejores</t>
  </si>
  <si>
    <t>ROA CAICEDO</t>
  </si>
  <si>
    <t>GUERRERO ANDRADE</t>
  </si>
  <si>
    <t>Muy ágil el proceso, me encantó</t>
  </si>
  <si>
    <t>MEDINA GONSALEZ</t>
  </si>
  <si>
    <t>Todo muy sencillo en el proceso de dejar la parienta y muy rápido el servicio.</t>
  </si>
  <si>
    <t>MOCHILA DIGITAL MEDIA</t>
  </si>
  <si>
    <t>Medellín</t>
  </si>
  <si>
    <t>AGUDELO ARIAS</t>
  </si>
  <si>
    <t>RICARDO DE JESUS</t>
  </si>
  <si>
    <t>Buena atención y muy rápido</t>
  </si>
  <si>
    <t>GUITIERREZ LADINO</t>
  </si>
  <si>
    <t>JHONATAN</t>
  </si>
  <si>
    <t>La atención fue muy buena</t>
  </si>
  <si>
    <t>MARTINEZ PERALTA</t>
  </si>
  <si>
    <t>JOSE MIGUEL</t>
  </si>
  <si>
    <t>Muy bacano</t>
  </si>
  <si>
    <t>ZAMBRANO HUERTAS</t>
  </si>
  <si>
    <t>DANIEL ERNESTO</t>
  </si>
  <si>
    <t>Súper buena atención</t>
  </si>
  <si>
    <t>LOPEZ MEDINA</t>
  </si>
  <si>
    <t>El puente del canal de whatsapp con los jefes del taller no están sirviendo, los tiempo de entregan tratándose de prioridad tampoco los tienen en cuenta, el servicio de los asesores no es de la mejor si uno les realiza una observación o queja</t>
  </si>
  <si>
    <t>TOVAR JURADO</t>
  </si>
  <si>
    <t>TRACTOPARTS SAS</t>
  </si>
  <si>
    <t>CRUZ CRUZ</t>
  </si>
  <si>
    <t>SARA LUCIA</t>
  </si>
  <si>
    <t>Muy buena atención. La patineta quedó como nueva. Muchas gracias</t>
  </si>
  <si>
    <t>TOVAR ROMERO</t>
  </si>
  <si>
    <t>JONATHAN</t>
  </si>
  <si>
    <t>Taller Minca avenida chile</t>
  </si>
  <si>
    <t>Buen manejo de los tiempos, buenos trabajos y buenas soluciones</t>
  </si>
  <si>
    <t>El taller de Medellín por clínica las Vegas</t>
  </si>
  <si>
    <t>Excelente servicio mandé a hacer el mantenimiento, me dejaron la patineta como nueva... Espero puedan ampliarse y tener más talleres... Me explicaron de la mejor manera qué cambios hicieron Y qué repuestos necesitaba, siempre me reciben con una sonrisa y eso es lo mejor... La calidez, gracias.</t>
  </si>
  <si>
    <t>AGUDELO RUIZ</t>
  </si>
  <si>
    <t>KATERINE</t>
  </si>
  <si>
    <t>Minca electrica poblado</t>
  </si>
  <si>
    <t>La marca es buena y me ha salido muy bien</t>
  </si>
  <si>
    <t>AGUILAR VILLA</t>
  </si>
  <si>
    <t>ANDERSON DARWIN</t>
  </si>
  <si>
    <t>buen servicio</t>
  </si>
  <si>
    <t>FONSECA PARRA</t>
  </si>
  <si>
    <t>LIZETH ROCIO</t>
  </si>
  <si>
    <t>Excelente servicio excelente producto muy satisfecho con mi patineta muchas gracias</t>
  </si>
  <si>
    <t>QUIROZ</t>
  </si>
  <si>
    <t>JORGE  ARMANDO</t>
  </si>
  <si>
    <t>ALVAREZ ROJAS</t>
  </si>
  <si>
    <t>No me querían recibir la patineta que por congestión, sin embargo después de insistir logré que me ayudaran con la despinchada</t>
  </si>
  <si>
    <t>DE DIOS RAMOS</t>
  </si>
  <si>
    <t>Calle 72</t>
  </si>
  <si>
    <t>GONZALEZ PARRA</t>
  </si>
  <si>
    <t>Llevo más de 2 años con la patineta y siempre me han atendido diligentemente en ese taller... nunca he llevado la
Patineta a otro sitio!!!</t>
  </si>
  <si>
    <t>Calle 94</t>
  </si>
  <si>
    <t>Buena, muy rápida la minca 2400 muy buen medio de transporte para no ir en Transmilenio</t>
  </si>
  <si>
    <t>Taller javeriana en la calle 45</t>
  </si>
  <si>
    <t>JOSE RODRIGO</t>
  </si>
  <si>
    <t>VALCARCEL VELA</t>
  </si>
  <si>
    <t>Desde que compre mi patineta el mantenimiento preventivo hasta las despinchadas y las  veces que he usado el servicio tecnico de minca me ha ido muy bien y me ha parecido adecuado.</t>
  </si>
  <si>
    <t>SALAZAR WHITE</t>
  </si>
  <si>
    <t>Rapidez y calidad 🌈🌺</t>
  </si>
  <si>
    <t>TORRES</t>
  </si>
  <si>
    <t>JORGE FERNEY</t>
  </si>
  <si>
    <t>CUBIDES ANTOLINEZ</t>
  </si>
  <si>
    <t>Angie tiene una memoria prodigiosa, siempre es muy atenta y amable en la atención, recepción y entrega, y los técnicos igualmente son receptivos y ágiles en el servicio.</t>
  </si>
  <si>
    <t>BARRERA ARIAS</t>
  </si>
  <si>
    <t>KEINER</t>
  </si>
  <si>
    <t>IBARGUER</t>
  </si>
  <si>
    <t>Fue una experiencia muy chévere, por q me fue mucho mejor de lo esperaba, todo fue rápido y me sentí muy accesorado</t>
  </si>
  <si>
    <t>En el taller de la javeriana</t>
  </si>
  <si>
    <t>LUIS ALEJANDRO</t>
  </si>
  <si>
    <t>PEREZ ALVAREZ</t>
  </si>
  <si>
    <t>Me encanta mi patineta, el servicio ha sido excelente siempre 👌🏻</t>
  </si>
  <si>
    <t>MIGUEL ANGEL</t>
  </si>
  <si>
    <t>HERNANDEZ GUITIERREZ</t>
  </si>
  <si>
    <t>Buenos pero les falta en atención al cliente</t>
  </si>
  <si>
    <t>JONATTAN</t>
  </si>
  <si>
    <t>QUINTERO CORREDOR</t>
  </si>
  <si>
    <t>Fueron muy rápidos en todo el servicio</t>
  </si>
  <si>
    <t>JORGE GUILLERMO</t>
  </si>
  <si>
    <t>GONZALEZ PORTILLA</t>
  </si>
  <si>
    <t>Está excelente mantenimiento y entrega perfecta Pero un punto demora mucho casi 2 semanas</t>
  </si>
  <si>
    <t>Jorge González</t>
  </si>
  <si>
    <t>Gracias excelente Pero un poco demora Pero bien</t>
  </si>
  <si>
    <t>JHOL FRAN</t>
  </si>
  <si>
    <t>SALAS ARDILA</t>
  </si>
  <si>
    <t>Que se demoran mucho tiempo en entregarla</t>
  </si>
  <si>
    <t>PALACIOS DIAZ</t>
  </si>
  <si>
    <t>Hasta el momento todo muy bien. El costo de los accesorios un poco alto. Me gustaría que la bateria de la ats700 tuviera mas independencia.</t>
  </si>
  <si>
    <t>MELECIO CARDONA</t>
  </si>
  <si>
    <t>PEDRO PABLO</t>
  </si>
  <si>
    <t>SUAREZ RODRIGUEZ</t>
  </si>
  <si>
    <t>Bueno el servicio</t>
  </si>
  <si>
    <t>En el siete de agosto</t>
  </si>
  <si>
    <t>CORTES MONTOYA</t>
  </si>
  <si>
    <t>JORGE NICOLAS</t>
  </si>
  <si>
    <t>PRADA RODRIGUEZ</t>
  </si>
  <si>
    <t>Lo mejor en scooter</t>
  </si>
  <si>
    <t>OBER</t>
  </si>
  <si>
    <t>DUQUE</t>
  </si>
  <si>
    <t>Tal vez considerar la mejora de la página que autoriza las órdenes, suele ser un poco confusa.</t>
  </si>
  <si>
    <t>VILLEGAS</t>
  </si>
  <si>
    <t>Amo mi patineta, pero he tenido muchos inconvenientes tecnicos que me han hecho gastar mucho dinero. Además la atención que recibi en Chico no fue la mejor</t>
  </si>
  <si>
    <t>Fui con mi city a cambiar la llanta trasera por un pinchazo,  me dicen que no me pueden atender hasta el martes y que tampoco puedo dejar la bicicleta. Pregunto si puedo comprar la llanta y que la instalen en un montallantas, a lo que responden que no se puede pues se pierde la garantía...
3 días el vehículo inmovilizado por un cambio de llanta que no debería tardar más de 20 minutos. Y la imagen de marca por el suelo con ese tipo de actitud por parte de los asesores.</t>
  </si>
  <si>
    <t>Jesús Muñoz</t>
  </si>
  <si>
    <t>LAURA XIMENA</t>
  </si>
  <si>
    <t>CORTES VARON</t>
  </si>
  <si>
    <t>La verdad, no me da tranquilidad que no sepan por qué se dio una falla en una patineta nueva con dos días de uso. Le pregunté a la asesora del taller y no supo decirme por qué se desconfiguró. Use la patineta de regreso a mi casa y la velocidad no está igual que cuando recién la recibí. Se supone que alcanza 55 km y no pasó de los 40 en race. Dejo esto por escrito para que sepan que debo volver a llevarla</t>
  </si>
  <si>
    <t>BERNARDO</t>
  </si>
  <si>
    <t>MACHADO AREVALO</t>
  </si>
  <si>
    <t>ASCENCIO</t>
  </si>
  <si>
    <t>Como siempre el servicio es rapido eficiente y bueno</t>
  </si>
  <si>
    <t>MARIA JULIANA</t>
  </si>
  <si>
    <t>TAMAYO LOMDOÑO</t>
  </si>
  <si>
    <t>Muy ágil y buen servicio</t>
  </si>
  <si>
    <t>GUILLERMO ALEXANDER</t>
  </si>
  <si>
    <t>MUJICA RODRIGUEZ</t>
  </si>
  <si>
    <t>Más inventario de repuestos por ejemplo guarda barros</t>
  </si>
  <si>
    <t>GHEORGE IVAN</t>
  </si>
  <si>
    <t>DIMOFTACHE VARGAS</t>
  </si>
  <si>
    <t>La patineta presentó un defecto en la llanta sellomatic original. No contaban con el repuesto por lo que se colocó neumático mientras llega el repuesto y se instala, todo cubierto por la garantía de acuerdo con lo indicado en el taller. Por favor agradeceria me informen cuando cuenten con el repuesto muchas gracias</t>
  </si>
  <si>
    <t>JULIO</t>
  </si>
  <si>
    <t>LEMOINE</t>
  </si>
  <si>
    <t>Muy agradecido siempre. Muchas gracias por hacer el arreglo tan rapido</t>
  </si>
  <si>
    <t>Calle 95</t>
  </si>
  <si>
    <t>JHON FREDY</t>
  </si>
  <si>
    <t>BETANCOURT MARTIN</t>
  </si>
  <si>
    <t>Todo fue muy claro desde el principio, se tomo el tiempo establecido y la entrega también fue rápida</t>
  </si>
  <si>
    <t>Avda Chile</t>
  </si>
  <si>
    <t>OBANDO DE CRUZ</t>
  </si>
  <si>
    <t>a los pocos kms de andar en la minca note inestabilidad, ya llegando a la casa note que parece frenada por el disco, por un ruido que hace.. tengo que volverla a llevar</t>
  </si>
  <si>
    <t>cedritos</t>
  </si>
  <si>
    <t>YARA MELISSA</t>
  </si>
  <si>
    <t>Bien, la señorita Paola del punto Javeriana es súper amable y atenta, siempre llevo la patineta allá. Lo único a mejorar es que a veces se demoran mucho con la entrega de la patineta, pero creo que es porque hay mucha demanda. Igual gracias jeje 😌</t>
  </si>
  <si>
    <t>RONALD FABIAN</t>
  </si>
  <si>
    <t>SALCEDO HAMON</t>
  </si>
  <si>
    <t>Atención pésima</t>
  </si>
  <si>
    <t>CHRISTIAN FERNANDO</t>
  </si>
  <si>
    <t>OTERO GUZMAN</t>
  </si>
  <si>
    <t>Ya lo escribí</t>
  </si>
  <si>
    <t>LORENA</t>
  </si>
  <si>
    <t>Buena marca</t>
  </si>
  <si>
    <t>Excelente servicio, muy oportunos</t>
  </si>
  <si>
    <t>javeriana</t>
  </si>
  <si>
    <t>NUÑEZ CABALLERO</t>
  </si>
  <si>
    <t>deben calcular mejor los tiempos, pues hubo un atraso de un día y fue evidente que el trabajo empezó hasta un día después de haber recibido la patineta</t>
  </si>
  <si>
    <t>chicó</t>
  </si>
  <si>
    <t>La patineta es muy buena, lo que me parece negativo son los tiempos de respuesta y la demora en los mantenimientos</t>
  </si>
  <si>
    <t>MAÑOSCA PEREZ</t>
  </si>
  <si>
    <t>Mejorar los tiempos en cuanto a la verificación de novedades iniciales,debido a que se demoró como una semana en informar lo que tenía; de resto cuando se realizó el arreglo fue rápido. Gracias</t>
  </si>
  <si>
    <t>Taller de la 72 avenida chile</t>
  </si>
  <si>
    <t>SAENZ  AVILA</t>
  </si>
  <si>
    <t>Llevo con esta vez 3 veces, la ida a el taller por motivo eléctrico, en esta última ocasión me dijeron que se demoraría 3 días la revisión, como pueden ver el historial de ingreso fue el 18 de noviembre y hasta hoy me la devolvieron 3 semana para hacer un proceso que me dijeron que se demoraría 3 días....tengo una gran preocupación y ansiedad ya que la calidad no ha sido la mejor, es mi medio de transporte y por el historial en cualquier momento me va a dejar sin poder llegar a mi destino</t>
  </si>
  <si>
    <t>MAURICIO TOVAR</t>
  </si>
  <si>
    <t>Todo bien.</t>
  </si>
  <si>
    <t>JHONATHAN DAVID</t>
  </si>
  <si>
    <t>GUTIERREZ RAMIREZ</t>
  </si>
  <si>
    <t>Me pareció muy rápido el mantenimiento, buen trabajo</t>
  </si>
  <si>
    <t>JOHN ALEXANDER</t>
  </si>
  <si>
    <t>ROSAS CARDENAS</t>
  </si>
  <si>
    <t>JONATHAN SLIM</t>
  </si>
  <si>
    <t>MORA COLINA</t>
  </si>
  <si>
    <t>Muy desordenados en general, el tema de las aprobaciones de servicio nadie lo entiende, son demorados, entregan incompleto, no respetan el tiempo de los clientes</t>
  </si>
  <si>
    <t>VARGAS AHUMADA</t>
  </si>
  <si>
    <t>Creo q pueden mejorar con las expectativas de tiempos, y cumplir</t>
  </si>
  <si>
    <t>GUARIN CORREDOR</t>
  </si>
  <si>
    <t>Muchas Gracias la Patineta quedó Super</t>
  </si>
  <si>
    <t>Av Chile</t>
  </si>
  <si>
    <t>todo estuvo perfecto</t>
  </si>
  <si>
    <t>MARÍA PAULA</t>
  </si>
  <si>
    <t>GALLEGO PASTOR</t>
  </si>
  <si>
    <t>El  servicio al cliente del chat es pésimo, no me contestaron en 2 días</t>
  </si>
  <si>
    <t>JACOBO</t>
  </si>
  <si>
    <t>GONTOVNIK CYBUL</t>
  </si>
  <si>
    <t>Fue facil y rapido. Solo no se porque exigen factura de donde la compre y eso demoro todo porque fue un regalo y no la tenia a la mano</t>
  </si>
  <si>
    <t>MANUEL ESCOBAR</t>
  </si>
  <si>
    <t>ESPINOSA</t>
  </si>
  <si>
    <t>Cambio de acelerador</t>
  </si>
  <si>
    <t>JOHNATTAN MICHELLE</t>
  </si>
  <si>
    <t>PERTUZ GONZALEZ</t>
  </si>
  <si>
    <t>La atención de las personas encargadas es pésima y no dejan ver lo que uno va a pagar</t>
  </si>
  <si>
    <t>MARIANO</t>
  </si>
  <si>
    <t>CASTRO ALARCON</t>
  </si>
  <si>
    <t>SALAZAR</t>
  </si>
  <si>
    <t>El servicio fue muy bueno, la amabilidad de la asesora tiene oportunidades de mejora</t>
  </si>
  <si>
    <t>Javerians</t>
  </si>
  <si>
    <t>WILFRED EDUARDO</t>
  </si>
  <si>
    <t>Buena atención en los talleres, pero hay que revisar el tema de la atención en la línea whasapp y telefónica ya que al parecer hay teléfono rotó de atención al usuario con los talleres....</t>
  </si>
  <si>
    <t>CESAR DAVID</t>
  </si>
  <si>
    <t>PEÑALOSA SUESCUN</t>
  </si>
  <si>
    <t>En general muy bien,personal atento y colaboradores</t>
  </si>
  <si>
    <t>MARTINEZ RAMIREZ</t>
  </si>
  <si>
    <t>Súper es la atención del personal</t>
  </si>
  <si>
    <t>GERSSON ANDRÉS</t>
  </si>
  <si>
    <t>ARIAS SANDOVAL</t>
  </si>
  <si>
    <t>Tiene mucho por mejorar, los tiempos de reparacion son mug extensos</t>
  </si>
  <si>
    <t>Agradable y profesional.</t>
  </si>
  <si>
    <t>PARRADO DI DOMINICO</t>
  </si>
  <si>
    <t>La atención es buena y el arreglo también, pero el proceso fue muy demorado, hasta que no fui personalmente a preguntar el proceso no avanzó como debería</t>
  </si>
  <si>
    <t>CHRISTIAN EDUARDO</t>
  </si>
  <si>
    <t>DUEÑAS FORERO</t>
  </si>
  <si>
    <t>El servicio es muy fácil de usar, reservar para el mantenimientos en general el servicio es muy bueno</t>
  </si>
  <si>
    <t>CAMILO ALEJANDRO</t>
  </si>
  <si>
    <t>LESMES</t>
  </si>
  <si>
    <t>Estuve genial y buen trabajo</t>
  </si>
  <si>
    <t>El servicio técnico muy MALA</t>
  </si>
  <si>
    <t>MALA</t>
  </si>
  <si>
    <t>BUENA</t>
  </si>
  <si>
    <t>En general la atención estuvo bien. Mi arreglo era algo mínimo pero aún así siento que se demoró mucho (una semana). Sin embargo, no tengo quejas, su servicio fue BUENA y adecuado.</t>
  </si>
  <si>
    <t>El servicio fue BUENA, espero permanezca así</t>
  </si>
  <si>
    <t>Muy BUENA</t>
  </si>
  <si>
    <t>Me perece que cuentan con un buen servicio y muy chevere que cuentan con el domicilio que te lo dejen en tu casa después de realizado el mantenimiento, seria BUENA que al momento de entregarla para mantenimiento la scooter pueda uno dejar uno estipulado que le hagan el domicilio y hacerle es seguimiento.</t>
  </si>
  <si>
    <t>La única queja que tengo en esta ocasión fue la demora que tuvieron para regresarme la patineta, lo cual me generó diversos perjuicios... Pero BUENA</t>
  </si>
  <si>
    <t>Es BUENA que cuando se lleva una scooter a mantenimiento, las personas que llegamos a ese servicio de fuera de Bogotá, nos deberían tener un poco más en cuenta ya que demorarnos tres días por fuera de nuestro lugar de procedencía se nos hace un poco complicado. Espero que esto sirva para una proxima oportunidad en llevar la scooter a mantenimiento</t>
  </si>
  <si>
    <t>El servicio según el registro de novedades fue excelente, pero sería BUENA un mayor contacto con el cliente para saber y confirmar que problemas o novedad presenta el dispositivo o patineta</t>
  </si>
  <si>
    <t>El tiempo de espera para la entrega de mi scooter se extendió más de lo acordado, por lo cual sería BUENA que el tiempo de espera no fuera más de lo que estipulan y aseguran!</t>
  </si>
  <si>
    <t>muy BUENA</t>
  </si>
  <si>
    <t>Me pareció BUENA el servicio y muy ágil, no se presentaron inconvenientes durante el proceso</t>
  </si>
  <si>
    <t>Muy BUENAs los técnicos del mantenimiento, falta mucho por mejorar la atención de los asesores, una de las chicas no tuvo la mejor disposición de atender</t>
  </si>
  <si>
    <t>Servicio muy BUENA, amable, colaboradores, explican muy bien todo, excelente servicio</t>
  </si>
  <si>
    <t>Me encanta la marca y mi patineta, ayer fui por primera vez a una revisión de mi patineta a Cedritos, Jeniffer me atendió súper bien, pero hoy la cuando la fui a retirar la chica ni saluda, es 0 cortes hasta me sentí incómoda de estar ahí, sería BUENA poner gente con un poco más de carisma así hasta para arreglar la patineta uno vuelve con gusto ☺️</t>
  </si>
  <si>
    <t>Me gustó mucho la atención al cliente y el respaldo que tiene la marca, por ser colombiana. La patineta me ha gustado, aunque a veces, cuando coge huecos o terrenos irregulares, se llega a sentir algo inestable y sus partes se mueven y suenan mucho. La marca dice que es algo normal, pero BUENA, creo que es algo para mejorar. De resto todo ha sido súper.</t>
  </si>
  <si>
    <t>Todo ok BUENA</t>
  </si>
  <si>
    <t>me parece un servicio de pos venta BUENA, no me gusto tanto que al momento que fui a pedir garantía sobre algo que se había dañando, me colocaron un tris de problema pero de igual me respondieron de resto me ha ido muy bien.</t>
  </si>
  <si>
    <t>Me pareció un servicio muy BUENA excelente disposición del equipo de trabajo del taller de chico</t>
  </si>
  <si>
    <t>Se trataron de comunicar conmigo por llamada, pero pel cuestiones laborales no podía contestar. Sería BUENA opción que las preguntas respecto al mantenimiento las dejarán en la página donde uno revisa el estado de la orden o por vía WhatsApp. En mi caso dejé la patineta en agosto y la reclamé hasta el día de hoy, pero quería saber si autorizada que le cambiarán la lampara y lo lo hicieron hasta que conteste el teléfono.</t>
  </si>
  <si>
    <t>Todo el servicio y proceso de mantenimiento/postventa es muy fácil y de BUENA calidad</t>
  </si>
  <si>
    <t>Muy BUENA atención 👌🏼</t>
  </si>
  <si>
    <t>Muy BUENA atención, no demoro el arreglo que se debía hacer y el precio justo.</t>
  </si>
  <si>
    <t>El servicio en general muy bien, sin ambargo una asesora de pelo negro medio Gordita, es como odiosa y no tiene BUENA atención al cliente.</t>
  </si>
  <si>
    <t>Muy BUENA atención de inicio a fin</t>
  </si>
  <si>
    <t>Disculpa, la atención fue BUENA en recepción, pero hubo mucha demora para entregar la patineta</t>
  </si>
  <si>
    <t>BUENA !</t>
  </si>
  <si>
    <t>Excelente empresa patinetas BUENA calidad estoy contento me puedo movilizar rápido.</t>
  </si>
  <si>
    <t>La verdad mi experiencia debo decirlo no fue muy BUENA respecto a la marca por el inconveniente de las fallas en tan solo un mes de uso creo que dice mucho sobre la calidad y las espectativas en el futuro con el producto.</t>
  </si>
  <si>
    <t>Simplemente que la marca proporciona una muy BUENA calidad tanto el producto como en servicio técnico</t>
  </si>
  <si>
    <t>El proceso quedo bien hecho pero no hay mucha guia por parte de las personas en recepción, no se responden preguntas, ni se guia a usuario de BUENA manera</t>
  </si>
  <si>
    <t>Me pareció muy BUENA la atención y sobretodo el interés por solucionar el problema que tenía lo único a mejorar es el tiempo de entrega muchas gracias</t>
  </si>
  <si>
    <t>Muy BUENA atención y rápida</t>
  </si>
  <si>
    <t>La atención muy BUENA, sería BUENA contar con atención así fuera del 25% de carga al realizar mantenimiento, de resto todo perfecto!</t>
  </si>
  <si>
    <t>Súper BUENA atención calidad y asesoría</t>
  </si>
  <si>
    <t>Excelente servicio, al momento de recibir la patineta le hacen recomendaciones para hacer los ajustes necesarios. 
Las personas muy BUENA onda</t>
  </si>
  <si>
    <t>Muy BUENA experiencia, BUENAs instalaciones y las personas muy atentas</t>
  </si>
  <si>
    <t>La atención fue BUENA, la plataforma es BUENA  donde se registra el avance de la solicitud! Me gustó el servicio! Lástima que no estaba el repuesto de los poza pies en la tienda de cedritos</t>
  </si>
  <si>
    <t>Muy BUENA quedo perfecta mi minca exelente trabajo mil gracias</t>
  </si>
  <si>
    <t>La atención fue super hiper BUENA el servicio de mantenimiento super bien a como entro mi patineta lo recomiendo</t>
  </si>
  <si>
    <t>La experiencia ha sido muy BUENA y muy profesional, desde el momento de la compra y también en la solicitud de ma impermeabilización, BUENA atención e información clara</t>
  </si>
  <si>
    <t>La atención directa con Minca ha sido muy BUENA, lastimosamente con falabella no ha sido efectivo, pero en todo momento he tenido información del estado interno</t>
  </si>
  <si>
    <t>BUENA marca para rodar por Bogotá</t>
  </si>
  <si>
    <t>Muy BUENA la atención puntualizadas y calidad con los mantenimientos de las mejores parientas eléctricas</t>
  </si>
  <si>
    <t>Muy BUENA la atención y rápido el servicio</t>
  </si>
  <si>
    <t>(Varios elementos)</t>
  </si>
  <si>
    <t>La persona  que contesta en WhatsApp se le pregunta cómo va el mantenimiento o cuando se puede recoger u dice un momento  averiguo con taller u ese momento es de 2 días. Muy MALA la atención por WhatsApp.</t>
  </si>
  <si>
    <t>La comunicación con el taller es muy MALA, recepcionan la patineta y no hay en donde hacerle seguimiento a la orden, dan un tiempo de entrega y nadie responde; se demoran mucho en servicio técnico</t>
  </si>
  <si>
    <t>Muy MALA el mantenimiento me toco volver al taller para q la ajustaran bien siento que la patineta no quedo lo mismo despues del mantenimiento q rabia</t>
  </si>
  <si>
    <t>Me entregaron la patineta con todos los tornillos suelto y uno dañado. Que MALA experiencia para llevar una semana con ella. 😡</t>
  </si>
  <si>
    <t>Es la peor marca de patinetas NO QUERIA HACER ARREGLO DE MOTOR POR AGUA</t>
  </si>
  <si>
    <t>Sugerencia; claridad al ofrecer el producto y el alcance de cada servicio. 
Experiencia; no es buena, no recomiendo la marca CAMBIO DE LLANTA</t>
  </si>
  <si>
    <t>Mucha demora y creo que abusan de los mantenimientos en repuestos y en todo por sus valores de precio ARREGLO DE MOTOR</t>
  </si>
  <si>
    <t>En el de la avenida las vegas en Medellín</t>
  </si>
  <si>
    <t>Buen servicio al cliente</t>
  </si>
  <si>
    <t>CARRILLO OBESO</t>
  </si>
  <si>
    <t>KAROL GISSELL</t>
  </si>
  <si>
    <t>Me entregaron la patineta inicialmente con repuestos que no eran nuevos. La actitud de la persona del taller no es la mejor</t>
  </si>
  <si>
    <t>Buen  servicio</t>
  </si>
  <si>
    <t>PALACIO ECHEVERRY</t>
  </si>
  <si>
    <t>GONZALEZ CALVO</t>
  </si>
  <si>
    <t>JOSE DANIEL</t>
  </si>
  <si>
    <t>Muy rápido el mantenimiento</t>
  </si>
  <si>
    <t>SALGADO</t>
  </si>
  <si>
    <t>A sido muy buena</t>
  </si>
  <si>
    <t>PEÑA RODRIGUEZ</t>
  </si>
  <si>
    <t>MARIA JIMENA</t>
  </si>
  <si>
    <t>Taller chico y taller av chile</t>
  </si>
  <si>
    <t>Me ha parecido muy buena la atencion como el servicio que prestan</t>
  </si>
  <si>
    <t>TORRES CASTAÑEDA</t>
  </si>
  <si>
    <t>JAIKSON CAMILO</t>
  </si>
  <si>
    <t>La patineta no salió pq no se hizo el ajuste correcto perdí tiempo al venir por ellas y resulta que se demora 4horas mas</t>
  </si>
  <si>
    <t>MARTINEZ BAQUERO</t>
  </si>
  <si>
    <t>Por ahora todo perfecto</t>
  </si>
  <si>
    <t>PINZON PEREZ</t>
  </si>
  <si>
    <t>CIRO EDUARDO</t>
  </si>
  <si>
    <t>RUIZ BEJARANO</t>
  </si>
  <si>
    <t>DAVID YASHAR</t>
  </si>
  <si>
    <t>Taller Chico</t>
  </si>
  <si>
    <t>SAENZ MUÑOS</t>
  </si>
  <si>
    <t>SARA</t>
  </si>
  <si>
    <t>CAPERA RODRIGUEZ</t>
  </si>
  <si>
    <t>SINDY PAOLA</t>
  </si>
  <si>
    <t>En general todo bien, lo único es que aún no le ponen la luz trasera a la patineta por falta de repuestos</t>
  </si>
  <si>
    <t>RUBIO FRANCO</t>
  </si>
  <si>
    <t>PALOMA PRISCILA</t>
  </si>
  <si>
    <t>Calle 72 #25-10</t>
  </si>
  <si>
    <t>Buen servicio y de buena calidad</t>
  </si>
  <si>
    <t>GALINDO HERRERA</t>
  </si>
  <si>
    <t>Creo que la atención puede ser mejor y más especializada.</t>
  </si>
  <si>
    <t>VASQUEZ RODRIGUEZ</t>
  </si>
  <si>
    <t>Le colocaron a ultima hora la placa a la moto, quedando pegando con el guardabarros trasero, la limpieza de la moped, no se empidecia que fue de manera produnda, sinceramente se ve que la despacharon rapido y no siento que fuera profundo el mantenimiento oportuno de la misma.</t>
  </si>
  <si>
    <t>GUTIÉRREZ CASTRO</t>
  </si>
  <si>
    <t>NICOLÁS FELIPE</t>
  </si>
  <si>
    <t>Regular. La patineta fallo mucho el primer año</t>
  </si>
  <si>
    <t>FABRICIO</t>
  </si>
  <si>
    <t>Excelente servicio, puntualidad y atención al cliente</t>
  </si>
  <si>
    <t>HERNANDEZ VEGA</t>
  </si>
  <si>
    <t>DIEGO FELIPE</t>
  </si>
  <si>
    <t>Pésimo servicio al cliente de la asesora del taller de Cedritos</t>
  </si>
  <si>
    <t>DELGADO</t>
  </si>
  <si>
    <t>Sería bueno mejorar los tiempos de entrega para servicios menores como despinchada o cambio de frenos debería ser un servicio de horas y no de días</t>
  </si>
  <si>
    <t>PINZON</t>
  </si>
  <si>
    <t>No entregaron limpio el scooter</t>
  </si>
  <si>
    <t>JIMENEZ HERNANDEZ</t>
  </si>
  <si>
    <t>PABLO ALBERTO</t>
  </si>
  <si>
    <t>72 con 25</t>
  </si>
  <si>
    <t>La patineta se desajusta muy seguido</t>
  </si>
  <si>
    <t>Fueron ágiles. Atendieron mi solicitud de manera rápida. Podrian estandarizar las reparaciones mecánicas para que sea menos prueba y error y que sea mas uniforme, por ejemplo calibración de frenos. Podrian dar cursos a los clientes para que desde casa se pudiera solucionar algunos problemas sencillos.</t>
  </si>
  <si>
    <t>Servicio muy rápido, me gustó</t>
  </si>
  <si>
    <t>RAMIREZ VALENCIA</t>
  </si>
  <si>
    <t>YEYSON ESTIBEN</t>
  </si>
  <si>
    <t>Un poco costoso cualquier arreglo.</t>
  </si>
  <si>
    <t>GONZALEZ BAYONA</t>
  </si>
  <si>
    <t>EDWAR</t>
  </si>
  <si>
    <t>Taller 95</t>
  </si>
  <si>
    <t>Como tal la marca es muy buena y casi nunca he tenido inconvenientes pero está vez se demoraron demasiado en hacer la entrega de mi patineta</t>
  </si>
  <si>
    <t>DELGADILLO CALDERÓN</t>
  </si>
  <si>
    <t>ANDRÉS FELIPE</t>
  </si>
  <si>
    <t>Muy rápidos, en el cambio de lo que necesitaba</t>
  </si>
  <si>
    <t>LIZ</t>
  </si>
  <si>
    <t>calle 95 chicó</t>
  </si>
  <si>
    <t>La verdad estoy más que satisfecha con el servicio prestado y desde que tengo mi MINCA todo es más fácil en esta ciudad caótica</t>
  </si>
  <si>
    <t>PEÑA ZAMBRANO</t>
  </si>
  <si>
    <t>Si Pere que vengo recibo la mejor atención, buenos técnicos</t>
  </si>
  <si>
    <t>MARTINEZ NOVOA</t>
  </si>
  <si>
    <t>Taller Medellín las vegas</t>
  </si>
  <si>
    <t>La marca es súper buena, la tengo hace 1 año y me gusta mucho 
La atención en el taller es rápida y muy profesional</t>
  </si>
  <si>
    <t>FORNARIS RIVERA</t>
  </si>
  <si>
    <t>Mala experiencia, lleve la patineta para mantenimiento de 600 km, tenia ruido por falta de lubricación y me la entregaron igual.
Revisión de freno y me la entregaron mal calibrada de freno 
Parece q solo lavaron</t>
  </si>
  <si>
    <t>ESEQUIEL</t>
  </si>
  <si>
    <t>El servicio al cliente mejoro bastante, el servicio de mtto fue más efectivo y ágil. Muchas gracias 🙏</t>
  </si>
  <si>
    <t>Mal servicio. No prueban las patinetas antes de entregarlas. Varias veces al probarla queda mal y me toca esperar más tiempo. No siento que quedó bien</t>
  </si>
  <si>
    <t>INVERSIONES PRIMETIME S.A.S</t>
  </si>
  <si>
    <t>La Javeriana</t>
  </si>
  <si>
    <t>Excelente servicio volvería a hacer mis reparaciones en este taller . 👌🏻</t>
  </si>
  <si>
    <t>TURBA URREA</t>
  </si>
  <si>
    <t>AUDI ERNESTO</t>
  </si>
  <si>
    <t>Sede Javeriana</t>
  </si>
  <si>
    <t>Yuveli Javeriana</t>
  </si>
  <si>
    <t>Se deben preocuparse mas por la integridad física de los clientes, y mostrar preocupación por los servicios brindados además de dar mejor información para el correcto uso y prevención de accidentes además de dar opciones para solucionar problemas, el servicio al cliente no responde lo que se le solicita, quedo muy insatisfecho con el producto</t>
  </si>
  <si>
    <t>AVENDAÑO GORDILLO</t>
  </si>
  <si>
    <t>DAVID RICARDO</t>
  </si>
  <si>
    <t>El tiempo de espera del arreglo fue mucho, y al final terminaron dándome una nueva.  No me decían que tenía</t>
  </si>
  <si>
    <t>BONILLA</t>
  </si>
  <si>
    <t>La marca en general ha sido espectacular,  pero me he llevado en esta ocasión un mal servicio de mantenimiento pues hace menos de un mes decidí hacer mantenimiento general mantenimiento que al parecer no se desarrolló en realidad porque me quedé sin frenos y se hubiera podido evitar o actuar antes del incidente si hubieran hecho el mantenimiento debido.</t>
  </si>
  <si>
    <t>LOPEZ RINCON</t>
  </si>
  <si>
    <t>No tengo comentarios la verdad, muy buen servicio en todo sentido.</t>
  </si>
  <si>
    <t>VELASCO</t>
  </si>
  <si>
    <t>ANA</t>
  </si>
  <si>
    <t>https://manybot-files.s3.eu-central-1.amazonaws.com/530239/wa/2024/11/23/original_c2a8766aa44e18aefab575ac0639f4ff.jpeg</t>
  </si>
  <si>
    <t>El tema de repuestos es demorado en ocasiones</t>
  </si>
  <si>
    <t>CHARRY LEMUS</t>
  </si>
  <si>
    <t>La atención fue excelente, el tiempo en que se resolvió mi solicitud fue corto, los resultados excelentes, la amabilidad de los asesores. Todo muy bien</t>
  </si>
  <si>
    <t>TORRES RODRIGUEZ</t>
  </si>
  <si>
    <t>PAULA XIMENA</t>
  </si>
  <si>
    <t>Calle 72 con 24</t>
  </si>
  <si>
    <t>MOLINA DIAZ</t>
  </si>
  <si>
    <t>MARIO ALBEIRO</t>
  </si>
  <si>
    <t>Servicio rápido y excelente</t>
  </si>
  <si>
    <t>HERNÁNDEZ GÓMEZ</t>
  </si>
  <si>
    <t>RAMÓN</t>
  </si>
  <si>
    <t>Muy rápidos, eficientes y confiables.</t>
  </si>
  <si>
    <t>Tuve una mala experiencia desde mi ultimo mantenimiento,   Empecé. Tener pinchazos sin solución, hasta que se perdió el sellomtic, una vez tuve neumático este también fallaba, en una de las entradas cambiaron los cables por unos viejos y desgastados que quemaron el motor… afortunadamente tuve evidencia fotográfica para solucionar el problema, pero esto dejó en evidencia falta de control en los procesos y en la calidad del servicio</t>
  </si>
  <si>
    <t>CASTELLANOS LOPEZ</t>
  </si>
  <si>
    <t>Abrir los domingos para servicio técnico</t>
  </si>
  <si>
    <t>SUAREZ COY</t>
  </si>
  <si>
    <t>IVAN DANIEL</t>
  </si>
  <si>
    <t>Ah chile</t>
  </si>
  <si>
    <t>NUÑEZ ESCOBAR</t>
  </si>
  <si>
    <t>PAULA ANDREA</t>
  </si>
  <si>
    <t>En cuento el producto bien es una buena marca un buen producto 
Ya en cuanto al mantenimiento si estoy un poco disconforme ya que el valor del mantenimiento es muy carro para una patineta a mi punto de vista ya que en una moto puede llegar a valer eso pero son cosas que uno dice bueno ahi va incluida el aceite, insumos, mano de obra etc, pero en una patineta no logro entender porque ese valor, tampoco especifica que incluye ni nada!
Aparte el valor aumenta si hay repuesto que necesita ser remplazado.
Pero en general el servicio y el producto bien ya el teme del costo del mantenimiento si afecta y a la hora de recomendar algún conocido si afectaría ese aspecto</t>
  </si>
  <si>
    <t>RAMIREZ MARTIN</t>
  </si>
  <si>
    <t>ALEX</t>
  </si>
  <si>
    <t>Nacería a</t>
  </si>
  <si>
    <t>Me gustaría que los tiempos de reparación fueran menores</t>
  </si>
  <si>
    <t>Cómo hago para recuperar mi factura</t>
  </si>
  <si>
    <t>Muy amable y excelente servicio</t>
  </si>
  <si>
    <t>Me parece muy ganador tener todo tan automátizado, que te envíen mensajes cuando la patineta está lista, que puedas ver la orden y el estado en el está</t>
  </si>
  <si>
    <t>MONSALVE</t>
  </si>
  <si>
    <t>No la llevo más y la venderé. 
Quería comprar una moto eléctrica adicional pero será con otra empresa. Un dolor de 🥚 🥚 son.
La atención fue buena pero la cantidad de problemas que he tenido por las recomendaciones del taller Chico  fueron incontables.</t>
  </si>
  <si>
    <t>SCHIAVI</t>
  </si>
  <si>
    <t>IVAN CESARE</t>
  </si>
  <si>
    <t>Aceptable</t>
  </si>
  <si>
    <t>LOZANO ROJAS</t>
  </si>
  <si>
    <t>WILLIAM JAVID</t>
  </si>
  <si>
    <t>Excelentr</t>
  </si>
  <si>
    <t>SOLANO BENJUMEA</t>
  </si>
  <si>
    <t>MARIA JOSE</t>
  </si>
  <si>
    <t>No me hicieron el ajuste que necesitaba  además no me calibraron  las llantas</t>
  </si>
  <si>
    <t>RICARDO</t>
  </si>
  <si>
    <t>https://manybot-files.s3.eu-central-1.amazonaws.com/530239/wa/2024/08/19/original_97ca299d095ae76290530344ba2db639.jpeg</t>
  </si>
  <si>
    <t>Me parece un trabajo tan deshonesto de esta sedeb,, como es posible que me llevo mi patineta para arreglo de cambio de controlador por filtración de agua me indican de que la bateria se encuentra en buen estado,,el día lunes 22 de diciembre recojo mi patineta cancelo el dinero correspondiente 300 mil y me doy con la sorpresa al día siguiente de útilizar mi patineta y sale un icono de tornillo rojo donde investigue y según dice que es algún cable que se desconecto</t>
  </si>
  <si>
    <t>GUERRERO VILLAMIL</t>
  </si>
  <si>
    <t>ANDERSON DAVID</t>
  </si>
  <si>
    <t>Se demoraron 2 semanas para conseguir un repuesto que estaba en otra tienda ahí mismo en Bogotá. La patineta quedó fallando y debo volver a llevarla para que la revisen</t>
  </si>
  <si>
    <t>VIVAS HERRERA</t>
  </si>
  <si>
    <t>KLYSLERTS EVERARDO</t>
  </si>
  <si>
    <t>CUBILLOS GUTIERREZ</t>
  </si>
  <si>
    <t>Muy buena experiencia, buen servicio, claridad y disponibilidad. Precios justos y muy buena disponibilidad horaria</t>
  </si>
  <si>
    <t>ECHEVERRI</t>
  </si>
  <si>
    <t>El servicio al cliente es muy malo, casi no responden el WhatsApp y dicen que entregan la patineta un día y la entregan casi una semana después. 
La anterior vez que lleve la patineta la dejaron mal instalada y me tocó llevarla ahorita porque la patineta no andaba</t>
  </si>
  <si>
    <t>RODRIGUEZ CASTRO</t>
  </si>
  <si>
    <t>MARIA ANDREA</t>
  </si>
  <si>
    <t>El que está cerca a la javeriana</t>
  </si>
  <si>
    <t>Me gusto como dejaron la patineta luego del mantenimiento y cambio de rodamientos</t>
  </si>
  <si>
    <t>CAÑATE APONTE</t>
  </si>
  <si>
    <t>ALEXANDER JOSE</t>
  </si>
  <si>
    <t>La patineta es excelente, tenía como un problema en la dirección, pero después del mantenimiento salió como nueva, estoy muy satisfecho!</t>
  </si>
  <si>
    <t>RODAS GOMEZ</t>
  </si>
  <si>
    <t>Muy rápido</t>
  </si>
  <si>
    <t>GUTIERREZ VASQUEZ</t>
  </si>
  <si>
    <t>Están demorándose demasiado en la entrega de los vehículos. En mi caso tuve que esperar más de 10 días lo que genera incomodidad porque la patineta es mi vehículo para movilizarme. Antes a los dos días o tres días por mucho ya entregaban el vehículo y reparaban el arreglo . Deberían revisar esto ya que va desmejorando el servicio y la calidad que antes los distinguía</t>
  </si>
  <si>
    <t>Gracias por la rapidez en el mantenimiento</t>
  </si>
  <si>
    <t>FUENTES SANDOBAL</t>
  </si>
  <si>
    <t>JAIRO ALEJANDRO</t>
  </si>
  <si>
    <t>Tiempos de espera demasiado altos</t>
  </si>
  <si>
    <t>CABEZAS</t>
  </si>
  <si>
    <t>Me ha ido excelente con ustedes, pero esta última entrega ha sido un problema constante y me dieron respuesta casi un mes después, incluso dejando como prioritario el pedido</t>
  </si>
  <si>
    <t>ROMERO MORALES</t>
  </si>
  <si>
    <t>JUAN JACOBO</t>
  </si>
  <si>
    <t>Después que acepté la cotización, que a propósito nunca la pude abrir o leer pues el archivo no abrió, pasados ocho días y después de escribirles todos los días me dieran alguna razón,  recibí un mensaje que el repuesto llegaba hasta finales de enero de 2026, por lo que decidí pasar a recoger mi scooter sin arreglo o mantenimiento alguno, peor aun me la entregaron sin frenos y ahora resulta que no arranca ni avanza pese a estar cargada al 100%. Total, pésimo servicio</t>
  </si>
  <si>
    <t>BUSTAMANTE TORRES</t>
  </si>
  <si>
    <t>HAROLD EDWARD</t>
  </si>
  <si>
    <t>Minca av chile</t>
  </si>
  <si>
    <t>LOPEZ REDONDO</t>
  </si>
  <si>
    <t>Inicialmente estaba preocupado por los tiempos de respuesta más que todo en estas fechas sin embargo siento que le pusieron esmeró a mi arreglo quedó pendiente la lavada para dejarla como nueva pronto volveré psdta; no se cómo lo hicieron pero ahora la bocina suena mas duro y lo amo. Ya los carros me escuchan</t>
  </si>
  <si>
    <t>HERNANDEZ SORIANO</t>
  </si>
  <si>
    <t>MICHAEL STEVEN</t>
  </si>
  <si>
    <t>Nunca chico</t>
  </si>
  <si>
    <t>Nunca he tenido queja o problema, el servicio en general es muy bueno!</t>
  </si>
  <si>
    <t>GUTIERREZ ZIPAMOCHA</t>
  </si>
  <si>
    <t>NYDIA</t>
  </si>
  <si>
    <t>https://manybot-files.s3.eu-central-1.amazonaws.com/530239/wa/2024/12/12/original_e8324121c3b938c83acef5a8eddb5111.jpeg</t>
  </si>
  <si>
    <t>Esta bien el servicio</t>
  </si>
  <si>
    <t>RAMIREZ SARMIENTO</t>
  </si>
  <si>
    <t>Tal vez más claridad en los procesos de reparación, osea saber exactamente que fue lo que se le daño a la patineta, por medio de una foto o de un vídeo corto para que sea más satisfactorio para el cliente</t>
  </si>
  <si>
    <t>GUEVARA NAVAS</t>
  </si>
  <si>
    <t>OMAR YESID</t>
  </si>
  <si>
    <t>MANRIQUE GONZALEZ</t>
  </si>
  <si>
    <t>Chicó norte</t>
  </si>
  <si>
    <t>Tuve varios inconvenientes con la batería y algunas otras cosas pero han solucionado dentro de lo posible</t>
  </si>
  <si>
    <t>AVILA RINCON</t>
  </si>
  <si>
    <t>ALZATE CONTRERAS</t>
  </si>
  <si>
    <t>Muy buena para mi satisfacción. Excelente 👍🏼😎🙏</t>
  </si>
  <si>
    <t>MAZA MAZA</t>
  </si>
  <si>
    <t>JEAN CARLOS</t>
  </si>
  <si>
    <t>Muy mala, he gastado en mantenimiento lo que cuestan 2 patinetas nuevas, nunca me han solucionado el problema eléctrico que tiene la patineta, le he cambiado el controlador 3 veces, acabo de salir del taller y andé 1 minuto con la patineta y se apagó. Ha sido muy frustrante tener esta marca, la uso porque la necesito pero no la recomendaría jamás.</t>
  </si>
  <si>
    <t>ZUÑIGA PEREZ</t>
  </si>
  <si>
    <t>JULIAN CAMILO</t>
  </si>
  <si>
    <t>Excelente servicio. Siempre he asistido a este taller y siempre el servicio es el mejor</t>
  </si>
  <si>
    <t>ROBAYO</t>
  </si>
  <si>
    <t>ANGELA JOHANNA</t>
  </si>
  <si>
    <t>En la de la 72 con 24</t>
  </si>
  <si>
    <t>Me ha gusta mucho el servicio posventa</t>
  </si>
  <si>
    <t>CALVO RUBIO</t>
  </si>
  <si>
    <t>LUIS SANTIAGO</t>
  </si>
  <si>
    <t>Abrir más taller en suba más cerca del mantenimiento regular hacen el mantenimiento muy superficial</t>
  </si>
  <si>
    <t>MACIAS MORA</t>
  </si>
  <si>
    <t>Lo mejor de lo mejor!</t>
  </si>
  <si>
    <t>IN</t>
  </si>
  <si>
    <t>ZU CAPITAL</t>
  </si>
  <si>
    <t>MARTELO</t>
  </si>
  <si>
    <t>JOSÉ CARLOS</t>
  </si>
  <si>
    <t>Muy eficientes en el servicio y rápida la entrega</t>
  </si>
  <si>
    <t>VARGAS PETRO</t>
  </si>
  <si>
    <t>LUIS ALFONSO</t>
  </si>
  <si>
    <t>Las asesoras siempre tienen mala actitud, atienden como haciéndole u. Favor a uno… uno nunca recibe estado de la orden</t>
  </si>
  <si>
    <t>Opinión: en general, buen servicio. 
Sugerencia: deberían contemplar la creación de un guardabarros delantero para la 2400w último modelo. De igual manera, vender los protectores de tornillos hexagonales de la patineta.</t>
  </si>
  <si>
    <t>BARROS QUIROZ</t>
  </si>
  <si>
    <t>FABIO ANDRES</t>
  </si>
  <si>
    <t>Calle 72 avenida chile</t>
  </si>
  <si>
    <t>Muy buena atención, oportuna entrega de la patineta, nada que reprochar, muy bueno</t>
  </si>
  <si>
    <t>PACHON RODRIGUEZ</t>
  </si>
  <si>
    <t>DANIEL ALEJANDRO</t>
  </si>
  <si>
    <t>Por el momento, mis dos visitas al taller me han parecido bueno buena atención</t>
  </si>
  <si>
    <t>Me ha ido muy bien y siempre me han solucionado</t>
  </si>
  <si>
    <t>BULA</t>
  </si>
  <si>
    <t>Excelente servicio al cliente en el taller de la javeriana</t>
  </si>
  <si>
    <t>Andrés rincon</t>
  </si>
  <si>
    <t>Muy buen servicio y atención</t>
  </si>
  <si>
    <t>CASTAÑECA MONTOYA</t>
  </si>
  <si>
    <t>HARLINTON ORLANDO</t>
  </si>
  <si>
    <t>GOMEZ BOTERO</t>
  </si>
  <si>
    <t>JOHANN STEVEN</t>
  </si>
  <si>
    <t>Quiero expresar mi total satisfacción por el servicio técnico realizado a mi Minca 2400. La atención fue impecable y el equipo demostró un gran conocimiento técnico sobre este modelo. La patineta quedó en perfectas condiciones, se siente como nueva y muy segura al conducir. ¡Muchas gracias por el profesionalismo y el cumplimiento</t>
  </si>
  <si>
    <t>VALDERRAMA</t>
  </si>
  <si>
    <t>YINER ALEJANDRO</t>
  </si>
  <si>
    <t>No estoy muy contento, constantemente se descalibra la Batería, tiene muchos ruidos, es desajustada la patineta, la amortiguación nobes muy buena, no tienen repuestos para el guardabarros trasero</t>
  </si>
  <si>
    <t>ZUÑIGA ALVAREZ</t>
  </si>
  <si>
    <t>Calle 72 Cra 25</t>
  </si>
  <si>
    <t>Recomendable un buen servicio y lo recomendaría para que compren Minca👍</t>
  </si>
  <si>
    <t>JAIRO ARQUIMIDES</t>
  </si>
  <si>
    <t>" la unica recomendacion que debo hacer, para mejorar en la sede chico, es que los asesores no olviden que los clientes no somos expertos en patineras o transporte electrico, ya que aveces se usan terminos que no se entienden y se asume que el cliente entendio y es mejor que cada situacion sea alcarada de la mejor manera"</t>
  </si>
  <si>
    <t>GUZMAN GARCIA</t>
  </si>
  <si>
    <t>GARCIA CARRILLO</t>
  </si>
  <si>
    <t>CAMILO URBEY</t>
  </si>
  <si>
    <t>Muy buen servicio mejor que en veces anteriores</t>
  </si>
  <si>
    <t>GRISALES</t>
  </si>
  <si>
    <t>RAMOS GARCIA</t>
  </si>
  <si>
    <t>SERGIO ALFONSO</t>
  </si>
  <si>
    <t>he tenido que ir con mucha frecuencia al taller - estaba muy ilucionado con la patineta pero se me ha ido dañando la experiencia, voy a darle un chance final a la patineta</t>
  </si>
  <si>
    <t>TORRES ALVAREZ</t>
  </si>
  <si>
    <t>SERGIO RICARDO</t>
  </si>
  <si>
    <t>No excelente todo respuesta el servicio post venta Marcela muy yquerida en todo me ayudó</t>
  </si>
  <si>
    <t>ROCHA PERALTA</t>
  </si>
  <si>
    <t>RAMON ALBERTO</t>
  </si>
  <si>
    <t>Servicio oportuno y flexible</t>
  </si>
  <si>
    <t>RIVEROS BOTERO</t>
  </si>
  <si>
    <t>Servicio ágil y adecuado para la necesidad que traia</t>
  </si>
  <si>
    <t>Excelente servicio, rápido y muy preciso en las actividades ejecutadas, muchas gracias</t>
  </si>
  <si>
    <t>PACHECO MONTILLA</t>
  </si>
  <si>
    <t>EDWIN</t>
  </si>
  <si>
    <t>Muy buena atencion al cleinte, muy diferente al taller de chico que es pesima. El trabajo es rapido y bueno y los trabajadores son muy amables y solucionan todas las dudas de una manera efectiva. Volvere al taller de javeriana por que al de chico 94 no vuelvo ni por que me paguen.</t>
  </si>
  <si>
    <t>FLOREZ SALAZAR</t>
  </si>
  <si>
    <t>ANASOL</t>
  </si>
  <si>
    <t>Buen servicio de despinche</t>
  </si>
  <si>
    <t>GERMAN</t>
  </si>
  <si>
    <t>Todo perfecto muchas gracias por la atención</t>
  </si>
  <si>
    <t>Muy buen servicio al
Cliente</t>
  </si>
  <si>
    <t>VELANDIA</t>
  </si>
  <si>
    <t>En general ha sido muy buena, he tenido inconvenientes con el servicio al cliente por medio de WhatsApp pero de resto todo ha sido muy bueno.</t>
  </si>
  <si>
    <t>ARIZA SANCHEZ</t>
  </si>
  <si>
    <t>Quiero hacer el traspaso de una patineta a nombre d Emi esposos para que de ahora en adelante para ex a como el propietario</t>
  </si>
  <si>
    <t>Super</t>
  </si>
  <si>
    <t>PEDRAZA PINZON</t>
  </si>
  <si>
    <t>YIRA SORANYI</t>
  </si>
  <si>
    <t>Chico norte</t>
  </si>
  <si>
    <t>Me gustaría que le servicio fuera más rápido se demoraron 3 días en entregarme la parienta pero al final me devolvieron la patineta muy bien</t>
  </si>
  <si>
    <t>SILVA ESPINOSA</t>
  </si>
  <si>
    <t>Me gusta mucho la atención que tienen con el cliente</t>
  </si>
  <si>
    <t>RODRIGUEZ VILLAMIL</t>
  </si>
  <si>
    <t>KAREN DAYANA</t>
  </si>
  <si>
    <t>Nunca Minca Cedritos</t>
  </si>
  <si>
    <t>ONARTA GAITAN</t>
  </si>
  <si>
    <t>WILSON</t>
  </si>
  <si>
    <t>Excelente atención al cliente, servicio de taller impecable</t>
  </si>
  <si>
    <t>BELTRAN GARZON</t>
  </si>
  <si>
    <t>Laura Mendoza</t>
  </si>
  <si>
    <t>Los mecánicos no realizan sus trabajo bien</t>
  </si>
  <si>
    <t>Muy amables en recepción y la parte técnica, sería bueno que tengas más accesorios como guarda polvos para delanteros para línea ats, exhibición de llantas o luces adicionales</t>
  </si>
  <si>
    <t>DIOPASA RIVAS</t>
  </si>
  <si>
    <t>Calle 96</t>
  </si>
  <si>
    <t>Fue una atención rápida y amable .</t>
  </si>
  <si>
    <t>PRADILLA BARAJAS</t>
  </si>
  <si>
    <t>PUIN BARRERO</t>
  </si>
  <si>
    <t>JOSE JAVIER</t>
  </si>
  <si>
    <t>Muy buena calidad</t>
  </si>
  <si>
    <t>GÓMEZ VÉLEZ</t>
  </si>
  <si>
    <t>Que sigan como van!!! Y con más fuerza o debería decir con más voltaje!! ⚡️⚡️</t>
  </si>
  <si>
    <t>La marca es muy buena
No me arrepiento de mi compra</t>
  </si>
  <si>
    <t>GUTIERREZ AYALA</t>
  </si>
  <si>
    <t>DEISY YURANY</t>
  </si>
  <si>
    <t>El servicio técnico, excelente.</t>
  </si>
  <si>
    <t>ESGUERRA VILLEGAS</t>
  </si>
  <si>
    <t>LAURA MARIA</t>
  </si>
  <si>
    <t>Excelente servicio y amable con su clientes</t>
  </si>
  <si>
    <t>RODALLEGA BALANTA</t>
  </si>
  <si>
    <t>LUIS ENREIQUE</t>
  </si>
  <si>
    <t>La experiencia y el trabajo ofrecido por el personal de esta cede es excepcional,</t>
  </si>
  <si>
    <t>JARAMILLO NARANJO</t>
  </si>
  <si>
    <t>ANGELICA MARIANA</t>
  </si>
  <si>
    <t>Av Chile con carrera 24</t>
  </si>
  <si>
    <t>Cordial saludo.
En la version minca ats 2400, deben hacerle una nueva re vision, el tema de la cinta para el pliegue no es suficiente para el peso de la patineta. 
El guardabarros es de pésima calidad es un plástico demasiado barato, sería bueno tener la opción de comprar uno de mejor calidad. 
Espero traigan la opción de guardabarro delantero y trasero que cubra mucho más las llantas. 
Gracias por la atención.</t>
  </si>
  <si>
    <t>CUTIVA</t>
  </si>
  <si>
    <t>Excelente servicio y muy amables</t>
  </si>
  <si>
    <t>JAIMES GOMEZ</t>
  </si>
  <si>
    <t>DAVID EDUARDO</t>
  </si>
  <si>
    <t>Minca JAVERIANA</t>
  </si>
  <si>
    <t>Honestamente tengo que decir que muy pocas las veces uno se encuentra con un Servicio Tan Bueno como el que ustedes brindan. Paula tiene un servicio la cliente Maravilloso, los chicos del taller súper atentos y te entregan tu scooter con todos los arreglos y satisfacción. Las damas del Showroom súper cordiales y muy buena la transferencia de conocimiento para el uso de la Scooter. De verdad, estoy muy contento!!! Los Felicito por tan buen equipo de trabajo y buen producto..👍🏻🌟</t>
  </si>
  <si>
    <t>SANCHEZ SORMAN</t>
  </si>
  <si>
    <t>SLAVOI SLAVKO</t>
  </si>
  <si>
    <t>PACHON GAITAN</t>
  </si>
  <si>
    <t>Muy Buena atencion y servicio por parte de taller javiarana nunca decepcionan Los empleados de Este Punto minca</t>
  </si>
  <si>
    <t>ESPEJO BAYONA</t>
  </si>
  <si>
    <t>BECERRA NUÑEZ</t>
  </si>
  <si>
    <t>SAMIR JOSE</t>
  </si>
  <si>
    <t>Buena venta, buen producto, muy mal servicio postventa (mantenimientos)</t>
  </si>
  <si>
    <t>En la avenida las Vegas</t>
  </si>
  <si>
    <t>Me a parecido super buena muy cómoda me siento súper bien con la marca👍🏻</t>
  </si>
  <si>
    <t>SARAZA LOPEZ</t>
  </si>
  <si>
    <t>PABLO CESAR</t>
  </si>
  <si>
    <t>Me entregaron la patineta con una parte rota, en la fotos del día de entrega se evidencia que es parte no estaba así y cuando fui hacer el reclamo me dijeron que si llegó así, también esa misma parte tiene residuos de pegante como si hubieran intentado unir la parte rota de alguna manera.</t>
  </si>
  <si>
    <t>TIRADO MARIÑO</t>
  </si>
  <si>
    <t>CAMILO ALBERTO</t>
  </si>
  <si>
    <t>La atención estuvo bien, la entrega de la patineta fue regular puesto que que era la 1pm próximos a cerrar y estaban un poco ocupados no le hicieron pruebas y cuando probé la patineta en calle no funcionó la lámpara frontal y si estaba funcionando al momento de la entrega para cambio de neumático</t>
  </si>
  <si>
    <t>YANES HERNANDEZ</t>
  </si>
  <si>
    <t>MARIO ALBERTO</t>
  </si>
  <si>
    <t>Muy buena experiencia, todos fueron muy amables y me ayudaron en todo</t>
  </si>
  <si>
    <t>MRNDEZ</t>
  </si>
  <si>
    <t>Excelente servicio. Cumplidos y con precios justos.</t>
  </si>
  <si>
    <t>SOLIS</t>
  </si>
  <si>
    <t>Como usuario de Minca desde ya hace 3 años, percibo que actualmente el servicio de taller ha mejorado bastante, el diagnóstico fue muy rápido (cosa que antes podía durar 5 días) y luego de autorizar los repuestos el arreglo también fue muy rápido (esto también podía demorar muchos días antes). Gracias!</t>
  </si>
  <si>
    <t>ROA</t>
  </si>
  <si>
    <t>Me dejaron el timón suelto de un lado un tornillo del timos dañado</t>
  </si>
  <si>
    <t>Calle 98</t>
  </si>
  <si>
    <t>SILVA MOLINARES</t>
  </si>
  <si>
    <t>CARLOS RAMON</t>
  </si>
  <si>
    <t>Hasta el
Momento excelente me han solucionado mis novedades</t>
  </si>
  <si>
    <t>MELO GARCIA</t>
  </si>
  <si>
    <t>Contador</t>
  </si>
  <si>
    <t>El trabajo técnico es impecable, lo que falla es la actitud de servicio de las personas que asesoran y atienden en general.
Repuestas que reflejan su poco interés en el cliente o su insatisfacción en el trabajo.
El trabajo que me hicieron muy bien realizado, felicitaciones a los mecánicos</t>
  </si>
  <si>
    <t>MARTINEZ FLORES</t>
  </si>
  <si>
    <t>TATIANA ANDREA</t>
  </si>
  <si>
    <t>Minca Cll 72</t>
  </si>
  <si>
    <t>PINEDA SAPUYES</t>
  </si>
  <si>
    <t>La chica que recibió tenía muy mala actitud. Pero de resto bien gracias</t>
  </si>
  <si>
    <t>ZUNIGA</t>
  </si>
  <si>
    <t>Sería bueno que pudieran evaluar los horarios del taller
No es muy lógico que un taller cuente con horarios de oficina, esto dificulta la disponibilidad delnusua para llevar la patineta a mantenimiento</t>
  </si>
  <si>
    <t>CLL 93</t>
  </si>
  <si>
    <t>He llevado varias veces la patineta por inconvenientes que viene presentando y no ha sido posible que la arregle
Tengo que sacar cita nuevamente para que me solucionen el inconveniente que se acelera sola y al acelerar no reduce la orden toca apagarla y volverla a prender para que funcione por un rato</t>
  </si>
  <si>
    <t>QUINTERO GELVEZ</t>
  </si>
  <si>
    <t>Muy buena atención y servicio por parte de los trabajadores</t>
  </si>
  <si>
    <t>OSORIO GUARNIZO</t>
  </si>
  <si>
    <t>NUÑEZ MUÑOZ</t>
  </si>
  <si>
    <t>XIMENA  PATRICIA</t>
  </si>
  <si>
    <t>Muy ágiles en la respuesta y la solución a mi problema.</t>
  </si>
  <si>
    <t>CASTILLO</t>
  </si>
  <si>
    <t>Rapidez, calidad y buena atención y super serviciales!</t>
  </si>
  <si>
    <t>PENALOZA MALAVE</t>
  </si>
  <si>
    <t>LEOPOLDO</t>
  </si>
  <si>
    <t>Solo la scooter se apagaba y hasta el momento luego de llevarla al taller ha funcionado pero el arreglo que le hicieron al guardabarros fue muy regular por no decir que no sirvió lo que le hicieron al guardabarros</t>
  </si>
  <si>
    <t>GUZMAN CORDOBA</t>
  </si>
  <si>
    <t>Agradecimiento por su disposición y toda orientación prestada.</t>
  </si>
  <si>
    <t>DAZA NIÑO</t>
  </si>
  <si>
    <t>NATALIA ALEJANDRA</t>
  </si>
  <si>
    <t>Calle 92</t>
  </si>
  <si>
    <t>Muy buen servicio rápido y efectivo</t>
  </si>
  <si>
    <t>VENEGAS VARGAS</t>
  </si>
  <si>
    <t>DIEGO FRANCISCO</t>
  </si>
  <si>
    <t>TALLER MINCA CEDRITOS</t>
  </si>
  <si>
    <t>Bueno compre 2 patinetas y al mes de uso se les daño el controlador del acelerador..pues siendo nuevas deberian revisar de fabrica porque este desperfecto..</t>
  </si>
  <si>
    <t>OSORIO BENITEZ</t>
  </si>
  <si>
    <t>JEAN PAUL</t>
  </si>
  <si>
    <t>Av. Chile</t>
  </si>
  <si>
    <t>Creo que ha crecido mucho la marca en Bogotá, es fácil encontrar un lugar donde llevar la patineta, en algún momento tuve una dificultad por una garantía de unas piezas, pero en general me ha ido muy bien con el servicio post venta, tengo la patineta desde el 2020</t>
  </si>
  <si>
    <t>Devolví la patineta por una falla en las luces y fue ajustado el inconveniente de manera oportuna. El asesor que me entregó la patineta fue muy amable y me explicó lo que había sucedido de manera clara</t>
  </si>
  <si>
    <t>El tiempo de mantenimiento y entrega es muy prolongado</t>
  </si>
  <si>
    <t>GUARIN</t>
  </si>
  <si>
    <t>Fueron receptivos a mis preocupaciones respecto a los pinchazos</t>
  </si>
  <si>
    <t>VILLAMIL BUITRAGO</t>
  </si>
  <si>
    <t>DANIEL STYWEAR</t>
  </si>
  <si>
    <t>El servicio en el taller es muy bueno, atención, asesoría y explicación de lo realizado</t>
  </si>
  <si>
    <t>En general la experiencia es buena, sin embargo si es muy inportante que miren bien la orden de entrega al momento de realizar el servicio por que ya van varias veces que al menos una de las cosas por la que l llevó a servicio técnico me la entregan igual sin resolver y me toca volver a llevarla, ya que uno se da cuenta después de usarla. Adicionalmente se agradecería que la entregarán cargada casi full la batería, ya que en las pruebas y demás le gastaba la batería y cuando l entregan ya la batería no aguanta para regresarla al hogar.</t>
  </si>
  <si>
    <t>JUYO ROMERO</t>
  </si>
  <si>
    <t>CRISTIAN CAMILO</t>
  </si>
  <si>
    <t>En la avenida chile</t>
  </si>
  <si>
    <t>Quiero que me indiquen por que la Patineta quedo sin amortiguación</t>
  </si>
  <si>
    <t>ARDILA</t>
  </si>
  <si>
    <t>VLADIMIR</t>
  </si>
  <si>
    <t>Taller minca Chicó</t>
  </si>
  <si>
    <t>Son de muy buena atención y en ésta taller uno consigue todos los componentes de mi minca.</t>
  </si>
  <si>
    <t>GUERRA IGLESIA</t>
  </si>
  <si>
    <t>HENRY JUNIOR</t>
  </si>
  <si>
    <t>QUIJANO MARTINEZ</t>
  </si>
  <si>
    <t>CAROL</t>
  </si>
  <si>
    <t>Mantenimiento adecuado en un tiempo prudente, gracias</t>
  </si>
  <si>
    <t>GIRALDO SANTACOLOMA</t>
  </si>
  <si>
    <t>Muy buena experiencia , felicito a todos pues son claros , cumplidos y muy diligentes</t>
  </si>
  <si>
    <t>POVEDA</t>
  </si>
  <si>
    <t>FREDY</t>
  </si>
  <si>
    <t>Me encanta la atención la disponibilidad y la confianza que me da marca</t>
  </si>
  <si>
    <t>CARDENAS FERNANDEZ</t>
  </si>
  <si>
    <t>OMAR JOSE</t>
  </si>
  <si>
    <t>LEURO  MORA</t>
  </si>
  <si>
    <t>LAURA</t>
  </si>
  <si>
    <t>Mejorar la garantía y la calidad de los frenos puesto que he tenido varios inconvenientes con ellos</t>
  </si>
  <si>
    <t>ARCHIBOLD</t>
  </si>
  <si>
    <t>avenida chile</t>
  </si>
  <si>
    <t>fue bueno el servicio presentado en general</t>
  </si>
  <si>
    <t>MAECHA MARTINEZ</t>
  </si>
  <si>
    <t>MARIA CLAUDIA</t>
  </si>
  <si>
    <t>Me agrada que ante cualquier duda expuesta, tienen la amabilidad de responder y explicar detalladamente</t>
  </si>
  <si>
    <t>CIFUENTES TIQUE</t>
  </si>
  <si>
    <t>PATRICIA MILENA</t>
  </si>
  <si>
    <t>Muy buena atención 👍🏻</t>
  </si>
  <si>
    <t>FLORIAN HERNANDEZ</t>
  </si>
  <si>
    <t>DELIA ROSA</t>
  </si>
  <si>
    <t>Ninguna, muy bien trabajo y excelente atención</t>
  </si>
  <si>
    <t>SIERRA SOLANO</t>
  </si>
  <si>
    <t>PIEDAD AMOR</t>
  </si>
  <si>
    <t>Av. chile</t>
  </si>
  <si>
    <t>Estoy bastante inconforme con el servicio, puesto mande a que le hicieran mantenimiento preventivo…primero me dieron un precio de $135.000, después, regresé por la patineta y me cobraron $150.000. No volveré a usar sur servicios técnicos, sean serios. 😡😡😡</t>
  </si>
  <si>
    <t>RODRIGUEZ TORRES</t>
  </si>
  <si>
    <t>RUIZ ARIZA</t>
  </si>
  <si>
    <t>KAROL ANDREA</t>
  </si>
  <si>
    <t>GIRALDO ACEVEDO</t>
  </si>
  <si>
    <t>CRISTIAN ANDRES</t>
  </si>
  <si>
    <t>He tenido una buena experiencia con la marca. Este fue mi primer mantenimiento y al ir a pagar me llevé la sorpresa de que la factura era por un valor mayor a la cotización, debido a que habían hecho reparaciones qué no habían sido cotizadas. Como no había llevado más dinero y no tenía billetera, les propuse pagar la diferencia en el próximo mantenimiento, hacer una transferencia más tarde o llevar el dinero faltante al otro día, pero la respuesta fue "si no tiene como pagar, volvemos a cambiar los repuestos y le dejamos los que estaban dañados"... Creo que esto no es servicio al cliente</t>
  </si>
  <si>
    <t>VALLEJO HANSSEN</t>
  </si>
  <si>
    <t>2025-11-20T15:01:55-05:00</t>
  </si>
  <si>
    <t>2025-11-07T12:06:33-05:00</t>
  </si>
  <si>
    <t>2025-11-04T08:39:19-05:00</t>
  </si>
  <si>
    <t>2025-11-01T11:25:33-05:00</t>
  </si>
  <si>
    <t>SILVA BEJARANO</t>
  </si>
  <si>
    <t>Como sugerencia les diría, que cuando se lleve una patineta o moto electrica, por más simple que sea el servicio, como una garantía y este se encuentre sucio, se podría entregar lavada, o sugerir una lavada para el vehículo con cobro, así la entrega de la patineta, sale del taller impecable.
Igualmente agradecido por el servicio, el tiempo de respuesta y la atención del personal.</t>
  </si>
  <si>
    <t>QUIÑONES</t>
  </si>
  <si>
    <t>JUAN MIGUEL</t>
  </si>
  <si>
    <t>Todo bien, lo único es que me hacen falta el msj en WhatsApp cuando agenda el mantenimiento, no supe si estaba o no el mantenimiento</t>
  </si>
  <si>
    <t>RESTREPO ESCOBAR</t>
  </si>
  <si>
    <t>ESTEBAN ADRIAN</t>
  </si>
  <si>
    <t>La persona que esta en la recepción es muy amable y atenta. El servicio fue rapido y el freno, que era lo que necesitaba arreglo quedo incluso mejor que cuando la patineta era completamente nueva. La marca me parece muy buena, son vehiculos resistentes y muy adecuados para una ciudad como bogota.</t>
  </si>
  <si>
    <t>Paola Prieto</t>
  </si>
  <si>
    <t>Me gusta que siempre son rápidos en el servicio, son amables y atentos.
Además mi minca es lo máximo</t>
  </si>
  <si>
    <t>PARRA AGUILAR</t>
  </si>
  <si>
    <t>Muy buena atención.</t>
  </si>
  <si>
    <t>JARAMILLO OSORIO</t>
  </si>
  <si>
    <t>Servicio muy bueno y rápido, cobraron lo justo</t>
  </si>
  <si>
    <t>SOSA RAMIREZ</t>
  </si>
  <si>
    <t>GOMEZ TOVAR</t>
  </si>
  <si>
    <t>Buen servicio y buena atención</t>
  </si>
  <si>
    <t>OSORIO ROMERO</t>
  </si>
  <si>
    <t>DERECK STEVE</t>
  </si>
  <si>
    <t>El de la avenida Chile</t>
  </si>
  <si>
    <t>La marca es buena pero se desajusta muy rápido pero en si es buena marca</t>
  </si>
  <si>
    <t>ALVAREZ COLINA</t>
  </si>
  <si>
    <t>ABRAHAM JOSE</t>
  </si>
  <si>
    <t>El servicio del taller no me parece bueno, no hay asesoramiento en cuanto a lo que necesita o es mejor para la patineta, no hay una garantía del trabajo que le realizan, no son cuidadosos en revisar la patineta antes de decir que está lista, comunicarse con los asesores para hablar sobre el mantenimiento es complicado, las respuestas se quedan cortas. En conclusión el servicio del taller puede mejorar, pueden ser más pulidos, comunicarse con el cliente, advertir sobre lo que pueda pasar, el posa pies de la patineta ya había sido soldado y no me informaron, al dia siguiente de sacarla la penúltima vez el posa pies se despegó y ellos dicen que eso afecto un circuito de la patineta, por que no lo informan o advierten qué eso podía pasar en vez de soldar el posa pies, no hay garantía de las llantas es muy aburridor tener que estar en el taller todo el tiempo</t>
  </si>
  <si>
    <t>CRUZ</t>
  </si>
  <si>
    <t>MARIA PAULA</t>
  </si>
  <si>
    <t>Son muy  buenos  vehículos  pero como sugerencia  las  direccionales  de mi  modelo ats 700 no son muy visibles</t>
  </si>
  <si>
    <t>VIVIAN</t>
  </si>
  <si>
    <t>Calle 72 25 10 Bogotá</t>
  </si>
  <si>
    <t>Muy demorado, ya salí del taller y en 1/2 de trayecto volvió a fallar 😡😡😡😡😡</t>
  </si>
  <si>
    <t>GARCIA GARZON</t>
  </si>
  <si>
    <t>EDILBERT</t>
  </si>
  <si>
    <t>Minca cedritos</t>
  </si>
  <si>
    <t>Siempre en el status, para el mantenimiento y el arreglo de mi patineta, son los mejores!</t>
  </si>
  <si>
    <t>MARTIN LEON</t>
  </si>
  <si>
    <t>JHONATAN ANDRES</t>
  </si>
  <si>
    <t>Excelente servicio, mil gracias 😊</t>
  </si>
  <si>
    <t>PRADA DIAZ</t>
  </si>
  <si>
    <t>INGRID PAOLA</t>
  </si>
  <si>
    <t>En el de chico</t>
  </si>
  <si>
    <t>Mala, porque me cobraron por un defecto de factoria 150 mil pesos y por una pieza de plástico 38. 500 siendo q eso debería de cubrir la garantía, quisiera saber como me pueden hacer un reembolso ya que en la tienda no saben nada y aun así lo tratan con actitud como si uno tubiera la culpa de que ellos tengan que estar hay</t>
  </si>
  <si>
    <t>FERREIRA PULIDO</t>
  </si>
  <si>
    <t>CARLOS LEONARDO</t>
  </si>
  <si>
    <t>Son muy ágiles y diligentes</t>
  </si>
  <si>
    <t>PUERTAS QUESADA</t>
  </si>
  <si>
    <t>Muy demorado en la entrega de mi patineta, casi 2 semanas, en ese caso si deberían poder mejorar los tiempos en la entrega de las patinetas, así como los accesorios de las patinetas, deberían tenerlas en los showrooms y no esperar a pedirlos para poderlos instalar, todo esto genera un reproceso y demoras en las entregas, si tuvieran los repuestos y materiales en los showrooms, sería mucho mas rápida la revisión y entrega de las Scooter a los usuarios</t>
  </si>
  <si>
    <t>Excelente atención y servicio, gracias</t>
  </si>
  <si>
    <t>ROA GIL</t>
  </si>
  <si>
    <t>JOHAN MANUEL</t>
  </si>
  <si>
    <t>Lo único es tener un número de contacto para servicio al cliente y que no cuelguen las llamadas</t>
  </si>
  <si>
    <t>RODRIGUEZ GARZON</t>
  </si>
  <si>
    <t>LIZETH</t>
  </si>
  <si>
    <t>Excelente servicio! Súper ágiles en la recepción, manteniendo y entrega!</t>
  </si>
  <si>
    <t>en Chico</t>
  </si>
  <si>
    <t>estoy muy contenta con mi patineta ha salido muy buena y los mantenimientos me permiten mantenerla bien</t>
  </si>
  <si>
    <t>OJEDA</t>
  </si>
  <si>
    <t>ADRIANA</t>
  </si>
  <si>
    <t>Cra 19 #143A - 08</t>
  </si>
  <si>
    <t>Sugerencia: Avisar cuando las patinetas estén listas</t>
  </si>
  <si>
    <t>Mejorar la calidad y tratamiento yo a las personas si dicen un día de entrega que sea así y no lo modifiquen sin razón alguna, también dan unos precios al entregarla pero al finalizar son otros.</t>
  </si>
  <si>
    <t>REYES CARDEÑO</t>
  </si>
  <si>
    <t>Taller nunca Javeriana</t>
  </si>
  <si>
    <t>El servicio es excelente, y en cuanto al taller responden con mucho criterio profesional</t>
  </si>
  <si>
    <t>Contento por que te dejan tu patineta como nueva.</t>
  </si>
  <si>
    <t>PEÑA JIMENEZ</t>
  </si>
  <si>
    <t>Calle 72 25 10</t>
  </si>
  <si>
    <t>Muy demorado</t>
  </si>
  <si>
    <t>Atención rápida, responden ante imprevistos.</t>
  </si>
  <si>
    <t>FORERO CASTAÑEDA</t>
  </si>
  <si>
    <t>La primer experiencia fue bastante regular, esta vez mejoró mucho, sin embargo aún falta.</t>
  </si>
  <si>
    <t>MUÑOZ MALDONADO</t>
  </si>
  <si>
    <t>En el taller de la 95 con 13</t>
  </si>
  <si>
    <t>El servicio y atención estuvieron muy bien, el único comentario que tengo es que me entregaron la tabla sin cargar de resto estuvo bien</t>
  </si>
  <si>
    <t>VIASUS VESGA</t>
  </si>
  <si>
    <t>Lleve la patineta el lunes y siendo viernes no habían podido revisarla. Es decir que la tuvieron 5 días para nada. Deberian recibir solo la cantidad de aparatos que pueden atender, no sólo por la mala experiencia del cliente sino pq se están haciendo responsables de lo que le pase a todos los aparatos durante esos días.</t>
  </si>
  <si>
    <t>HEANO BRAND</t>
  </si>
  <si>
    <t>Hasta el momento muy buena experiencia! Buen servicio</t>
  </si>
  <si>
    <t>La atención y la solucion a un problema que tenia fue muy buena y muy oportuna</t>
  </si>
  <si>
    <t>PALACIO</t>
  </si>
  <si>
    <t>Me gusto la atención, pero no vi que lavaran bien la paineta, sería bueno un lavado mas profundo</t>
  </si>
  <si>
    <t>ESTRADA RODRIGUEZ</t>
  </si>
  <si>
    <t>Mal servicio postventa una patineta nueva y si no hablo de la superintendencia no reaccionan espero q mejore la.proxima vez</t>
  </si>
  <si>
    <t>MOTTA ACOSTA</t>
  </si>
  <si>
    <t>Avenida Chile y Calle 95</t>
  </si>
  <si>
    <t>Deberían más talleres o extenderlos a todas las localidades✓✓✓</t>
  </si>
  <si>
    <t>CARLOS HUMBERTO</t>
  </si>
  <si>
    <t>AGAMEZ TRIVIÑO</t>
  </si>
  <si>
    <t>CLL 95</t>
  </si>
  <si>
    <t>Me ha gustado el servicio pos venta, creo que es una marca que genera confianza y seguridad. En futuras versiones de patinetas me gustaría que incorporaran más tecnología. Adicional de una app que me permita realizar seguimiento, estado y manejo de servicios allí</t>
  </si>
  <si>
    <t>PEREZ MARIN</t>
  </si>
  <si>
    <t>Excelente atención y asesoría</t>
  </si>
  <si>
    <t>ROSERO</t>
  </si>
  <si>
    <t>JAMES</t>
  </si>
  <si>
    <t>Patinetas desechables , no les sirve el matenimiento a los 4 meses se daña</t>
  </si>
  <si>
    <t>La atencion no es la mejor el taller no siempre cumple con los horarios y en varias ocasiones las patinetas no quedan bien, siempre dejan un detalle de ajuste o de ruido  que hace q  sea necesario devolverse   y  hacer el reclamo, por otro lado los costos estan muy elevados. Recientemente pague casi 300 por dos pastillas y un cambio de guardabarros</t>
  </si>
  <si>
    <t>Excelente servicio. Hago el mantenimiento rutinario y mi minca está perfecta</t>
  </si>
  <si>
    <t>BURGOS SANCHEZ</t>
  </si>
  <si>
    <t>ANDRES ALEJANDRO</t>
  </si>
  <si>
    <t>Buena atención, tiempos de respuesta ágiles.</t>
  </si>
  <si>
    <t>JORGE PABLO</t>
  </si>
  <si>
    <t>Todo correcto</t>
  </si>
  <si>
    <t>RODRIGUEZ ROMERO</t>
  </si>
  <si>
    <t>BARRERA SORIANO</t>
  </si>
  <si>
    <t>JENNY PAOLA</t>
  </si>
  <si>
    <t>Las Vegas Medellin.</t>
  </si>
  <si>
    <t>Bien. Ha sido novedoso. Solo que esta oportunidad el tiempo de taller se excedió algo. 
Comprensible por ser periodo de vacaciones e inicio de año.</t>
  </si>
  <si>
    <t>TOBON VELASQUEZ</t>
  </si>
  <si>
    <t>calle 72 # 26</t>
  </si>
  <si>
    <t>excelente atencion y solucion a mi problema</t>
  </si>
  <si>
    <t>SALAZAR MOQUE</t>
  </si>
  <si>
    <t>LUIS JORGE</t>
  </si>
  <si>
    <t>Ninguno</t>
  </si>
  <si>
    <t>GUTIERREZ LADEUT</t>
  </si>
  <si>
    <t>BRAYAN DAVID</t>
  </si>
  <si>
    <t>No se</t>
  </si>
  <si>
    <t>Es la segunda vez que llevo mi patineta por garantía porque la batería se muere y me deja en la calle y lo único que le hacen es mantenimiento a la batería. Estoy seguro que se va a volver a dañar la batería y estoy cansado de esta ladilla de llevar a cada rato la patineta a arreglar. No se hacen responsables de la pinche garantía</t>
  </si>
  <si>
    <t>SANCHEZ GOLDING</t>
  </si>
  <si>
    <t>CARLOS ALFREDO</t>
  </si>
  <si>
    <t>Sugerencia, disminuir los tiempos de entrega, los últimos mantenimientos han sido casi de 8 días</t>
  </si>
  <si>
    <t>ISAZA VILLEGAS</t>
  </si>
  <si>
    <t>No revisando a fondo la patineta , la recibi sali y la recorri 20 metros y esta en corto , la regrese al taller para que la revisen bien, no hacen pruebas cuando revisan las patinetas, pésimo servicio</t>
  </si>
  <si>
    <t>Muy mala la atención el en call Center , la persona que me atendió no me dio ninguna solución y su actitud no fue la de un especialista de servicio</t>
  </si>
  <si>
    <t>MINCA JAVERIANA</t>
  </si>
  <si>
    <t>Siempre tienen una actitud Amable y Dispuesta a solucionar. Me siento contento del buen servicio brindado por los chicos del taller y la excelente atención de la Srta. Paola.</t>
  </si>
  <si>
    <t>la atencion en el taller fue normal. nada especial. ni buena ni mala. entienod que les debe llegar mucha gente al tiempo. pero puede servirles un mecanismo de numeracion de turnos o algo para que uno sienta que lo estan atendiendo. y no que le toque quedarse ahi viendo si alguein lo recibe. de resto todo ok</t>
  </si>
  <si>
    <t>ARIAS ROZO</t>
  </si>
  <si>
    <t>MINCA es una muy buena marca, pero deberían asegurarse de la calidad de las reparaciones, pues en mi caso, aunque todo estuvo bien, el manubrio quedó con un problema que no pude notar hasta ya un rato de haber salido del taller.</t>
  </si>
  <si>
    <t>SANCHEZ DONATO</t>
  </si>
  <si>
    <t>Buena atención y solucionaron mis requerimientos</t>
  </si>
  <si>
    <t>QUIÑONEZ NIÑO</t>
  </si>
  <si>
    <t>INGRID CAMILA</t>
  </si>
  <si>
    <t>Calle 72 av chile</t>
  </si>
  <si>
    <t>La atención fue buena, lo único que mejoraria es la espera, la persona en recepción no siempre está y tarda en volver, pero entiendo que puede que esté trayendo algo del taller.</t>
  </si>
  <si>
    <t>JARAMILLO AHUMADA</t>
  </si>
  <si>
    <t>MARIA ALEJANDRA</t>
  </si>
  <si>
    <t>exelente</t>
  </si>
  <si>
    <t>ESPARZA</t>
  </si>
  <si>
    <t>Me parece un buen medio de transporte, ahorro tiempo y dinero</t>
  </si>
  <si>
    <t>JUAN</t>
  </si>
  <si>
    <t>AV. Chil3</t>
  </si>
  <si>
    <t>Un buen servicio post venta</t>
  </si>
  <si>
    <t>RODRIGUEZ BELTRAN</t>
  </si>
  <si>
    <t>GILMAR CAMILO</t>
  </si>
  <si>
    <t>Informar concretamente los tiempos de revisión y cuánto demora una patineta en el taller</t>
  </si>
  <si>
    <t>BARRIOS MORENO</t>
  </si>
  <si>
    <t>JAMES DAVID</t>
  </si>
  <si>
    <t>Nada que agregar el servicio fue como lo esperaba</t>
  </si>
  <si>
    <t>RIVEROS ARIZA</t>
  </si>
  <si>
    <t>OSCAR ALEJANDRO</t>
  </si>
  <si>
    <t>me ha parecido un muy bien producto , solo me encantaría que las llantas sean de goma para no presentar accidentes à la hora de que se pinche la llanta delantera</t>
  </si>
  <si>
    <t>CANO</t>
  </si>
  <si>
    <t>Minca Electric Showroom Avenida Chile, Calle 72, Bogotá</t>
  </si>
  <si>
    <t>CUEVAS GUERRERO</t>
  </si>
  <si>
    <t>MAICOL YESID</t>
  </si>
  <si>
    <t>Un poco caro el mantenimiento pero bueno el servicio</t>
  </si>
  <si>
    <t>REYES ROJAS</t>
  </si>
  <si>
    <t>Taller chico</t>
  </si>
  <si>
    <t>MEDINA BEJARANO</t>
  </si>
  <si>
    <t>SANDY TATIANA</t>
  </si>
  <si>
    <t>Mostrar los tiempos estimados de cotización y mantenimiento dependiendo de la afluencia del local</t>
  </si>
  <si>
    <t>CARDONA LOPEZ</t>
  </si>
  <si>
    <t>TALLER MINCA AVENIDA CHILE</t>
  </si>
  <si>
    <t>Excelente servicio y muy rápido!</t>
  </si>
  <si>
    <t>MARTINEZ RODRIGUEZ</t>
  </si>
  <si>
    <t>Que cumplas las garantías.</t>
  </si>
  <si>
    <t>Mi experiencia por el momento ha sido buena</t>
  </si>
  <si>
    <t>TORRES SANCHEZ</t>
  </si>
  <si>
    <t>DARWIN LEONARDO</t>
  </si>
  <si>
    <t>En general una muy buena experiencia. Igual siempre se puede mejorar la atención al usuario por parte de los colaboradores, sin decir que fue mala.</t>
  </si>
  <si>
    <t>RODRIGUEZ UMBARILA</t>
  </si>
  <si>
    <t>YIMMER</t>
  </si>
  <si>
    <t>Todo super mil gracias</t>
  </si>
  <si>
    <t>OSORIO POVEDA</t>
  </si>
  <si>
    <t>El servicio estuvo muy bien 👍</t>
  </si>
  <si>
    <t>El servicio me parece muy bueno y la atención también. La marca es muy buena</t>
  </si>
  <si>
    <t>GAITAN NAVARRO</t>
  </si>
  <si>
    <t>Excelente servicio por parte de la asesora de recepcion, amable y diligente 👍🏻</t>
  </si>
  <si>
    <t>ECHAVARRIA HERNANDEZ</t>
  </si>
  <si>
    <t>JENNIFER TATIANA</t>
  </si>
  <si>
    <t>El chico</t>
  </si>
  <si>
    <t>Buena atención y rapidez</t>
  </si>
  <si>
    <t>BUSTAMANTE POPAYAN</t>
  </si>
  <si>
    <t>MELISSA  JULIETH</t>
  </si>
  <si>
    <t>Av.Chile</t>
  </si>
  <si>
    <t>La marca es buena pero se me hace muy cara una despinchada en 25.000 para una llanta tan pequeña.</t>
  </si>
  <si>
    <t>ARAGON RODRIGUEZ</t>
  </si>
  <si>
    <t>JEISON ALBEIRO</t>
  </si>
  <si>
    <t>Módulo costoso y la patineta duro en taller 15 días , la comunicación por WhatsApp es ineficiente</t>
  </si>
  <si>
    <t>A veces por el volumen de mantenimientos que realizan en un día da la percepción que no dedican el tiempo suficiente a cada vehiculo</t>
  </si>
  <si>
    <t>Bien</t>
  </si>
  <si>
    <t>Es muy rápida la recepción y la entrega , muy amables explican todo muy bien . Encantada con el servicio. Gracias</t>
  </si>
  <si>
    <t>Sería chévere que al recibirla le recuerden a uno aproximadamente el tiempo de entrega. Y como sugerencia comercial que al recibir una patineta al taller den un "bono" para reclamar un tinto o gaseosa o jugo etc en el showroom y allí aprovechar para ofrecer accesorios o venta de nuevas patinetas.</t>
  </si>
  <si>
    <t>ROJAS ROJAS</t>
  </si>
  <si>
    <t>RAUL JACOB</t>
  </si>
  <si>
    <t>BOBADILLA ROMERO</t>
  </si>
  <si>
    <t>KAREN JULIANA</t>
  </si>
  <si>
    <t>La atención fue excelente, tanto de Paola como de los chicos del taller</t>
  </si>
  <si>
    <t>AGUILERA ANAVE</t>
  </si>
  <si>
    <t>MACIAS TIBASOSA</t>
  </si>
  <si>
    <t>Minca las vegas medellin</t>
  </si>
  <si>
    <t>Revisar bien el trabajo realizado la llanta quedó golpeando el guardabarros</t>
  </si>
  <si>
    <t>LOPEZ HENAO</t>
  </si>
  <si>
    <t>CRISTIAN ALBEIRO</t>
  </si>
  <si>
    <t>Buena atención.</t>
  </si>
  <si>
    <t>JIMENEZ GARCIA</t>
  </si>
  <si>
    <t>Medellín las Vegas</t>
  </si>
  <si>
    <t>Muy buena atención por parte del técnico</t>
  </si>
  <si>
    <t>HENAO LOPEZ</t>
  </si>
  <si>
    <t>ANDRES JULIAN</t>
  </si>
  <si>
    <t>Taller de la calle 95</t>
  </si>
  <si>
    <t>Rápida la entrega de mi minca</t>
  </si>
  <si>
    <t>CASTAÑEDA GARZON</t>
  </si>
  <si>
    <t>Gracias, el servicio es bueno y la atención también sin embargo fue un poco demorado y si me afectó en mi rutina.</t>
  </si>
  <si>
    <t>LEON GARZON</t>
  </si>
  <si>
    <t>KAREN JULIETH</t>
  </si>
  <si>
    <t>El precio malo</t>
  </si>
  <si>
    <t>ROMAN PACHECO</t>
  </si>
  <si>
    <t>Cl 95</t>
  </si>
  <si>
    <t>Buen servicio, el reporte de mecánica es bueno pero podría mejorar incluyendo recomendaciones para el próximo servicio. 
De largo plazo, aunque es difícil, un servicio pago de domicilio de mantenimiento sería muy bueno</t>
  </si>
  <si>
    <t>TRUJILLO</t>
  </si>
  <si>
    <t>Manuela prieto</t>
  </si>
  <si>
    <t>Servicio rápido y efectivo.</t>
  </si>
  <si>
    <t>ECHEVERRY</t>
  </si>
  <si>
    <t>El servicio es excelente sin ninguna queja</t>
  </si>
  <si>
    <t>SALGADO MUÑOZ</t>
  </si>
  <si>
    <t>CHICO</t>
  </si>
  <si>
    <t>MELENDEZ CAMARGO</t>
  </si>
  <si>
    <t>RODRIGO EDUARDO</t>
  </si>
  <si>
    <t>Explicar siempre bien cada proceso que realizan, mi inseguridad fue por una experiencia mala que tuve antes en la que me cambiaron una parte sin notificarme pero me di cuenta, entonces ahorita estaba prevenida con ese tema… pero el señor Jonathan que me entregó la patineta fue muy atento y me explicó detalladamente lo que le realizó. Gracias</t>
  </si>
  <si>
    <t>Mi cita básicamente fue por que la llanta llegó con alguna perforación y ellos la despincharon y ya !
Gracias por la atención</t>
  </si>
  <si>
    <t>NORDISK</t>
  </si>
  <si>
    <t>NOVO</t>
  </si>
  <si>
    <t>Muy buena experiencia siempre atento con los clientes con cualquier requerimiento</t>
  </si>
  <si>
    <t>GRANADOS BOTIA</t>
  </si>
  <si>
    <t>ALVARADO RODRIGUEZ</t>
  </si>
  <si>
    <t>Pese a ser muy estrictos con el orden de llegada de los equipos para recibir servicio técnico, me ayudaron rápidamente con mi solicitud. La atención es de primer nivel, el equipo humano muy atento y en general la experiencia fue bastante positiva</t>
  </si>
  <si>
    <t>GARCÍA</t>
  </si>
  <si>
    <t>En el momento soy nuevo con la marca pero me parece genial muy buena al igual que la atención en los talleres de la marca mi calificación 10 de 10</t>
  </si>
  <si>
    <t>PACHECO ARRIETA</t>
  </si>
  <si>
    <t>QUEVEDO CUENCA</t>
  </si>
  <si>
    <t>Con Minca Ando Rodando!</t>
  </si>
  <si>
    <t>JIMENEZ ORTIZ</t>
  </si>
  <si>
    <t>WILLIAN ALEXANDER</t>
  </si>
  <si>
    <t>Me parece excesivamente costos el mantenimiento, se dañó mi soporte trasero para cargar la patineta y estaba por garantía y nunca me lo han repuesto</t>
  </si>
  <si>
    <t>PEÑA</t>
  </si>
  <si>
    <t>Llevo 10 meses con la marca y a sido una experiencia muy positiva, en cuanto a movilidad, servicio y experiencia. Muchas gracias a minca por ese respaldo.</t>
  </si>
  <si>
    <t>SANDOVAL LEON</t>
  </si>
  <si>
    <t>DARIO ALDEMAR</t>
  </si>
  <si>
    <t>Tienen productos de muy buena calidad y buen servicio técnico</t>
  </si>
  <si>
    <t>RINCON BABATIVA</t>
  </si>
  <si>
    <t>WILLIAM ADRIAN</t>
  </si>
  <si>
    <t>Excelente patineta, buen servicio de taller</t>
  </si>
  <si>
    <t>REYES VARGAS</t>
  </si>
  <si>
    <t>Buen servicio y muy rápido.</t>
  </si>
  <si>
    <t>LASERNA ALVIRA</t>
  </si>
  <si>
    <t>LUIS AUGUSTO</t>
  </si>
  <si>
    <t>PENAGOS QUINTERO</t>
  </si>
  <si>
    <t>NESTOR FERNANDO</t>
  </si>
  <si>
    <t>Taller medellin, las vegas</t>
  </si>
  <si>
    <t>Sugerencia:
1. Entregar la patineta en el dia acordado ya que muchos la usamos como vehiculo y por un mantenimiento demorarse 8 dias, me parece mucho.
2. ⁠Ojala el mantenimiento lo realizaran en el horario que uno separa por la pagina web, es decir, yo elegi 10 am de un dia y pense que la podia esperar mientras le hacian el mantenimiento y demoró 8 dias</t>
  </si>
  <si>
    <t>SUAREZ</t>
  </si>
  <si>
    <t>En general la atención bien, siento que a lo mejor el local se está quedando pequeño en la parte del taller porque siempre hay fila</t>
  </si>
  <si>
    <t>DAZA OSMA</t>
  </si>
  <si>
    <t>ANDRES ALFONSO</t>
  </si>
  <si>
    <t>Excelente producto</t>
  </si>
  <si>
    <t>AISLINT</t>
  </si>
  <si>
    <t>KEVIN</t>
  </si>
  <si>
    <t>Excelente servicio, solo que ya les quedó pequeño  el taller</t>
  </si>
  <si>
    <t>BELTRAN CUELLAR</t>
  </si>
  <si>
    <t>ANDRES AUGUSTO</t>
  </si>
  <si>
    <t>NIÑO MANOSALVA</t>
  </si>
  <si>
    <t>ANGELA LILIANA</t>
  </si>
  <si>
    <t>Muchas gracias por la atención en el taller. Fue excelente y atendieron mi solicitud.</t>
  </si>
  <si>
    <t>ALVAREZ MOYA</t>
  </si>
  <si>
    <t>La Marca me parece espectacular, lo único es que la Patineta va a volver por Garantía ya que la Caña o Mástil quedó dura, los técnicos me explicaron que si la dejaban más suelta quedaría sonando, entonces Minca tienes un Problema de Calidad con esa pieza</t>
  </si>
  <si>
    <t>DIKTYON</t>
  </si>
  <si>
    <t>Muy buena 👌🏻  para la movilidad de la ciudad</t>
  </si>
  <si>
    <t>JEISON</t>
  </si>
  <si>
    <t>SANMIGUEL GARCIA</t>
  </si>
  <si>
    <t>BELTRAN GUZMAN</t>
  </si>
  <si>
    <t>JOSE FRANCISCO</t>
  </si>
  <si>
    <t>Todo perfecto</t>
  </si>
  <si>
    <t>ACOSTA ACOSTA</t>
  </si>
  <si>
    <t>Pues todo bien aunque deberían cargar la batería</t>
  </si>
  <si>
    <t>INFANTE ROJAS</t>
  </si>
  <si>
    <t>JAIME ANDRES</t>
  </si>
  <si>
    <t>Showroom calle 72 Av. Chile</t>
  </si>
  <si>
    <t>Muy buen servicio, las personas son muy serviciales y la atención es rapida</t>
  </si>
  <si>
    <t>ROJAS GUALDRON</t>
  </si>
  <si>
    <t>KAREN YANETH</t>
  </si>
  <si>
    <t>RIVADENEIRA</t>
  </si>
  <si>
    <t>MARIANA</t>
  </si>
  <si>
    <t>Agua y tinto pa los clientes 🙊🤗</t>
  </si>
  <si>
    <t>PEÑA CASTRO</t>
  </si>
  <si>
    <t>Me ha ido muy bien cuando he necesitado los servicios. Felicitaciones</t>
  </si>
  <si>
    <t>PULIDO FERREIRA</t>
  </si>
  <si>
    <t>NELSON ORLANDO</t>
  </si>
  <si>
    <t>Excelente servicio y rápido!</t>
  </si>
  <si>
    <t>RODRIGUEZ BERNAL</t>
  </si>
  <si>
    <t>El servicio de despinchar realmente no tiene un valor agregado. La llevé a despinchar por primera vez porque pensé que por el valor que cobran (28.000) se ponía un buen parche y se hacía el vulcanizado pero le enterraron una goma que pareciera que se va a caer muy pronto, este tipo de despinchado lo hacen en cualquier montallantas por 10.000 y no toca esperar de un día para otro como fue mi caso. Al indagar con el asesor me indicó que es a criterio del técnico si pone eso o si coloca un parche, me parece que se debía buscar lo mejor para el cliente por ese valor.</t>
  </si>
  <si>
    <t>Siempre me atienden muy bien y dan solución a los problemas</t>
  </si>
  <si>
    <t>ACOSTA CORTES</t>
  </si>
  <si>
    <t>ANGIE CATALINA</t>
  </si>
  <si>
    <t>Perdón la atención fue buena pero el servicio de mantenimiento regular. 
Dejé mi patineta para la instalación de guardabarros delantero la dejé desde el sábado y el día lunes me la entregaron.
 No son atentos al detalle, las llantas estaban  con bajo aire, no realizaron esa verificación antes de entregarme la patineta, me di cuenta  cuando ya estaba  montado en ella 
Es importante que  detalles como esos sea verificados. A uno como cliente le gusta . Y en mi trabajo suelo hacer algo parecido</t>
  </si>
  <si>
    <t>SALAZAR GUTIERREZ</t>
  </si>
  <si>
    <t>Av 19</t>
  </si>
  <si>
    <t>Buen servicio, confiable. Sugerencia, tener algun servicio logistico de retiro de parinetas x domilicio que necesiten reparación con agenda.</t>
  </si>
  <si>
    <t>ANDUJAR</t>
  </si>
  <si>
    <t>FEDERICO</t>
  </si>
  <si>
    <t>Me pareció caro el servicio, pero es un buen servicio</t>
  </si>
  <si>
    <t>ANGEL FERNANDO</t>
  </si>
  <si>
    <t>Es muy buena marca, no me gustó que les pedí en el taller que le hicieran mantenimiento a los rodamientos del mástil porque lo ví oxidado y al parecer no se lo hicieron, el resto de reparación me pareció buena Pero me quedó esa inquietud del mantenimiento del mástil</t>
  </si>
  <si>
    <t>CUETO GAVIRIA</t>
  </si>
  <si>
    <t>CARLOS GUILLERMO</t>
  </si>
  <si>
    <t>CALLE 95 # 13 - 55</t>
  </si>
  <si>
    <t>Minca es una excelente marca</t>
  </si>
  <si>
    <t>PEROZO MENDOZA</t>
  </si>
  <si>
    <t>YANKLI EMIRO</t>
  </si>
  <si>
    <t>Minca chico</t>
  </si>
  <si>
    <t>Fue muy rápido</t>
  </si>
  <si>
    <t>GAMBA RAMIREZ</t>
  </si>
  <si>
    <t>MUÑOZ</t>
  </si>
  <si>
    <t>NUNEZ JIMENEZ</t>
  </si>
  <si>
    <t>VANESA</t>
  </si>
  <si>
    <t>Excelente todo</t>
  </si>
  <si>
    <t>Rápido el servicio y buen trabajo. Muchas gracias!!</t>
  </si>
  <si>
    <t>Siempre son amables y puntuales con las entregas.</t>
  </si>
  <si>
    <t>CARDONA MURIEL</t>
  </si>
  <si>
    <t>Super. Mucho mejor que en la de la javeriana, allí la atención es menos amable.</t>
  </si>
  <si>
    <t>SOTO SANGUINO</t>
  </si>
  <si>
    <t>MILENA</t>
  </si>
  <si>
    <t>Deben abrir más horarios en cedritos</t>
  </si>
  <si>
    <t>Muy buena atención la que se recibe en cedritros taller antes llevaba la patineta en al taller de chico son demasiado groseros y no prestan buena atención, desde ahí dejé de llevarla a ese lugar</t>
  </si>
  <si>
    <t>PATARROYO</t>
  </si>
  <si>
    <t>Muy agradable el servicio, por parte de la familia Minca. Los recomiendo ampliamente. 🙏🙏🙏</t>
  </si>
  <si>
    <t>FAJARDO ESTUPIÑAN</t>
  </si>
  <si>
    <t>FRANKLIN</t>
  </si>
  <si>
    <t>JOSE SANTANA</t>
  </si>
  <si>
    <t>JACKSON</t>
  </si>
  <si>
    <t>Bien servicio y buena atención</t>
  </si>
  <si>
    <t>BENITEZ MONTAÑO</t>
  </si>
  <si>
    <t>CRISTHIAN DANIEL</t>
  </si>
  <si>
    <t>El servicio fue excelente, muy rápido y los chicos resuelven todas las dudas, y te explican muy bien todo</t>
  </si>
  <si>
    <t>DE LA HOZ CASTRO</t>
  </si>
  <si>
    <t>KAREN MARGARITA</t>
  </si>
  <si>
    <t>calle 95</t>
  </si>
  <si>
    <t>Falta puntualidad</t>
  </si>
  <si>
    <t>ACOSTA BERNAL</t>
  </si>
  <si>
    <t>JOSE SANTIAGO</t>
  </si>
  <si>
    <t>SANABRIA CASTRO</t>
  </si>
  <si>
    <t>Me encanta las herramientas tecnológicas que usan para agendar citas, hacer seguimiento y entrega. Sigan así!</t>
  </si>
  <si>
    <t>MONTOYA PINZON</t>
  </si>
  <si>
    <t>GIOVANNY ALBERTO</t>
  </si>
  <si>
    <t>Muchas gracias porque tomaron atenta nota de todos los detalles que tenía mi patineta y quedó como nueva 😄</t>
  </si>
  <si>
    <t>DIAZ CARO</t>
  </si>
  <si>
    <t>DIANA MARCELA</t>
  </si>
  <si>
    <t>Excelente marca buena calidad de esos productos</t>
  </si>
  <si>
    <t>Excelente la mejor inversión</t>
  </si>
  <si>
    <t>JONATHAN DAVID</t>
  </si>
  <si>
    <t>LOTERO GONZALEZ</t>
  </si>
  <si>
    <t>un gran servicio con calidad y amabilidad</t>
  </si>
  <si>
    <t>Primero el 26 de enero me informaron que en 2 días estaría lista. Después que el 31, y tampoco estuvo lista y finalmente me la entregaron el 3 de febrero. Ni un mantenimiento general tarda tanto. Solamente era un cambio de piñón trasero</t>
  </si>
  <si>
    <t>HERRERA ZÁRATE</t>
  </si>
  <si>
    <t>OSCAR DANIEL</t>
  </si>
  <si>
    <t>140 con 19</t>
  </si>
  <si>
    <t>El servicio es muy bueno y quede muy satisfecho con la revisión de mi patineta</t>
  </si>
  <si>
    <t>TAVERA ALPIZAR</t>
  </si>
  <si>
    <t>El mantenimiento fue bueno, solo que se demoraron bastante el el proceso, ya que segun los tiempo que me habían dado el dia lunes debían entregarme y hasta el día lunes empezó la revisión,  significa que la patineta estuvo quita sin revisión desde el miércoles que la lleve</t>
  </si>
  <si>
    <t>ORJUELA PRIETO</t>
  </si>
  <si>
    <t>MONICA ALEJANDRA</t>
  </si>
  <si>
    <t>Tuvo un pequeño detalle al momento de la entrega, fue solucionado de inmediato, entonces, 10 puntos</t>
  </si>
  <si>
    <t>ORTIZ ROMERO</t>
  </si>
  <si>
    <t>SAMUEL ANDRES</t>
  </si>
  <si>
    <t>VALENCIA</t>
  </si>
  <si>
    <t>Créditos</t>
  </si>
  <si>
    <t>En general l la atención fue buena aunque . Sería bueno que tuvieran mejor stock de repuestos . Yo tuve que sacar la patineta sin pantalla porque la necesito usar.</t>
  </si>
  <si>
    <t>HIDALGO RODRIGUEZ</t>
  </si>
  <si>
    <t>RAUL</t>
  </si>
  <si>
    <t>FRANCO  FERNANDEZ</t>
  </si>
  <si>
    <t>CATERIN</t>
  </si>
  <si>
    <t>Fui primero al taller de av chile, pero me atendieron super feo, por eso fui a chicó.</t>
  </si>
  <si>
    <t>GUZMAN UCEDA</t>
  </si>
  <si>
    <t>HAROLD ORLANDO</t>
  </si>
  <si>
    <t>Excelente atención y trabajo mi Minca quedó perfecta muchas gracias!</t>
  </si>
  <si>
    <t>DIAZ OSPITIA</t>
  </si>
  <si>
    <t>BRIAN NORBERTO</t>
  </si>
  <si>
    <t>Estuvo mejor la atención que las anteriores veces, me quedo un ruido en la patineta que iré el sábado a que me revisen</t>
  </si>
  <si>
    <t>PINZON QUINTERO</t>
  </si>
  <si>
    <t>NICOLAS  ALEXANDER</t>
  </si>
  <si>
    <t>MESA MEJIA</t>
  </si>
  <si>
    <t>LUCAS</t>
  </si>
  <si>
    <t>Me encantaría que sacaran baúles mas grandes para la moped</t>
  </si>
  <si>
    <t>RUIZ MORALES</t>
  </si>
  <si>
    <t>LINDA CAROLINA</t>
  </si>
  <si>
    <t>Es una  excelente marca</t>
  </si>
  <si>
    <t>ARIAS TAPIA</t>
  </si>
  <si>
    <t>NORIS ISABEL</t>
  </si>
  <si>
    <t>Lo único es que ayer se me hizo una cotización, y cuando pagué se había aumentado un adicional que subió mucho el costo y no me llegó una notificación de este cambio, no hubo problema pero creo que es algo de tener cuidado</t>
  </si>
  <si>
    <t>REYES RESTREPO</t>
  </si>
  <si>
    <t>JUAN NICOLAS</t>
  </si>
  <si>
    <t>CADAVID</t>
  </si>
  <si>
    <t>En el de Av chile</t>
  </si>
  <si>
    <t>Fue todo exelente desde la atención hasta como quedó la moto</t>
  </si>
  <si>
    <t>BOTERO YAIMA</t>
  </si>
  <si>
    <t>CRISTHIAN HERNANDO</t>
  </si>
  <si>
    <t>Sin comentarios</t>
  </si>
  <si>
    <t>GÓMEZ</t>
  </si>
  <si>
    <t>La marca buena y la primer ida al taller pues no fue del todo satisfactoria.</t>
  </si>
  <si>
    <t>LOPEZ TORRES</t>
  </si>
  <si>
    <t>Minca Calle 72 con 24</t>
  </si>
  <si>
    <t>Tener mas accesorios utiles para la patineta, mas personalizaciones, tener en cuentanla calidad de los accesorios ya que parece qje no fueran de buena calidad</t>
  </si>
  <si>
    <t>PINZON RAMOS</t>
  </si>
  <si>
    <t>RAFAEL ARAMIS</t>
  </si>
  <si>
    <t>Taller av chile</t>
  </si>
  <si>
    <t>Buena movilidad y buen servicio.</t>
  </si>
  <si>
    <t>BULLA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</si>
</sst>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d&quot; de &quot;m"/>
  </numFmts>
  <fonts count="12" x14ac:knownFonts="1">
    <font>
      <sz val="10"/>
      <color rgb="FF000000"/>
      <name val="Arial"/>
      <scheme val="minor"/>
    </font>
    <font>
      <b/>
      <sz val="10"/>
      <color theme="1"/>
      <name val="Arial"/>
      <family val="2"/>
      <scheme val="minor"/>
    </font>
    <font>
      <b/>
      <sz val="10"/>
      <color theme="1"/>
      <name val="Arial"/>
      <family val="2"/>
      <scheme val="minor"/>
    </font>
    <font>
      <sz val="10"/>
      <color theme="1"/>
      <name val="Arial"/>
      <family val="2"/>
      <scheme val="minor"/>
    </font>
    <font>
      <sz val="10"/>
      <color theme="1"/>
      <name val="Arial"/>
      <family val="2"/>
      <scheme val="minor"/>
    </font>
    <font>
      <u/>
      <sz val="10"/>
      <color rgb="FF0000FF"/>
      <name val="Arial"/>
      <family val="2"/>
    </font>
    <font>
      <sz val="10"/>
      <color rgb="FF555555"/>
      <name val="Arial"/>
      <family val="2"/>
      <scheme val="minor"/>
    </font>
    <font>
      <sz val="10"/>
      <name val="Arial"/>
      <family val="2"/>
      <scheme val="minor"/>
    </font>
    <font>
      <sz val="10"/>
      <color theme="1"/>
      <name val="Arial"/>
      <family val="2"/>
      <scheme val="minor"/>
    </font>
    <font>
      <sz val="10"/>
      <color rgb="FF555555"/>
      <name val="Arial"/>
      <family val="2"/>
      <scheme val="minor"/>
    </font>
    <font>
      <u/>
      <sz val="10"/>
      <color rgb="FF0000FF"/>
      <name val="Arial"/>
      <family val="2"/>
    </font>
    <font>
      <sz val="9"/>
      <color theme="1"/>
      <name val="Arial"/>
      <family val="2"/>
      <scheme val="minor"/>
    </font>
  </fonts>
  <fills count="17">
    <fill>
      <patternFill patternType="none"/>
    </fill>
    <fill>
      <patternFill patternType="gray125"/>
    </fill>
    <fill>
      <patternFill patternType="solid">
        <fgColor rgb="FFCCCCCC"/>
        <bgColor rgb="FFCCCCCC"/>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E06666"/>
        <bgColor rgb="FFE06666"/>
      </patternFill>
    </fill>
    <fill>
      <patternFill patternType="solid">
        <fgColor rgb="FFEA9999"/>
        <bgColor rgb="FFEA9999"/>
      </patternFill>
    </fill>
    <fill>
      <patternFill patternType="solid">
        <fgColor rgb="FFDD7E6B"/>
        <bgColor rgb="FFDD7E6B"/>
      </patternFill>
    </fill>
    <fill>
      <patternFill patternType="solid">
        <fgColor theme="5" tint="0.59999389629810485"/>
        <bgColor rgb="FFFCE5CD"/>
      </patternFill>
    </fill>
    <fill>
      <patternFill patternType="solid">
        <fgColor theme="5" tint="0.59999389629810485"/>
        <bgColor rgb="FFFFFFFF"/>
      </patternFill>
    </fill>
    <fill>
      <patternFill patternType="solid">
        <fgColor theme="5" tint="0.59999389629810485"/>
        <bgColor rgb="FFF4CCCC"/>
      </patternFill>
    </fill>
    <fill>
      <patternFill patternType="solid">
        <fgColor theme="5" tint="0.59999389629810485"/>
        <bgColor indexed="64"/>
      </patternFill>
    </fill>
    <fill>
      <patternFill patternType="solid">
        <fgColor theme="5" tint="0.59999389629810485"/>
        <bgColor rgb="FFD9EAD3"/>
      </patternFill>
    </fill>
    <fill>
      <patternFill patternType="solid">
        <fgColor theme="5" tint="0.79998168889431442"/>
        <bgColor rgb="FFFFFFFF"/>
      </patternFill>
    </fill>
    <fill>
      <patternFill patternType="solid">
        <fgColor theme="5" tint="0.79998168889431442"/>
        <bgColor indexed="64"/>
      </patternFill>
    </fill>
    <fill>
      <patternFill patternType="solid">
        <fgColor theme="5" tint="0.79998168889431442"/>
        <bgColor rgb="FFD9EAD3"/>
      </patternFill>
    </fill>
  </fills>
  <borders count="1">
    <border>
      <left/>
      <right/>
      <top/>
      <bottom/>
      <diagonal/>
    </border>
  </borders>
  <cellStyleXfs count="1">
    <xf numFmtId="0" fontId="0" fillId="0" borderId="0"/>
  </cellStyleXfs>
  <cellXfs count="58">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164" fontId="3" fillId="0" borderId="0" xfId="0" applyNumberFormat="1" applyFont="1" applyAlignment="1">
      <alignment horizontal="center" vertical="center" wrapText="1"/>
    </xf>
    <xf numFmtId="164" fontId="4" fillId="0" borderId="0" xfId="0" applyNumberFormat="1" applyFont="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164" fontId="6" fillId="5" borderId="0" xfId="0" applyNumberFormat="1" applyFont="1" applyFill="1" applyAlignment="1">
      <alignment horizontal="center"/>
    </xf>
    <xf numFmtId="0" fontId="6" fillId="5" borderId="0" xfId="0" applyFont="1" applyFill="1" applyAlignment="1">
      <alignment horizontal="center"/>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xf numFmtId="14" fontId="3" fillId="0" borderId="0" xfId="0" applyNumberFormat="1" applyFont="1" applyAlignment="1">
      <alignment vertical="center" wrapText="1"/>
    </xf>
    <xf numFmtId="0" fontId="4" fillId="0" borderId="0" xfId="0" applyFont="1" applyAlignment="1">
      <alignment vertical="center" wrapText="1"/>
    </xf>
    <xf numFmtId="14" fontId="4" fillId="0" borderId="0" xfId="0" applyNumberFormat="1" applyFont="1" applyAlignment="1">
      <alignment vertical="center" wrapText="1"/>
    </xf>
    <xf numFmtId="0" fontId="4" fillId="0" borderId="0" xfId="0" applyFont="1"/>
    <xf numFmtId="0" fontId="0" fillId="0" borderId="0" xfId="0" pivotButton="1"/>
    <xf numFmtId="0" fontId="0" fillId="0" borderId="0" xfId="0" applyAlignment="1">
      <alignment horizontal="left"/>
    </xf>
    <xf numFmtId="14" fontId="6" fillId="5" borderId="0" xfId="0" applyNumberFormat="1" applyFont="1" applyFill="1" applyAlignment="1">
      <alignment horizontal="center"/>
    </xf>
    <xf numFmtId="14" fontId="6" fillId="6" borderId="0" xfId="0" applyNumberFormat="1" applyFont="1" applyFill="1" applyAlignment="1">
      <alignment horizontal="center"/>
    </xf>
    <xf numFmtId="14" fontId="6" fillId="8" borderId="0" xfId="0" applyNumberFormat="1" applyFont="1" applyFill="1" applyAlignment="1">
      <alignment horizontal="center"/>
    </xf>
    <xf numFmtId="14" fontId="6" fillId="7" borderId="0" xfId="0" applyNumberFormat="1" applyFont="1" applyFill="1" applyAlignment="1">
      <alignment horizontal="center"/>
    </xf>
    <xf numFmtId="14" fontId="3" fillId="0" borderId="0" xfId="0" applyNumberFormat="1" applyFont="1" applyAlignment="1">
      <alignment horizontal="center" vertical="center" wrapText="1"/>
    </xf>
    <xf numFmtId="14" fontId="6" fillId="9" borderId="0" xfId="0" applyNumberFormat="1" applyFont="1" applyFill="1" applyAlignment="1">
      <alignment horizontal="center"/>
    </xf>
    <xf numFmtId="0" fontId="6" fillId="10" borderId="0" xfId="0" applyFont="1" applyFill="1" applyAlignment="1">
      <alignment horizontal="center"/>
    </xf>
    <xf numFmtId="0" fontId="4" fillId="9" borderId="0" xfId="0" applyFont="1" applyFill="1" applyAlignment="1">
      <alignment horizontal="center" vertical="center" wrapText="1"/>
    </xf>
    <xf numFmtId="14" fontId="6" fillId="11" borderId="0" xfId="0" applyNumberFormat="1" applyFont="1" applyFill="1" applyAlignment="1">
      <alignment horizontal="center"/>
    </xf>
    <xf numFmtId="0" fontId="4" fillId="11" borderId="0" xfId="0" applyFont="1" applyFill="1" applyAlignment="1">
      <alignment horizontal="center" vertical="center" wrapText="1"/>
    </xf>
    <xf numFmtId="14" fontId="6" fillId="10" borderId="0" xfId="0" applyNumberFormat="1" applyFont="1" applyFill="1" applyAlignment="1">
      <alignment horizontal="center"/>
    </xf>
    <xf numFmtId="0" fontId="4" fillId="12" borderId="0" xfId="0" applyFont="1" applyFill="1" applyAlignment="1">
      <alignment horizontal="center" vertical="center" wrapText="1"/>
    </xf>
    <xf numFmtId="0" fontId="4" fillId="13" borderId="0" xfId="0" applyFont="1" applyFill="1" applyAlignment="1">
      <alignment horizontal="center" vertical="center" wrapText="1"/>
    </xf>
    <xf numFmtId="0" fontId="3" fillId="3" borderId="0" xfId="0" applyFont="1" applyFill="1" applyAlignment="1">
      <alignment horizontal="center" vertical="center" wrapText="1"/>
    </xf>
    <xf numFmtId="0" fontId="3" fillId="12" borderId="0" xfId="0" applyFont="1" applyFill="1" applyAlignment="1">
      <alignment horizontal="center" vertical="center" wrapText="1"/>
    </xf>
    <xf numFmtId="0" fontId="3" fillId="13" borderId="0" xfId="0" applyFont="1" applyFill="1" applyAlignment="1">
      <alignment horizontal="center" vertical="center" wrapText="1"/>
    </xf>
    <xf numFmtId="0" fontId="6" fillId="14" borderId="0" xfId="0" applyFont="1" applyFill="1" applyAlignment="1">
      <alignment horizontal="center"/>
    </xf>
    <xf numFmtId="0" fontId="4" fillId="15" borderId="0" xfId="0" applyFont="1" applyFill="1" applyAlignment="1">
      <alignment horizontal="center" vertical="center" wrapText="1"/>
    </xf>
    <xf numFmtId="0" fontId="4" fillId="16" borderId="0" xfId="0" applyFont="1" applyFill="1" applyAlignment="1">
      <alignment horizontal="center" vertical="center" wrapText="1"/>
    </xf>
    <xf numFmtId="0" fontId="7" fillId="5" borderId="0" xfId="0" applyFont="1" applyFill="1" applyAlignment="1">
      <alignment horizontal="center"/>
    </xf>
    <xf numFmtId="14" fontId="7" fillId="5" borderId="0" xfId="0" applyNumberFormat="1" applyFont="1" applyFill="1" applyAlignment="1">
      <alignment horizontal="center"/>
    </xf>
    <xf numFmtId="14" fontId="7" fillId="14" borderId="0" xfId="0" applyNumberFormat="1" applyFont="1" applyFill="1" applyAlignment="1">
      <alignment horizontal="center"/>
    </xf>
    <xf numFmtId="0" fontId="7" fillId="14" borderId="0" xfId="0" applyFont="1" applyFill="1" applyAlignment="1">
      <alignment horizontal="center"/>
    </xf>
    <xf numFmtId="0" fontId="3" fillId="15" borderId="0" xfId="0" applyFont="1" applyFill="1" applyAlignment="1">
      <alignment horizontal="center" vertical="center" wrapText="1"/>
    </xf>
    <xf numFmtId="0" fontId="3" fillId="16" borderId="0" xfId="0" applyFont="1" applyFill="1" applyAlignment="1">
      <alignment horizontal="center" vertical="center" wrapText="1"/>
    </xf>
    <xf numFmtId="0" fontId="8" fillId="0" borderId="0" xfId="0" applyFont="1" applyAlignment="1">
      <alignment horizontal="center" vertical="center" wrapText="1"/>
    </xf>
    <xf numFmtId="0" fontId="8" fillId="3" borderId="0" xfId="0" applyFont="1" applyFill="1" applyAlignment="1">
      <alignment horizontal="center" vertical="center" wrapText="1"/>
    </xf>
    <xf numFmtId="0" fontId="9" fillId="5" borderId="0" xfId="0" applyFont="1" applyFill="1" applyAlignment="1">
      <alignment horizontal="center"/>
    </xf>
    <xf numFmtId="0" fontId="8" fillId="6" borderId="0" xfId="0" applyFont="1" applyFill="1" applyAlignment="1">
      <alignment horizontal="center" vertical="center" wrapText="1"/>
    </xf>
    <xf numFmtId="0" fontId="9" fillId="6" borderId="0" xfId="0" applyFont="1" applyFill="1" applyAlignment="1">
      <alignment horizontal="center"/>
    </xf>
    <xf numFmtId="164" fontId="8" fillId="0" borderId="0" xfId="0" applyNumberFormat="1" applyFont="1" applyAlignment="1">
      <alignment horizontal="center" vertical="center" wrapText="1"/>
    </xf>
    <xf numFmtId="14" fontId="9" fillId="5" borderId="0" xfId="0" applyNumberFormat="1" applyFont="1" applyFill="1" applyAlignment="1">
      <alignment horizontal="center"/>
    </xf>
    <xf numFmtId="0" fontId="8" fillId="15" borderId="0" xfId="0" applyFont="1" applyFill="1" applyAlignment="1">
      <alignment horizontal="center" vertical="center" wrapText="1"/>
    </xf>
    <xf numFmtId="0" fontId="8" fillId="16" borderId="0" xfId="0" applyFont="1" applyFill="1" applyAlignment="1">
      <alignment horizontal="center" vertical="center" wrapText="1"/>
    </xf>
    <xf numFmtId="0" fontId="10" fillId="0" borderId="0" xfId="0" applyFont="1" applyAlignment="1">
      <alignment horizontal="center" vertical="center" wrapText="1"/>
    </xf>
    <xf numFmtId="0" fontId="11" fillId="15" borderId="0" xfId="0" applyFont="1" applyFill="1" applyAlignment="1">
      <alignment horizontal="center" vertical="center" wrapText="1"/>
    </xf>
    <xf numFmtId="165"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[ENCUESTAS.xlsx]Hoja3!TablaDinámica3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Hoja3!$H$22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AEB-41BC-A72B-410F1D852889}"/>
              </c:ext>
            </c:extLst>
          </c:dPt>
          <c:dPt>
            <c:idx val="1"/>
            <c:bubble3D val="0"/>
            <c:spPr>
              <a:solidFill>
                <a:schemeClr val="accent2"/>
              </a:solidFill>
              <a:ln>
                <a:noFill/>
              </a:ln>
              <a:effectLst/>
            </c:spPr>
            <c:extLst>
              <c:ext xmlns:c16="http://schemas.microsoft.com/office/drawing/2014/chart" uri="{C3380CC4-5D6E-409C-BE32-E72D297353CC}">
                <c16:uniqueId val="{00000003-FAEB-41BC-A72B-410F1D852889}"/>
              </c:ext>
            </c:extLst>
          </c:dPt>
          <c:dPt>
            <c:idx val="2"/>
            <c:bubble3D val="0"/>
            <c:spPr>
              <a:solidFill>
                <a:schemeClr val="accent3"/>
              </a:solidFill>
              <a:ln>
                <a:noFill/>
              </a:ln>
              <a:effectLst/>
            </c:spPr>
            <c:extLst>
              <c:ext xmlns:c16="http://schemas.microsoft.com/office/drawing/2014/chart" uri="{C3380CC4-5D6E-409C-BE32-E72D297353CC}">
                <c16:uniqueId val="{00000005-FAEB-41BC-A72B-410F1D8528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Hoja3!$G$23:$G$25</c:f>
              <c:strCache>
                <c:ptCount val="2"/>
                <c:pt idx="0">
                  <c:v>Buena</c:v>
                </c:pt>
                <c:pt idx="1">
                  <c:v>Regular</c:v>
                </c:pt>
              </c:strCache>
            </c:strRef>
          </c:cat>
          <c:val>
            <c:numRef>
              <c:f>Hoja3!$H$23:$H$25</c:f>
              <c:numCache>
                <c:formatCode>General</c:formatCode>
                <c:ptCount val="2"/>
                <c:pt idx="0">
                  <c:v>41</c:v>
                </c:pt>
                <c:pt idx="1">
                  <c:v>5</c:v>
                </c:pt>
              </c:numCache>
            </c:numRef>
          </c:val>
          <c:extLst>
            <c:ext xmlns:c16="http://schemas.microsoft.com/office/drawing/2014/chart" uri="{C3380CC4-5D6E-409C-BE32-E72D297353CC}">
              <c16:uniqueId val="{00000000-1B9A-4FBF-8D96-295AE37180EE}"/>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[ENCUESTAS.xlsx]Hoja3!TablaDinámica2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3"/>
          </a:solidFill>
          <a:ln>
            <a:solidFill>
              <a:schemeClr val="accent3"/>
            </a:solidFill>
          </a:ln>
          <a:effectLst/>
        </c:spPr>
      </c:pivotFmt>
      <c:pivotFmt>
        <c:idx val="10"/>
        <c:spPr>
          <a:solidFill>
            <a:schemeClr val="accent1"/>
          </a:solidFill>
          <a:ln>
            <a:noFill/>
          </a:ln>
          <a:effectLst/>
        </c:spPr>
      </c:pivotFmt>
      <c:pivotFmt>
        <c:idx val="11"/>
        <c:spPr>
          <a:solidFill>
            <a:schemeClr val="accent1"/>
          </a:solidFill>
          <a:ln>
            <a:solidFill>
              <a:schemeClr val="accent1"/>
            </a:solidFill>
          </a:ln>
          <a:effectLst/>
        </c:spPr>
      </c:pivotFmt>
      <c:pivotFmt>
        <c:idx val="12"/>
        <c:spPr>
          <a:solidFill>
            <a:schemeClr val="accent1"/>
          </a:solidFill>
          <a:ln>
            <a:solidFill>
              <a:schemeClr val="accent1"/>
            </a:solidFill>
          </a:ln>
          <a:effectLst/>
        </c:spPr>
      </c:pivotFmt>
    </c:pivotFmts>
    <c:plotArea>
      <c:layout/>
      <c:pieChart>
        <c:varyColors val="1"/>
        <c:ser>
          <c:idx val="0"/>
          <c:order val="0"/>
          <c:tx>
            <c:strRef>
              <c:f>Hoja3!$B$22</c:f>
              <c:strCache>
                <c:ptCount val="1"/>
                <c:pt idx="0">
                  <c:v>Total</c:v>
                </c:pt>
              </c:strCache>
            </c:strRef>
          </c:tx>
          <c:spPr>
            <a:ln>
              <a:solidFill>
                <a:schemeClr val="accent1"/>
              </a:solidFill>
            </a:ln>
          </c:spPr>
          <c:dPt>
            <c:idx val="0"/>
            <c:bubble3D val="0"/>
            <c:spPr>
              <a:solidFill>
                <a:schemeClr val="accent1"/>
              </a:solidFill>
              <a:ln>
                <a:noFill/>
              </a:ln>
              <a:effectLst/>
            </c:spPr>
            <c:extLst>
              <c:ext xmlns:c16="http://schemas.microsoft.com/office/drawing/2014/chart" uri="{C3380CC4-5D6E-409C-BE32-E72D297353CC}">
                <c16:uniqueId val="{00000001-1F3E-4669-A995-DEEBFD6049BF}"/>
              </c:ext>
            </c:extLst>
          </c:dPt>
          <c:dPt>
            <c:idx val="1"/>
            <c:bubble3D val="0"/>
            <c:spPr>
              <a:solidFill>
                <a:schemeClr val="accent2"/>
              </a:solidFill>
              <a:ln>
                <a:noFill/>
              </a:ln>
              <a:effectLst/>
            </c:spPr>
            <c:extLst>
              <c:ext xmlns:c16="http://schemas.microsoft.com/office/drawing/2014/chart" uri="{C3380CC4-5D6E-409C-BE32-E72D297353CC}">
                <c16:uniqueId val="{00000003-1F3E-4669-A995-DEEBFD6049BF}"/>
              </c:ext>
            </c:extLst>
          </c:dPt>
          <c:dPt>
            <c:idx val="2"/>
            <c:bubble3D val="0"/>
            <c:spPr>
              <a:solidFill>
                <a:schemeClr val="accent3"/>
              </a:solidFill>
              <a:ln>
                <a:solidFill>
                  <a:schemeClr val="accent1"/>
                </a:solidFill>
              </a:ln>
              <a:effectLst/>
            </c:spPr>
            <c:extLst>
              <c:ext xmlns:c16="http://schemas.microsoft.com/office/drawing/2014/chart" uri="{C3380CC4-5D6E-409C-BE32-E72D297353CC}">
                <c16:uniqueId val="{00000005-1F3E-4669-A995-DEEBFD6049BF}"/>
              </c:ext>
            </c:extLst>
          </c:dPt>
          <c:dPt>
            <c:idx val="3"/>
            <c:bubble3D val="0"/>
            <c:spPr>
              <a:solidFill>
                <a:schemeClr val="accent4"/>
              </a:solidFill>
              <a:ln>
                <a:solidFill>
                  <a:schemeClr val="accent1"/>
                </a:solidFill>
              </a:ln>
              <a:effectLst/>
            </c:spPr>
            <c:extLst>
              <c:ext xmlns:c16="http://schemas.microsoft.com/office/drawing/2014/chart" uri="{C3380CC4-5D6E-409C-BE32-E72D297353CC}">
                <c16:uniqueId val="{00000007-1F3E-4669-A995-DEEBFD6049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Hoja3!$A$23:$A$25</c:f>
              <c:strCache>
                <c:ptCount val="2"/>
                <c:pt idx="0">
                  <c:v>Bueno</c:v>
                </c:pt>
                <c:pt idx="1">
                  <c:v>Malo</c:v>
                </c:pt>
              </c:strCache>
            </c:strRef>
          </c:cat>
          <c:val>
            <c:numRef>
              <c:f>Hoja3!$B$23:$B$25</c:f>
              <c:numCache>
                <c:formatCode>General</c:formatCode>
                <c:ptCount val="2"/>
                <c:pt idx="0">
                  <c:v>41</c:v>
                </c:pt>
                <c:pt idx="1">
                  <c:v>5</c:v>
                </c:pt>
              </c:numCache>
            </c:numRef>
          </c:val>
          <c:extLst>
            <c:ext xmlns:c16="http://schemas.microsoft.com/office/drawing/2014/chart" uri="{C3380CC4-5D6E-409C-BE32-E72D297353CC}">
              <c16:uniqueId val="{00000008-1F3E-4669-A995-DEEBFD6049BF}"/>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561975</xdr:colOff>
      <xdr:row>0</xdr:row>
      <xdr:rowOff>0</xdr:rowOff>
    </xdr:from>
    <xdr:to>
      <xdr:col>11</xdr:col>
      <xdr:colOff>390525</xdr:colOff>
      <xdr:row>18</xdr:row>
      <xdr:rowOff>152401</xdr:rowOff>
    </xdr:to>
    <xdr:graphicFrame macro="">
      <xdr:nvGraphicFramePr>
        <xdr:cNvPr id="2" name="Gráfico 1">
          <a:extLst>
            <a:ext uri="{FF2B5EF4-FFF2-40B4-BE49-F238E27FC236}">
              <a16:creationId xmlns:a16="http://schemas.microsoft.com/office/drawing/2014/main" id="{D28E18E8-A1F1-0BAC-FC92-F2CAA74AF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9525</xdr:rowOff>
    </xdr:from>
    <xdr:to>
      <xdr:col>5</xdr:col>
      <xdr:colOff>514349</xdr:colOff>
      <xdr:row>19</xdr:row>
      <xdr:rowOff>0</xdr:rowOff>
    </xdr:to>
    <xdr:graphicFrame macro="">
      <xdr:nvGraphicFramePr>
        <xdr:cNvPr id="3" name="Gráfico 2">
          <a:extLst>
            <a:ext uri="{FF2B5EF4-FFF2-40B4-BE49-F238E27FC236}">
              <a16:creationId xmlns:a16="http://schemas.microsoft.com/office/drawing/2014/main" id="{29817B35-D0F9-437F-8764-33ECE56C3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ca" refreshedDate="46044.371982407407" createdVersion="8" refreshedVersion="8" minRefreshableVersion="3" recordCount="1076" xr:uid="{2CDBD71F-5DE8-4FAA-B1F6-72621F9691A2}">
  <cacheSource type="worksheet">
    <worksheetSource ref="A1:O1073" sheet="Hoja 1"/>
  </cacheSource>
  <cacheFields count="15">
    <cacheField name="FECHA" numFmtId="0">
      <sharedItems containsSemiMixedTypes="0" containsNonDate="0" containsDate="1" containsString="0" minDate="2025-09-15T00:00:00" maxDate="2026-01-22T00:00:00"/>
    </cacheField>
    <cacheField name="MES" numFmtId="0">
      <sharedItems containsDate="1" containsBlank="1" containsMixedTypes="1" minDate="1899-12-31T04:01:03" maxDate="1899-12-30T18:50:05" count="1061">
        <n v="1"/>
        <n v="12"/>
        <n v="11"/>
        <n v="10"/>
        <n v="9"/>
        <n v="8" u="1"/>
        <m u="1"/>
        <s v="T12:20:15-05:00" u="1"/>
        <s v="T11:57:17-05:00" u="1"/>
        <s v="T11:46:48-05:00" u="1"/>
        <s v="T11:34:37-05:00" u="1"/>
        <s v="T10:38:30-05:00" u="1"/>
        <s v="T10:04:21-05:00" u="1"/>
        <s v="T10:03:02-05:00" u="1"/>
        <s v="T10:02:38-05:00" u="1"/>
        <s v="T09:52:53-05:00" u="1"/>
        <s v="T09:31:25-05:00" u="1"/>
        <s v="T09:20:07-05:00" u="1"/>
        <s v="T16:59:19-05:00" u="1"/>
        <s v="T16:40:06-05:00" u="1"/>
        <s v="T16:03:43-05:00" u="1"/>
        <s v="T15:32:10-05:00" u="1"/>
        <s v="T15:19:31-05:00" u="1"/>
        <s v="T14:30:11-05:00" u="1"/>
        <s v="T14:22:07-05:00" u="1"/>
        <s v="T13:36:05-05:00" u="1"/>
        <s v="T12:31:47-05:00" u="1"/>
        <s v="T10:15:47-05:00" u="1"/>
        <s v="T09:52:17-05:00" u="1"/>
        <s v="T09:00:03-05:00" u="1"/>
        <s v="T09:00:00-05:00" u="1"/>
        <s v="T16:13:11-05:00" u="1"/>
        <s v="T16:00:20-05:00" u="1"/>
        <s v="T15:21:36-05:00" u="1"/>
        <s v="T14:31:33-05:00" u="1"/>
        <s v="T13:43:48-05:00" u="1"/>
        <s v="T11:40:39-05:00" u="1"/>
        <s v="T10:25:14-05:00" u="1"/>
        <s v="T09:51:44-05:00" u="1"/>
        <s v="T09:45:39-05:00" u="1"/>
        <s v="T09:00:02-05:00" u="1"/>
        <s v="T16:58:57-05:00" u="1"/>
        <s v="T16:45:32-05:00" u="1"/>
        <s v="T16:08:44-05:00" u="1"/>
        <s v="T15:56:19-05:00" u="1"/>
        <s v="T15:10:03-05:00" u="1"/>
        <s v="T14:28:47-05:00" u="1"/>
        <s v="T13:43:07-05:00" u="1"/>
        <s v="T13:26:23-05:00" u="1"/>
        <s v="T13:12:29-05:00" u="1"/>
        <s v="T12:26:47-05:00" u="1"/>
        <s v="T12:23:41-05:00" u="1"/>
        <s v="T16:47:44-05:00" u="1"/>
        <s v="T16:16:25-05:00" u="1"/>
        <s v="T15:55:06-05:00" u="1"/>
        <s v="T15:52:34-05:00" u="1"/>
        <s v="T15:38:50-05:00" u="1"/>
        <s v="T15:30:30-05:00" u="1"/>
        <s v="T15:24:23-05:00" u="1"/>
        <s v="T14:38:19-05:00" u="1"/>
        <s v="T14:17:53-05:00" u="1"/>
        <s v="T13:54:42-05:00" u="1"/>
        <s v="T13:40:21-05:00" u="1"/>
        <s v="T13:39:25-05:00" u="1"/>
        <s v="T13:24:13-05:00" u="1"/>
        <s v="T13:14:54-05:00" u="1"/>
        <s v="T12:45:12-05:00" u="1"/>
        <s v="T11:53:28-05:00" u="1"/>
        <s v="T11:51:10-05:00" u="1"/>
        <s v="T11:50:46-05:00" u="1"/>
        <s v="T11:50:24-05:00" u="1"/>
        <s v="T11:04:56-05:00" u="1"/>
        <s v="T09:53:58-05:00" u="1"/>
        <s v="T09:52:58-05:00" u="1"/>
        <s v="T09:21:06-05:00" u="1"/>
        <s v="T09:00:01-05:00" u="1"/>
        <s v="T16:51:46-05:00" u="1"/>
        <s v="T16:16:56-05:00" u="1"/>
        <s v="T16:12:11-05:00" u="1"/>
        <s v="T16:10:59-05:00" u="1"/>
        <s v="T16:10:19-05:00" u="1"/>
        <s v="T15:59:08-05:00" u="1"/>
        <s v="T15:53:35-05:00" u="1"/>
        <s v="T15:50:28-05:00" u="1"/>
        <s v="T14:42:01-05:00" u="1"/>
        <s v="T14:20:06-05:00" u="1"/>
        <s v="T13:59:01-05:00" u="1"/>
        <s v="T13:42:10-05:00" u="1"/>
        <s v="T13:19:11-05:00" u="1"/>
        <s v="T11:28:32-05:00" u="1"/>
        <s v="T11:11:35-05:00" u="1"/>
        <s v="T10:58:21-05:00" u="1"/>
        <s v="T10:53:45-05:00" u="1"/>
        <s v="T10:36:35-05:00" u="1"/>
        <s v="T09:43:20-05:00" u="1"/>
        <s v="T13:00:14-05:00" u="1"/>
        <s v="T12:47:06-05:00" u="1"/>
        <s v="T12:46:42-05:00" u="1"/>
        <s v="T12:26:03-05:00" u="1"/>
        <s v="T12:22:05-05:00" u="1"/>
        <s v="T12:05:41-05:00" u="1"/>
        <s v="T11:49:15-05:00" u="1"/>
        <s v="T11:43:12-05:00" u="1"/>
        <s v="T10:46:30-05:00" u="1"/>
        <s v="T10:25:28-05:00" u="1"/>
        <s v="T10:04:15-05:00" u="1"/>
        <s v="T09:21:16-05:00" u="1"/>
        <s v="T16:51:33-05:00" u="1"/>
        <s v="T16:25:10-05:00" u="1"/>
        <s v="T16:22:55-05:00" u="1"/>
        <s v="T16:18:13-05:00" u="1"/>
        <s v="T16:06:55-05:00" u="1"/>
        <s v="T14:39:05-05:00" u="1"/>
        <s v="T13:59:34-05:00" u="1"/>
        <s v="T13:40:25-05:00" u="1"/>
        <s v="T13:36:09-05:00" u="1"/>
        <s v="T11:58:42-05:00" u="1"/>
        <s v="T11:46:10-05:00" u="1"/>
        <s v="T11:03:28-05:00" u="1"/>
        <s v="T09:27:57-05:00" u="1"/>
        <s v="T09:00:07-05:00" u="1"/>
        <s v="T16:45:39-05:00" u="1"/>
        <s v="T15:59:18-05:00" u="1"/>
        <s v="T15:19:30-05:00" u="1"/>
        <s v="T14:22:00-05:00" u="1"/>
        <s v="T14:01:30-05:00" u="1"/>
        <s v="T13:38:23-05:00" u="1"/>
        <s v="T13:37:56-05:00" u="1"/>
        <s v="T13:27:26-05:00" u="1"/>
        <s v="T13:13:16-05:00" u="1"/>
        <s v="T12:22:58-05:00" u="1"/>
        <s v="T12:19:14-05:00" u="1"/>
        <s v="T12:07:53-05:00" u="1"/>
        <s v="T11:57:44-05:00" u="1"/>
        <s v="T11:37:37-05:00" u="1"/>
        <s v="T11:18:38-05:00" u="1"/>
        <s v="T09:00:04-05:00" u="1"/>
        <s v="T14:03:27-05:00" u="1"/>
        <s v="T12:17:19-05:00" u="1"/>
        <s v="T12:13:46-05:00" u="1"/>
        <s v="T10:11:20-05:00" u="1"/>
        <s v="T16:44:32-05:00" u="1"/>
        <s v="T16:39:39-05:00" u="1"/>
        <s v="T16:34:17-05:00" u="1"/>
        <s v="T16:34:07-05:00" u="1"/>
        <s v="T14:46:26-05:00" u="1"/>
        <s v="T14:25:02-05:00" u="1"/>
        <s v="T14:21:48-05:00" u="1"/>
        <s v="T13:54:40-05:00" u="1"/>
        <s v="T13:06:41-05:00" u="1"/>
        <s v="T13:04:25-05:00" u="1"/>
        <s v="T12:57:46-05:00" u="1"/>
        <s v="T11:19:20-05:00" u="1"/>
        <s v="T10:26:04-05:00" u="1"/>
        <s v="T09:53:12-05:00" u="1"/>
        <s v="T09:00:06-05:00" u="1"/>
        <s v="T13:23:13-05:00" u="1"/>
        <s v="T12:57:13-05:00" u="1"/>
        <s v="T12:41:21-05:00" u="1"/>
        <s v="T12:28:57-05:00" u="1"/>
        <s v="T12:13:03-05:00" u="1"/>
        <s v="T12:08:17-05:00" u="1"/>
        <s v="T11:59:04-05:00" u="1"/>
        <s v="T11:54:21-05:00" u="1"/>
        <s v="T11:46:09-05:00" u="1"/>
        <s v="T11:43:52-05:00" u="1"/>
        <s v="T11:21:42-05:00" u="1"/>
        <s v="T10:35:16-05:00" u="1"/>
        <s v="T10:33:54-05:00" u="1"/>
        <s v="T09:46:42-05:00" u="1"/>
        <s v="T16:40:07-05:00" u="1"/>
        <s v="T16:33:44-05:00" u="1"/>
        <s v="T15:35:34-05:00" u="1"/>
        <s v="T15:30:42-05:00" u="1"/>
        <s v="T15:11:51-05:00" u="1"/>
        <s v="T15:02:35-05:00" u="1"/>
        <s v="T13:12:56-05:00" u="1"/>
        <s v="T12:42:13-05:00" u="1"/>
        <s v="T12:36:57-05:00" u="1"/>
        <s v="T11:46:50-05:00" u="1"/>
        <s v="T11:45:55-05:00" u="1"/>
        <s v="T11:32:39-05:00" u="1"/>
        <s v="T11:26:51-05:00" u="1"/>
        <s v="T09:58:42-05:00" u="1"/>
        <s v="T09:14:50-05:00" u="1"/>
        <s v="T09:13:53-05:00" u="1"/>
        <s v="T16:58:08-05:00" u="1"/>
        <s v="T16:50:40-05:00" u="1"/>
        <s v="T16:45:57-05:00" u="1"/>
        <s v="T15:06:13-05:00" u="1"/>
        <s v="T15:00:06-05:00" u="1"/>
        <s v="T14:54:16-05:00" u="1"/>
        <s v="T14:45:35-05:00" u="1"/>
        <s v="T14:11:23-05:00" u="1"/>
        <s v="T13:02:23-05:00" u="1"/>
        <s v="T12:11:15-05:00" u="1"/>
        <s v="T12:08:47-05:00" u="1"/>
        <s v="T11:19:53-05:00" u="1"/>
        <s v="T11:00:11-05:00" u="1"/>
        <s v="T10:20:33-05:00" u="1"/>
        <s v="T16:52:01-05:00" u="1"/>
        <s v="T16:47:51-05:00" u="1"/>
        <s v="T16:47:11-05:00" u="1"/>
        <s v="T16:35:51-05:00" u="1"/>
        <s v="T14:29:03-05:00" u="1"/>
        <s v="T14:04:20-05:00" u="1"/>
        <s v="T13:38:57-05:00" u="1"/>
        <s v="T12:52:58-05:00" u="1"/>
        <s v="T12:51:49-05:00" u="1"/>
        <s v="T12:43:14-05:00" u="1"/>
        <s v="T12:07:50-05:00" u="1"/>
        <s v="T11:43:10-05:00" u="1"/>
        <s v="T11:05:13-05:00" u="1"/>
        <s v="T10:29:44-05:00" u="1"/>
        <s v="T10:03:33-05:00" u="1"/>
        <s v="T16:42:59-05:00" u="1"/>
        <s v="T15:37:54-05:00" u="1"/>
        <s v="T15:21:55-05:00" u="1"/>
        <s v="T15:12:13-05:00" u="1"/>
        <s v="T13:38:05-05:00" u="1"/>
        <s v="T13:35:51-05:00" u="1"/>
        <s v="T13:15:19-05:00" u="1"/>
        <s v="T13:12:36-05:00" u="1"/>
        <s v="T12:36:06-05:00" u="1"/>
        <s v="T10:19:12-05:00" u="1"/>
        <s v="T10:16:55-05:00" u="1"/>
        <s v="T09:27:59-05:00" u="1"/>
        <s v="T16:48:50-05:00" u="1"/>
        <s v="T15:30:34-05:00" u="1"/>
        <s v="T15:22:29-05:00" u="1"/>
        <s v="T13:44:28-05:00" u="1"/>
        <s v="T12:36:52-05:00" u="1"/>
        <s v="T11:27:04-05:00" u="1"/>
        <s v="T10:28:21-05:00" u="1"/>
        <s v="T09:40:41-05:00" u="1"/>
        <s v="T13:11:28-05:00" u="1"/>
        <s v="T13:03:05-05:00" u="1"/>
        <s v="T12:45:48-05:00" u="1"/>
        <s v="T12:25:39-05:00" u="1"/>
        <s v="T12:17:36-05:00" u="1"/>
        <s v="T10:48:28-05:00" u="1"/>
        <s v="T09:28:52-05:00" u="1"/>
        <s v="T09:17:18-05:00" u="1"/>
        <s v="T09:15:46-05:00" u="1"/>
        <s v="T16:58:44-05:00" u="1"/>
        <s v="T16:58:36-05:00" u="1"/>
        <s v="T16:48:52-05:00" u="1"/>
        <s v="T16:16:01-05:00" u="1"/>
        <s v="T16:03:48-05:00" u="1"/>
        <s v="T15:41:17-05:00" u="1"/>
        <s v="T14:49:39-05:00" u="1"/>
        <s v="T14:23:38-05:00" u="1"/>
        <s v="T14:09:05-05:00" u="1"/>
        <s v="T14:01:06-05:00" u="1"/>
        <s v="T13:45:59-05:00" u="1"/>
        <s v="T13:31:03-05:00" u="1"/>
        <s v="T13:25:15-05:00" u="1"/>
        <s v="T13:23:10-05:00" u="1"/>
        <s v="T16:54:50-05:00" u="1"/>
        <s v="T16:29:16-05:00" u="1"/>
        <s v="T16:17:13-05:00" u="1"/>
        <s v="T16:15:47-05:00" u="1"/>
        <s v="T14:58:50-05:00" u="1"/>
        <s v="T14:53:39-05:00" u="1"/>
        <s v="T14:49:29-05:00" u="1"/>
        <s v="T14:23:56-05:00" u="1"/>
        <s v="T14:04:02-05:00" u="1"/>
        <s v="T13:39:19-05:00" u="1"/>
        <s v="T13:32:12-05:00" u="1"/>
        <s v="T13:28:29-05:00" u="1"/>
        <s v="T13:18:33-05:00" u="1"/>
        <s v="T12:41:12-05:00" u="1"/>
        <s v="T12:40:00-05:00" u="1"/>
        <s v="T12:11:06-05:00" u="1"/>
        <s v="T11:33:35-05:00" u="1"/>
        <s v="T10:46:24-05:00" u="1"/>
        <s v="T10:39:52-05:00" u="1"/>
        <s v="T16:59:12-05:00" u="1"/>
        <s v="T16:42:40-05:00" u="1"/>
        <s v="T16:41:13-05:00" u="1"/>
        <s v="T15:43:24-05:00" u="1"/>
        <s v="T14:35:52-05:00" u="1"/>
        <s v="T13:52:29-05:00" u="1"/>
        <s v="T12:58:45-05:00" u="1"/>
        <s v="T12:50:04-05:00" u="1"/>
        <s v="T10:28:57-05:00" u="1"/>
        <s v="T13:59:58-05:00" u="1"/>
        <s v="T13:11:27-05:00" u="1"/>
        <s v="T12:45:56-05:00" u="1"/>
        <s v="T11:26:22-05:00" u="1"/>
        <s v="T11:24:05-05:00" u="1"/>
        <s v="T11:23:10-05:00" u="1"/>
        <s v="T10:50:04-05:00" u="1"/>
        <s v="T10:23:40-05:00" u="1"/>
        <s v="T09:23:31-05:00" u="1"/>
        <s v="T16:46:22-05:00" u="1"/>
        <s v="T16:29:39-05:00" u="1"/>
        <s v="T15:48:29-05:00" u="1"/>
        <s v="T15:13:38-05:00" u="1"/>
        <s v="T14:11:55-05:00" u="1"/>
        <s v="T14:04:15-05:00" u="1"/>
        <s v="T12:33:53-05:00" u="1"/>
        <s v="T11:39:23-05:00" u="1"/>
        <s v="T11:25:40-05:00" u="1"/>
        <s v="T10:38:18-05:00" u="1"/>
        <s v="T09:17:47-05:00" u="1"/>
        <s v="T09:00:23-05:00" u="1"/>
        <s v="T09:00:15-05:00" u="1"/>
        <s v="T16:54:27-05:00" u="1"/>
        <s v="T16:45:45-05:00" u="1"/>
        <s v="T16:45:18-05:00" u="1"/>
        <s v="T14:48:12-05:00" u="1"/>
        <s v="T14:07:18-05:00" u="1"/>
        <s v="T13:24:18-05:00" u="1"/>
        <s v="T13:13:19-05:00" u="1"/>
        <s v="T12:49:49-05:00" u="1"/>
        <s v="T12:41:18-05:00" u="1"/>
        <s v="T12:10:55-05:00" u="1"/>
        <s v="T10:54:43-05:00" u="1"/>
        <s v="T10:47:08-05:00" u="1"/>
        <s v="T16:26:59-05:00" u="1"/>
        <s v="T15:30:05-05:00" u="1"/>
        <s v="T15:08:01-05:00" u="1"/>
        <s v="T14:37:27-05:00" u="1"/>
        <s v="T14:00:01-05:00" u="1"/>
        <s v="T13:23:53-05:00" u="1"/>
        <s v="T12:58:12-05:00" u="1"/>
        <s v="T12:43:07-05:00" u="1"/>
        <s v="T12:41:09-05:00" u="1"/>
        <s v="T09:00:20-05:00" u="1"/>
        <s v="T16:46:29-05:00" u="1"/>
        <s v="T16:43:41-05:00" u="1"/>
        <s v="T16:38:05-05:00" u="1"/>
        <s v="T16:19:04-05:00" u="1"/>
        <s v="T16:14:25-05:00" u="1"/>
        <s v="T15:35:52-05:00" u="1"/>
        <s v="T14:53:51-05:00" u="1"/>
        <s v="T13:17:48-05:00" u="1"/>
        <s v="T13:12:07-05:00" u="1"/>
        <s v="T13:04:59-05:00" u="1"/>
        <s v="T09:00:40-05:00" u="1"/>
        <s v="T16:48:29-05:00" u="1"/>
        <s v="T16:47:42-05:00" u="1"/>
        <s v="T16:14:21-05:00" u="1"/>
        <s v="T16:08:46-05:00" u="1"/>
        <s v="T15:13:28-05:00" u="1"/>
        <s v="T14:53:19-05:00" u="1"/>
        <s v="T13:32:03-05:00" u="1"/>
        <s v="T12:12:29-05:00" u="1"/>
        <s v="T11:45:02-05:00" u="1"/>
        <s v="T11:35:57-05:00" u="1"/>
        <s v="T09:39:48-05:00" u="1"/>
        <s v="T13:17:55-05:00" u="1"/>
        <s v="T13:00:42-05:00" u="1"/>
        <s v="T12:20:27-05:00" u="1"/>
        <s v="T11:02:45-05:00" u="1"/>
        <s v="T11:01:49-05:00" u="1"/>
        <s v="T10:45:39-05:00" u="1"/>
        <s v="T09:40:59-05:00" u="1"/>
        <s v="T09:28:29-05:00" u="1"/>
        <s v="T09:09:27-05:00" u="1"/>
        <s v="T16:56:43-05:00" u="1"/>
        <s v="T16:53:44-05:00" u="1"/>
        <s v="T16:24:32-05:00" u="1"/>
        <s v="T16:16:50-05:00" u="1"/>
        <s v="T16:05:23-05:00" u="1"/>
        <s v="T14:38:36-05:00" u="1"/>
        <s v="T13:50:46-05:00" u="1"/>
        <s v="T13:38:16-05:00" u="1"/>
        <s v="T13:30:21-05:00" u="1"/>
        <s v="T11:53:54-05:00" u="1"/>
        <s v="T11:39:17-05:00" u="1"/>
        <s v="T11:36:02-05:00" u="1"/>
        <s v="T11:11:21-05:00" u="1"/>
        <s v="T10:38:16-05:00" u="1"/>
        <s v="T10:18:49-05:00" u="1"/>
        <s v="T16:36:47-05:00" u="1"/>
        <s v="T16:04:47-05:00" u="1"/>
        <s v="T16:07:51-05:00" u="1"/>
        <s v="T15:01:47-05:00" u="1"/>
        <s v="T13:07:56-05:00" u="1"/>
        <s v="T18:28:21-05:00" u="1"/>
        <d v="1899-12-30T13:57:16" u="1"/>
        <d v="1899-12-30T13:41:25" u="1"/>
        <d v="1899-12-30T12:45:45" u="1"/>
        <d v="1899-12-30T10:00:08" u="1"/>
        <d v="1899-12-30T10:00:07" u="1"/>
        <d v="1899-12-30T10:00:06" u="1"/>
        <d v="1899-12-30T10:00:03" u="1"/>
        <d v="1899-12-30T10:00:02" u="1"/>
        <d v="1899-12-30T10:00:00" u="1"/>
        <d v="1899-12-30T17:14:53" u="1"/>
        <d v="1899-12-30T16:23:54" u="1"/>
        <d v="1899-12-30T16:16:11" u="1"/>
        <d v="1899-12-30T15:38:02" u="1"/>
        <d v="1899-12-30T15:30:58" u="1"/>
        <d v="1899-12-30T14:56:52" u="1"/>
        <d v="1899-12-30T14:08:27" u="1"/>
        <d v="1899-12-30T13:24:47" u="1"/>
        <d v="1899-12-30T11:52:16" u="1"/>
        <d v="1899-12-30T11:29:57" u="1"/>
        <d v="1899-12-30T11:19:20" u="1"/>
        <d v="1899-12-30T08:59:11" u="1"/>
        <d v="1899-12-30T12:58:26" u="1"/>
        <d v="1899-12-30T12:31:34" u="1"/>
        <d v="1899-12-30T12:24:09" u="1"/>
        <d v="1899-12-30T11:30:45" u="1"/>
        <d v="1899-12-30T11:24:27" u="1"/>
        <d v="1899-12-30T11:13:46" u="1"/>
        <d v="1899-12-30T10:43:36" u="1"/>
        <d v="1899-12-30T09:57:42" u="1"/>
        <d v="1899-12-30T09:29:13" u="1"/>
        <d v="1899-12-30T16:52:55" u="1"/>
        <d v="1899-12-30T16:50:16" u="1"/>
        <d v="1899-12-30T16:44:41" u="1"/>
        <d v="1899-12-30T16:25:36" u="1"/>
        <d v="1899-12-30T16:03:14" u="1"/>
        <d v="1899-12-30T15:30:04" u="1"/>
        <d v="1899-12-30T14:47:42" u="1"/>
        <d v="1899-12-30T14:47:05" u="1"/>
        <d v="1899-12-30T13:21:24" u="1"/>
        <d v="1899-12-30T10:26:05" u="1"/>
        <d v="1899-12-30T09:41:25" u="1"/>
        <d v="1899-12-30T09:04:02" u="1"/>
        <d v="1899-12-30T16:56:32" u="1"/>
        <d v="1899-12-30T16:37:13" u="1"/>
        <d v="1899-12-30T16:14:18" u="1"/>
        <d v="1899-12-30T15:47:06" u="1"/>
        <d v="1899-12-30T15:45:31" u="1"/>
        <d v="1899-12-30T15:45:10" u="1"/>
        <d v="1899-12-30T15:05:24" u="1"/>
        <d v="1899-12-30T12:44:03" u="1"/>
        <d v="1899-12-30T12:17:58" u="1"/>
        <d v="1899-12-30T11:17:21" u="1"/>
        <d v="1899-12-30T10:30:22" u="1"/>
        <d v="1899-12-30T08:41:11" u="1"/>
        <d v="1899-12-30T17:09:59" u="1"/>
        <d v="1899-12-30T16:35:29" u="1"/>
        <d v="1899-12-30T16:05:08" u="1"/>
        <d v="1899-12-30T15:27:14" u="1"/>
        <d v="1899-12-30T14:07:59" u="1"/>
        <d v="1899-12-30T14:01:09" u="1"/>
        <d v="1899-12-30T11:23:40" u="1"/>
        <d v="1899-12-30T10:30:48" u="1"/>
        <d v="1899-12-30T17:07:23" u="1"/>
        <d v="1899-12-30T17:07:00" u="1"/>
        <d v="1899-12-30T17:01:21" u="1"/>
        <d v="1899-12-30T16:45:03" u="1"/>
        <d v="1899-12-30T16:06:22" u="1"/>
        <d v="1899-12-30T15:35:45" u="1"/>
        <d v="1899-12-30T14:02:48" u="1"/>
        <d v="1899-12-30T13:38:25" u="1"/>
        <d v="1899-12-30T13:10:14" u="1"/>
        <d v="1899-12-30T12:35:35" u="1"/>
        <d v="1899-12-30T12:30:24" u="1"/>
        <d v="1899-12-30T12:14:33" u="1"/>
        <d v="1899-12-30T11:34:13" u="1"/>
        <d v="1899-12-30T10:06:20" u="1"/>
        <d v="1899-12-30T09:10:22" u="1"/>
        <d v="1899-12-30T17:03:11" u="1"/>
        <d v="1899-12-30T15:52:14" u="1"/>
        <d v="1899-12-30T15:50:07" u="1"/>
        <d v="1899-12-30T15:39:59" u="1"/>
        <d v="1899-12-30T14:19:18" u="1"/>
        <d v="1899-12-30T13:28:11" u="1"/>
        <d v="1899-12-30T13:22:12" u="1"/>
        <d v="1899-12-30T13:19:55" u="1"/>
        <d v="1899-12-30T12:41:46" u="1"/>
        <d v="1899-12-30T13:01:36" u="1"/>
        <d v="1899-12-30T12:57:14" u="1"/>
        <d v="1899-12-30T12:42:02" u="1"/>
        <d v="1899-12-30T12:10:12" u="1"/>
        <d v="1899-12-30T12:03:20" u="1"/>
        <d v="1899-12-30T11:18:05" u="1"/>
        <d v="1899-12-30T11:17:31" u="1"/>
        <d v="1899-12-30T11:06:06" u="1"/>
        <d v="1899-12-30T10:59:50" u="1"/>
        <d v="1899-12-30T10:57:59" u="1"/>
        <d v="1899-12-30T10:53:38" u="1"/>
        <d v="1899-12-30T10:46:55" u="1"/>
        <d v="1899-12-30T17:10:33" u="1"/>
        <d v="1899-12-30T16:24:19" u="1"/>
        <d v="1899-12-30T16:23:46" u="1"/>
        <d v="1899-12-30T14:22:49" u="1"/>
        <d v="1899-12-30T13:42:09" u="1"/>
        <d v="1899-12-30T13:18:58" u="1"/>
        <d v="1899-12-30T11:37:51" u="1"/>
        <d v="1899-12-30T10:33:49" u="1"/>
        <d v="1899-12-30T10:20:44" u="1"/>
        <d v="1899-12-30T09:47:01" u="1"/>
        <d v="1899-12-30T09:37:59" u="1"/>
        <d v="1899-12-30T17:09:18" u="1"/>
        <d v="1899-12-30T16:47:00" u="1"/>
        <d v="1899-12-30T16:39:29" u="1"/>
        <d v="1899-12-30T16:03:02" u="1"/>
        <d v="1899-12-30T14:03:55" u="1"/>
        <d v="1899-12-30T11:02:16" u="1"/>
        <d v="1899-12-30T10:35:35" u="1"/>
        <d v="1899-12-30T17:12:33" u="1"/>
        <d v="1899-12-30T16:13:21" u="1"/>
        <d v="1899-12-30T15:59:39" u="1"/>
        <d v="1899-12-30T15:30:56" u="1"/>
        <d v="1899-12-30T14:59:01" u="1"/>
        <d v="1899-12-30T13:28:26" u="1"/>
        <d v="1899-12-30T13:06:55" u="1"/>
        <d v="1899-12-30T12:09:21" u="1"/>
        <d v="1899-12-30T11:51:24" u="1"/>
        <d v="1899-12-30T11:08:15" u="1"/>
        <d v="1899-12-30T09:42:42" u="1"/>
        <d v="1899-12-30T09:35:07" u="1"/>
        <d v="1899-12-30T09:30:35" u="1"/>
        <d v="1899-12-30T09:25:12" u="1"/>
        <d v="1899-12-30T16:32:19" u="1"/>
        <d v="1899-12-30T16:15:03" u="1"/>
        <d v="1899-12-30T15:54:44" u="1"/>
        <d v="1899-12-30T12:43:17" u="1"/>
        <d v="1899-12-30T12:31:37" u="1"/>
        <d v="1899-12-30T12:24:20" u="1"/>
        <d v="1899-12-30T11:15:41" u="1"/>
        <d v="1899-12-30T10:01:32" u="1"/>
        <d v="1899-12-30T09:13:30" u="1"/>
        <d v="1899-12-30T17:09:16" u="1"/>
        <d v="1899-12-30T17:07:09" u="1"/>
        <d v="1899-12-30T16:55:04" u="1"/>
        <d v="1899-12-30T16:38:33" u="1"/>
        <d v="1899-12-30T16:35:06" u="1"/>
        <d v="1899-12-30T14:59:19" u="1"/>
        <d v="1899-12-30T14:31:56" u="1"/>
        <d v="1899-12-30T14:18:14" u="1"/>
        <d v="1899-12-30T13:39:47" u="1"/>
        <d v="1899-12-30T13:00:22" u="1"/>
        <d v="1899-12-30T11:40:44" u="1"/>
        <d v="1899-12-30T09:37:06" u="1"/>
        <d v="1899-12-30T09:23:18" u="1"/>
        <d v="1899-12-30T13:33:45" u="1"/>
        <d v="1899-12-30T13:09:11" u="1"/>
        <d v="1899-12-30T12:55:13" u="1"/>
        <d v="1899-12-30T12:15:29" u="1"/>
        <d v="1899-12-30T12:13:32" u="1"/>
        <d v="1899-12-30T11:15:42" u="1"/>
        <d v="1899-12-30T10:57:15" u="1"/>
        <d v="1899-12-30T10:51:27" u="1"/>
        <d v="1899-12-30T10:38:01" u="1"/>
        <d v="1899-12-30T10:12:13" u="1"/>
        <d v="1899-12-30T10:09:40" u="1"/>
        <d v="1899-12-30T09:48:12" u="1"/>
        <d v="1899-12-30T09:35:01" u="1"/>
        <d v="1899-12-30T09:28:02" u="1"/>
        <d v="1899-12-30T17:14:54" u="1"/>
        <d v="1899-12-30T14:55:07" u="1"/>
        <d v="1899-12-30T14:31:16" u="1"/>
        <d v="1899-12-30T14:17:16" u="1"/>
        <d v="1899-12-30T17:23:15" u="1"/>
        <d v="1899-12-30T16:24:33" u="1"/>
        <d v="1899-12-30T16:12:03" u="1"/>
        <d v="1899-12-30T16:03:29" u="1"/>
        <d v="1899-12-30T15:35:08" u="1"/>
        <d v="1899-12-30T15:24:57" u="1"/>
        <d v="1899-12-30T15:24:12" u="1"/>
        <d v="1899-12-30T15:04:41" u="1"/>
        <d v="1899-12-30T14:10:39" u="1"/>
        <d v="1899-12-30T13:56:59" u="1"/>
        <d v="1899-12-30T12:56:00" u="1"/>
        <d v="1899-12-30T12:55:55" u="1"/>
        <d v="1899-12-30T11:48:29" u="1"/>
        <d v="1899-12-30T09:56:00" u="1"/>
        <d v="1899-12-30T09:55:38" u="1"/>
        <d v="1899-12-30T09:16:08" u="1"/>
        <d v="1899-12-30T16:56:24" u="1"/>
        <d v="1899-12-30T16:16:32" u="1"/>
        <d v="1899-12-30T16:15:46" u="1"/>
        <d v="1899-12-30T16:00:58" u="1"/>
        <d v="1899-12-30T15:09:40" u="1"/>
        <d v="1899-12-30T13:49:52" u="1"/>
        <d v="1899-12-30T13:25:57" u="1"/>
        <d v="1899-12-30T13:08:16" u="1"/>
        <d v="1899-12-30T12:58:14" u="1"/>
        <d v="1899-12-30T12:42:45" u="1"/>
        <d v="1899-12-30T12:37:56" u="1"/>
        <d v="1899-12-30T11:29:00" u="1"/>
        <d v="1899-12-30T10:10:55" u="1"/>
        <d v="1899-12-30T10:04:02" u="1"/>
        <d v="1899-12-30T09:52:42" u="1"/>
        <d v="1899-12-30T08:34:30" u="1"/>
        <d v="1899-12-30T16:38:21" u="1"/>
        <d v="1899-12-30T16:30:38" u="1"/>
        <d v="1899-12-30T16:00:07" u="1"/>
        <d v="1899-12-30T14:55:59" u="1"/>
        <d v="1899-12-30T10:58:22" u="1"/>
        <d v="1899-12-30T09:01:20" u="1"/>
        <d v="1899-12-30T08:48:48" u="1"/>
        <d v="1899-12-30T17:20:45" u="1"/>
        <d v="1899-12-30T17:11:40" u="1"/>
        <d v="1899-12-30T16:51:18" u="1"/>
        <d v="1899-12-30T16:50:05" u="1"/>
        <d v="1899-12-30T16:45:15" u="1"/>
        <d v="1899-12-30T15:29:18" u="1"/>
        <d v="1899-12-30T14:25:00" u="1"/>
        <d v="1899-12-30T13:29:52" u="1"/>
        <d v="1899-12-30T12:01:26" u="1"/>
        <d v="1899-12-30T09:49:49" u="1"/>
        <d v="1899-12-30T08:57:55" u="1"/>
        <d v="1899-12-30T08:38:42" u="1"/>
        <d v="1899-12-30T13:25:51" u="1"/>
        <d v="1899-12-30T12:44:09" u="1"/>
        <d v="1899-12-30T12:33:42" u="1"/>
        <d v="1899-12-30T11:57:32" u="1"/>
        <d v="1899-12-30T11:33:02" u="1"/>
        <d v="1899-12-30T11:23:14" u="1"/>
        <d v="1899-12-30T10:54:54" u="1"/>
        <d v="1899-12-30T10:51:10" u="1"/>
        <d v="1899-12-30T09:32:10" u="1"/>
        <d v="1899-12-30T09:24:27" u="1"/>
        <d v="1899-12-30T09:08:08" u="1"/>
        <d v="1899-12-30T17:12:40" u="1"/>
        <d v="1899-12-30T17:05:49" u="1"/>
        <d v="1899-12-30T17:00:33" u="1"/>
        <d v="1899-12-30T16:40:52" u="1"/>
        <d v="1899-12-30T16:27:47" u="1"/>
        <d v="1899-12-30T16:27:05" u="1"/>
        <d v="1899-12-30T16:25:57" u="1"/>
        <d v="1899-12-30T15:43:02" u="1"/>
        <d v="1899-12-30T15:39:48" u="1"/>
        <d v="1899-12-30T15:18:23" u="1"/>
        <d v="1899-12-30T13:59:45" u="1"/>
        <d v="1899-12-30T13:52:07" u="1"/>
        <d v="1899-12-30T13:20:35" u="1"/>
        <d v="1899-12-30T12:16:16" u="1"/>
        <d v="1899-12-30T12:12:25" u="1"/>
        <d v="1899-12-30T09:54:12" u="1"/>
        <d v="1899-12-30T08:22:49" u="1"/>
        <d v="1899-12-30T17:22:07" u="1"/>
        <d v="1899-12-30T17:04:36" u="1"/>
        <d v="1899-12-30T16:55:31" u="1"/>
        <d v="1899-12-30T16:52:42" u="1"/>
        <d v="1899-12-30T16:50:00" u="1"/>
        <d v="1899-12-30T16:37:51" u="1"/>
        <d v="1899-12-30T15:18:39" u="1"/>
        <d v="1899-12-30T15:05:48" u="1"/>
        <d v="1899-12-30T14:02:23" u="1"/>
        <d v="1899-12-30T12:47:04" u="1"/>
        <d v="1899-12-30T12:14:43" u="1"/>
        <d v="1899-12-30T11:51:54" u="1"/>
        <d v="1899-12-30T11:33:41" u="1"/>
        <d v="1899-12-30T17:11:41" u="1"/>
        <d v="1899-12-30T17:06:36" u="1"/>
        <d v="1899-12-30T17:02:43" u="1"/>
        <d v="1899-12-30T16:52:03" u="1"/>
        <d v="1899-12-30T16:34:55" u="1"/>
        <d v="1899-12-30T16:30:29" u="1"/>
        <d v="1899-12-30T15:22:11" u="1"/>
        <d v="1899-12-30T15:15:56" u="1"/>
        <d v="1899-12-30T14:00:05" u="1"/>
        <d v="1899-12-30T13:51:00" u="1"/>
        <d v="1899-12-30T13:37:23" u="1"/>
        <d v="1899-12-30T11:26:28" u="1"/>
        <d v="1899-12-30T10:18:21" u="1"/>
        <d v="1899-12-30T09:24:54" u="1"/>
        <d v="1899-12-30T09:24:37" u="1"/>
        <d v="1899-12-30T08:26:16" u="1"/>
        <d v="1899-12-30T17:23:27" u="1"/>
        <d v="1899-12-30T17:19:25" u="1"/>
        <d v="1899-12-30T17:01:36" u="1"/>
        <d v="1899-12-30T16:59:21" u="1"/>
        <d v="1899-12-30T16:29:13" u="1"/>
        <d v="1899-12-30T16:17:28" u="1"/>
        <d v="1899-12-30T16:00:54" u="1"/>
        <d v="1899-12-30T14:23:21" u="1"/>
        <d v="1899-12-30T14:22:43" u="1"/>
        <d v="1899-12-30T14:19:06" u="1"/>
        <d v="1899-12-30T13:57:13" u="1"/>
        <d v="1899-12-30T13:45:22" u="1"/>
        <d v="1899-12-30T13:10:41" u="1"/>
        <d v="1899-12-30T11:45:30" u="1"/>
        <d v="1899-12-30T09:32:02" u="1"/>
        <d v="1899-12-30T09:15:34" u="1"/>
        <d v="1899-12-30T09:13:42" u="1"/>
        <d v="1899-12-30T16:56:34" u="1"/>
        <d v="1899-12-30T16:40:44" u="1"/>
        <d v="1899-12-30T16:02:59" u="1"/>
        <d v="1899-12-30T15:11:40" u="1"/>
        <d v="1899-12-30T14:39:35" u="1"/>
        <d v="1899-12-30T14:13:51" u="1"/>
        <d v="1899-12-30T11:20:03" u="1"/>
        <d v="1899-12-30T10:46:28" u="1"/>
        <d v="1899-12-30T08:32:15" u="1"/>
        <d v="1899-12-30T13:23:37" u="1"/>
        <d v="1899-12-30T13:07:05" u="1"/>
        <d v="1899-12-30T13:04:09" u="1"/>
        <d v="1899-12-30T12:35:58" u="1"/>
        <d v="1899-12-30T12:17:45" u="1"/>
        <d v="1899-12-30T11:57:01" u="1"/>
        <d v="1899-12-30T11:47:35" u="1"/>
        <d v="1899-12-30T11:46:38" u="1"/>
        <d v="1899-12-30T11:33:47" u="1"/>
        <d v="1899-12-30T10:03:24" u="1"/>
        <d v="1899-12-30T09:55:57" u="1"/>
        <d v="1899-12-30T09:22:47" u="1"/>
        <d v="1899-12-30T08:38:31" u="1"/>
        <d v="1899-12-30T16:25:19" u="1"/>
        <d v="1899-12-30T16:22:13" u="1"/>
        <d v="1899-12-30T15:59:07" u="1"/>
        <d v="1899-12-30T15:54:19" u="1"/>
        <d v="1899-12-30T15:32:30" u="1"/>
        <d v="1899-12-30T15:18:43" u="1"/>
        <d v="1899-12-30T12:08:32" u="1"/>
        <d v="1899-12-30T11:23:21" u="1"/>
        <d v="1899-12-30T09:49:30" u="1"/>
        <d v="1899-12-30T16:45:12" u="1"/>
        <d v="1899-12-30T16:35:39" u="1"/>
        <d v="1899-12-30T16:31:36" u="1"/>
        <d v="1899-12-30T16:03:10" u="1"/>
        <d v="1899-12-30T15:58:55" u="1"/>
        <d v="1899-12-30T15:53:06" u="1"/>
        <d v="1899-12-30T15:31:38" u="1"/>
        <d v="1899-12-30T15:14:39" u="1"/>
        <d v="1899-12-30T13:31:30" u="1"/>
        <d v="1899-12-30T12:51:28" u="1"/>
        <d v="1899-12-30T12:27:06" u="1"/>
        <d v="1899-12-30T12:26:20" u="1"/>
        <d v="1899-12-30T12:19:05" u="1"/>
        <d v="1899-12-30T12:11:16" u="1"/>
        <d v="1899-12-30T11:12:47" u="1"/>
        <d v="1899-12-30T10:52:07" u="1"/>
        <d v="1899-12-30T09:21:58" u="1"/>
        <d v="1899-12-30T08:41:25" u="1"/>
        <d v="1899-12-30T17:06:42" u="1"/>
        <d v="1899-12-30T15:56:00" u="1"/>
        <d v="1899-12-30T14:21:57" u="1"/>
        <d v="1899-12-30T13:57:31" u="1"/>
        <d v="1899-12-30T13:35:46" u="1"/>
        <d v="1899-12-30T13:33:55" u="1"/>
        <d v="1899-12-30T12:39:34" u="1"/>
        <d v="1899-12-30T17:24:48" u="1"/>
        <d v="1899-12-30T17:01:12" u="1"/>
        <d v="1899-12-30T16:58:55" u="1"/>
        <d v="1899-12-30T16:52:43" u="1"/>
        <d v="1899-12-30T16:34:49" u="1"/>
        <d v="1899-12-30T16:17:35" u="1"/>
        <d v="1899-12-30T16:15:40" u="1"/>
        <d v="1899-12-30T15:56:10" u="1"/>
        <d v="1899-12-30T14:44:55" u="1"/>
        <d v="1899-12-30T14:43:41" u="1"/>
        <d v="1899-12-30T13:56:47" u="1"/>
        <d v="1899-12-30T13:53:51" u="1"/>
        <d v="1899-12-30T13:35:16" u="1"/>
        <d v="1899-12-30T13:29:55" u="1"/>
        <d v="1899-12-30T11:37:57" u="1"/>
        <d v="1899-12-30T10:22:40" u="1"/>
        <d v="1899-12-30T18:50:05" u="1"/>
        <d v="1899-12-30T18:48:21" u="1"/>
        <d v="1899-12-30T18:36:10" u="1"/>
        <d v="1899-12-30T18:19:16" u="1"/>
        <d v="1899-12-30T18:18:48" u="1"/>
        <d v="1899-12-30T18:18:20" u="1"/>
        <d v="1899-12-30T18:15:15" u="1"/>
        <d v="1899-12-30T18:14:51" u="1"/>
        <d v="1899-12-30T18:14:30" u="1"/>
        <d v="1899-12-30T18:13:54" u="1"/>
        <d v="1899-12-30T18:13:27" u="1"/>
        <d v="1899-12-30T18:12:42" u="1"/>
        <d v="1899-12-30T18:12:20" u="1"/>
        <d v="1899-12-30T18:11:38" u="1"/>
        <d v="1899-12-30T18:10:34" u="1"/>
        <d v="1899-12-30T18:10:03" u="1"/>
        <d v="1899-12-30T18:09:17" u="1"/>
        <d v="1899-12-30T17:42:43" u="1"/>
        <d v="1899-12-30T17:34:57" u="1"/>
        <d v="1899-12-30T17:04:01" u="1"/>
        <d v="1899-12-30T16:46:02" u="1"/>
        <d v="1899-12-30T16:43:16" u="1"/>
        <d v="1899-12-30T15:36:32" u="1"/>
        <d v="1899-12-30T14:34:23" u="1"/>
        <d v="1899-12-30T14:29:52" u="1"/>
        <d v="1899-12-30T13:52:37" u="1"/>
        <d v="1899-12-30T12:44:50" u="1"/>
        <d v="1899-12-30T12:39:38" u="1"/>
        <d v="1899-12-30T12:31:06" u="1"/>
        <d v="1899-12-30T10:16:45" u="1"/>
        <d v="1899-12-30T09:20:52" u="1"/>
        <d v="1899-12-30T12:57:33" u="1"/>
        <d v="1899-12-30T12:49:18" u="1"/>
        <d v="1899-12-30T12:47:30" u="1"/>
        <d v="1899-12-30T09:25:38" u="1"/>
        <d v="1899-12-30T09:23:00" u="1"/>
        <d v="1899-12-30T17:14:55" u="1"/>
        <d v="1899-12-30T16:42:01" u="1"/>
        <d v="1899-12-30T16:33:00" u="1"/>
        <d v="1899-12-30T16:22:15" u="1"/>
        <d v="1899-12-30T15:51:05" u="1"/>
        <d v="1899-12-30T15:43:23" u="1"/>
        <d v="1899-12-30T15:32:07" u="1"/>
        <d v="1899-12-30T15:15:28" u="1"/>
        <d v="1899-12-30T14:33:38" u="1"/>
        <d v="1899-12-30T14:20:16" u="1"/>
        <d v="1899-12-30T14:06:46" u="1"/>
        <d v="1899-12-30T12:58:30" u="1"/>
        <d v="1899-12-30T12:57:40" u="1"/>
        <d v="1899-12-30T12:42:44" u="1"/>
        <d v="1899-12-30T12:37:22" u="1"/>
        <d v="1899-12-30T12:16:14" u="1"/>
        <d v="1899-12-30T11:50:23" u="1"/>
        <d v="1899-12-30T11:37:34" u="1"/>
        <d v="1899-12-30T11:07:31" u="1"/>
        <d v="1899-12-30T09:29:36" u="1"/>
        <d v="1899-12-30T16:27:06" u="1"/>
        <d v="1899-12-30T15:54:55" u="1"/>
        <d v="1899-12-30T15:13:16" u="1"/>
        <d v="1899-12-30T13:58:10" u="1"/>
        <d v="1899-12-30T13:45:38" u="1"/>
        <d v="1899-12-30T13:11:29" u="1"/>
        <d v="1899-12-30T11:48:35" u="1"/>
        <d v="1899-12-30T11:13:09" u="1"/>
        <d v="1899-12-30T11:06:03" u="1"/>
        <d v="1899-12-30T09:36:58" u="1"/>
        <d v="1899-12-30T09:28:45" u="1"/>
        <d v="1899-12-30T17:17:36" u="1"/>
        <d v="1899-12-30T17:11:03" u="1"/>
        <d v="1899-12-30T16:41:22" u="1"/>
        <d v="1899-12-30T14:44:37" u="1"/>
        <d v="1899-12-30T13:56:24" u="1"/>
        <d v="1899-12-30T13:52:59" u="1"/>
        <d v="1899-12-30T13:48:21" u="1"/>
        <d v="1899-12-30T13:41:58" u="1"/>
        <d v="1899-12-30T13:21:50" u="1"/>
        <d v="1899-12-30T13:15:45" u="1"/>
        <d v="1899-12-30T13:03:35" u="1"/>
        <d v="1899-12-30T12:16:17" u="1"/>
        <d v="1899-12-30T09:35:14" u="1"/>
        <d v="1899-12-30T09:30:07" u="1"/>
        <d v="1899-12-30T09:25:16" u="1"/>
        <d v="1899-12-30T09:05:07" u="1"/>
        <d v="1899-12-30T17:08:41" u="1"/>
        <d v="1899-12-30T17:00:06" u="1"/>
        <d v="1899-12-30T16:07:12" u="1"/>
        <d v="1899-12-30T15:03:40" u="1"/>
        <d v="1899-12-30T14:45:10" u="1"/>
        <d v="1899-12-30T14:24:37" u="1"/>
        <d v="1899-12-30T12:49:02" u="1"/>
        <d v="1899-12-30T11:53:40" u="1"/>
        <d v="1899-12-30T11:41:57" u="1"/>
        <d v="1899-12-30T10:00:13" u="1"/>
        <d v="1899-12-30T09:13:57" u="1"/>
        <d v="1899-12-30T07:49:36" u="1"/>
        <d v="1899-12-30T16:54:23" u="1"/>
        <d v="1899-12-30T13:05:12" u="1"/>
        <d v="1899-12-30T13:01:55" u="1"/>
        <d v="1899-12-30T12:50:21" u="1"/>
        <d v="1899-12-30T12:44:07" u="1"/>
        <d v="1899-12-30T12:42:19" u="1"/>
        <d v="1899-12-30T12:27:57" u="1"/>
        <d v="1899-12-30T12:17:46" u="1"/>
        <d v="1899-12-30T11:50:00" u="1"/>
        <d v="1899-12-30T11:49:54" u="1"/>
        <d v="1899-12-30T11:42:21" u="1"/>
        <d v="1899-12-30T11:19:15" u="1"/>
        <d v="1899-12-30T11:16:50" u="1"/>
        <d v="1899-12-30T11:03:37" u="1"/>
        <d v="1899-12-30T10:50:24" u="1"/>
        <d v="1899-12-30T10:50:01" u="1"/>
        <d v="1899-12-30T10:38:37" u="1"/>
        <d v="1899-12-30T10:21:48" u="1"/>
        <d v="1899-12-30T10:01:47" u="1"/>
        <d v="1899-12-30T08:40:50" u="1"/>
        <d v="1899-12-30T16:57:55" u="1"/>
        <d v="1899-12-30T16:57:36" u="1"/>
        <d v="1899-12-30T16:47:17" u="1"/>
        <d v="1899-12-30T16:43:09" u="1"/>
        <d v="1899-12-30T16:38:53" u="1"/>
        <d v="1899-12-30T16:21:51" u="1"/>
        <d v="1899-12-30T16:00:30" u="1"/>
        <d v="1899-12-30T15:56:48" u="1"/>
        <d v="1899-12-30T15:28:44" u="1"/>
        <d v="1899-12-30T15:18:24" u="1"/>
        <d v="1899-12-30T15:00:58" u="1"/>
        <d v="1899-12-30T14:56:37" u="1"/>
        <d v="1899-12-30T14:50:10" u="1"/>
        <d v="1899-12-30T14:33:10" u="1"/>
        <d v="1899-12-30T13:35:19" u="1"/>
        <d v="1899-12-30T13:33:10" u="1"/>
        <d v="1899-12-30T13:26:45" u="1"/>
        <d v="1899-12-30T12:26:39" u="1"/>
        <d v="1899-12-30T11:30:30" u="1"/>
        <d v="1899-12-30T11:24:54" u="1"/>
        <d v="1899-12-30T10:58:13" u="1"/>
        <d v="1899-12-30T10:38:07" u="1"/>
        <d v="1899-12-30T10:08:52" u="1"/>
        <d v="1899-12-30T10:08:28" u="1"/>
        <d v="1899-12-30T09:36:24" u="1"/>
        <d v="1899-12-30T09:25:13" u="1"/>
        <d v="1899-12-30T09:23:29" u="1"/>
        <d v="1899-12-30T08:54:41" u="1"/>
        <d v="1899-12-30T08:16:19" u="1"/>
        <d v="1899-12-30T08:10:29" u="1"/>
        <d v="1899-12-30T08:04:46" u="1"/>
        <d v="1899-12-30T07:56:44" u="1"/>
        <d v="1899-12-30T16:50:22" u="1"/>
        <d v="1899-12-30T16:31:28" u="1"/>
        <d v="1899-12-30T16:24:25" u="1"/>
        <d v="1899-12-30T15:31:39" u="1"/>
        <d v="1899-12-30T15:08:05" u="1"/>
        <d v="1899-12-30T14:50:43" u="1"/>
        <d v="1899-12-30T14:17:27" u="1"/>
        <d v="1899-12-30T12:55:58" u="1"/>
        <d v="1899-12-30T12:38:22" u="1"/>
        <d v="1899-12-30T11:55:22" u="1"/>
        <d v="1899-12-30T11:49:12" u="1"/>
        <d v="1899-12-30T10:19:09" u="1"/>
        <d v="1899-12-30T17:19:54" u="1"/>
        <d v="1899-12-30T17:12:09" u="1"/>
        <d v="1899-12-30T16:59:35" u="1"/>
        <d v="1899-12-30T16:47:25" u="1"/>
        <d v="1899-12-30T16:40:58" u="1"/>
        <d v="1899-12-30T16:28:06" u="1"/>
        <d v="1899-12-30T15:55:40" u="1"/>
        <d v="1899-12-30T15:38:37" u="1"/>
        <d v="1899-12-30T14:27:48" u="1"/>
        <d v="1899-12-30T12:50:55" u="1"/>
        <d v="1899-12-30T12:03:06" u="1"/>
        <d v="1899-12-30T11:47:39" u="1"/>
        <d v="1899-12-30T09:43:18" u="1"/>
        <d v="1899-12-30T09:38:52" u="1"/>
        <d v="1899-12-30T09:16:31" u="1"/>
        <d v="1899-12-30T17:11:22" u="1"/>
        <d v="1899-12-30T17:08:27" u="1"/>
        <d v="1899-12-30T17:07:20" u="1"/>
        <d v="1899-12-30T17:07:17" u="1"/>
        <d v="1899-12-30T17:06:10" u="1"/>
        <d v="1899-12-30T17:02:07" u="1"/>
        <d v="1899-12-30T17:01:59" u="1"/>
        <d v="1899-12-30T16:59:41" u="1"/>
        <d v="1899-12-30T16:53:39" u="1"/>
        <d v="1899-12-30T16:35:44" u="1"/>
        <d v="1899-12-30T15:58:52" u="1"/>
        <d v="1899-12-30T15:56:22" u="1"/>
        <d v="1899-12-30T15:55:58" u="1"/>
        <d v="1899-12-30T15:35:53" u="1"/>
        <d v="1899-12-30T14:43:51" u="1"/>
        <d v="1899-12-30T14:42:47" u="1"/>
        <d v="1899-12-30T14:40:10" u="1"/>
        <d v="1899-12-30T13:54:32" u="1"/>
        <d v="1899-12-30T13:36:11" u="1"/>
        <d v="1899-12-30T10:06:31" u="1"/>
        <d v="1899-12-30T09:55:40" u="1"/>
        <d v="1899-12-30T07:20:58" u="1"/>
        <d v="1899-12-30T17:13:40" u="1"/>
        <d v="1899-12-30T17:06:21" u="1"/>
        <d v="1899-12-30T17:05:44" u="1"/>
        <d v="1899-12-30T16:53:21" u="1"/>
        <d v="1899-12-30T16:26:10" u="1"/>
        <d v="1899-12-30T15:41:14" u="1"/>
        <d v="1899-12-30T15:12:00" u="1"/>
        <d v="1899-12-30T14:36:58" u="1"/>
        <d v="1899-12-30T14:36:05" u="1"/>
        <d v="1899-12-30T14:21:34" u="1"/>
        <d v="1899-12-30T14:09:25" u="1"/>
        <d v="1899-12-30T13:51:36" u="1"/>
        <d v="1899-12-30T13:23:58" u="1"/>
        <d v="1899-12-30T13:21:14" u="1"/>
        <d v="1899-12-30T13:14:07" u="1"/>
        <d v="1899-12-30T13:08:28" u="1"/>
        <d v="1899-12-30T13:08:26" u="1"/>
        <d v="1899-12-30T11:14:23" u="1"/>
        <d v="1899-12-30T10:38:34" u="1"/>
        <d v="1899-12-30T10:23:35" u="1"/>
        <d v="1899-12-30T09:57:16" u="1"/>
        <d v="1899-12-30T09:36:39" u="1"/>
        <d v="1899-12-30T13:26:00" u="1"/>
        <d v="1899-12-30T12:55:57" u="1"/>
        <d v="1899-12-30T12:35:52" u="1"/>
        <d v="1899-12-30T12:34:05" u="1"/>
        <d v="1899-12-30T12:25:44" u="1"/>
        <d v="1899-12-30T12:05:27" u="1"/>
        <d v="1899-12-30T12:05:11" u="1"/>
        <d v="1899-12-30T11:57:48" u="1"/>
        <d v="1899-12-30T11:52:35" u="1"/>
        <d v="1899-12-30T11:34:23" u="1"/>
        <d v="1899-12-30T09:59:24" u="1"/>
        <d v="1899-12-30T09:25:18" u="1"/>
        <d v="1899-12-30T09:24:44" u="1"/>
        <d v="1899-12-30T17:18:01" u="1"/>
        <d v="1899-12-30T17:15:36" u="1"/>
        <d v="1899-12-30T17:06:16" u="1"/>
        <d v="1899-12-30T16:55:49" u="1"/>
        <d v="1899-12-30T16:36:33" u="1"/>
        <d v="1899-12-30T16:18:23" u="1"/>
        <d v="1899-12-30T16:10:30" u="1"/>
        <d v="1899-12-30T15:42:21" u="1"/>
        <d v="1899-12-30T15:34:00" u="1"/>
        <d v="1899-12-30T13:40:53" u="1"/>
        <d v="1899-12-30T13:26:57" u="1"/>
        <d v="1899-12-30T13:00:52" u="1"/>
        <d v="1899-12-30T12:47:21" u="1"/>
        <d v="1899-12-30T12:46:35" u="1"/>
        <d v="1899-12-30T12:44:16" u="1"/>
        <d v="1899-12-30T11:45:54" u="1"/>
        <d v="1899-12-30T10:42:34" u="1"/>
        <d v="1899-12-30T09:37:07" u="1"/>
        <d v="1899-12-30T09:36:36" u="1"/>
        <d v="1899-12-30T17:05:19" u="1"/>
        <d v="1899-12-30T16:38:47" u="1"/>
        <d v="1899-12-30T16:11:13" u="1"/>
        <d v="1899-12-30T16:04:37" u="1"/>
        <d v="1899-12-30T14:51:05" u="1"/>
        <d v="1899-12-30T13:41:55" u="1"/>
        <d v="1899-12-30T13:25:52" u="1"/>
        <d v="1899-12-30T13:14:34" u="1"/>
        <d v="1899-12-30T12:40:26" u="1"/>
        <d v="1899-12-30T12:26:27" u="1"/>
        <d v="1899-12-30T09:57:05" u="1"/>
        <d v="1899-12-30T09:28:41" u="1"/>
        <d v="1899-12-30T16:47:34" u="1"/>
        <d v="1899-12-30T15:00:40" u="1"/>
        <d v="1899-12-30T14:15:24" u="1"/>
        <d v="1899-12-30T13:44:27" u="1"/>
        <d v="1899-12-30T13:41:17" u="1"/>
        <d v="1899-12-30T13:16:44" u="1"/>
        <d v="1899-12-30T12:58:28" u="1"/>
        <d v="1899-12-30T11:21:12" u="1"/>
        <d v="1899-12-30T10:48:40" u="1"/>
        <d v="1899-12-30T10:35:09" u="1"/>
        <d v="1899-12-30T09:56:04" u="1"/>
        <d v="1899-12-30T17:53:30" u="1"/>
        <d v="1899-12-30T17:05:57" u="1"/>
        <d v="1899-12-30T16:26:23" u="1"/>
        <d v="1899-12-30T16:12:07" u="1"/>
        <d v="1899-12-30T16:06:52" u="1"/>
        <d v="1899-12-30T15:45:51" u="1"/>
        <d v="1899-12-30T15:09:56" u="1"/>
        <d v="1899-12-30T14:15:45" u="1"/>
        <d v="1899-12-30T13:58:06" u="1"/>
        <d v="1899-12-30T13:57:10" u="1"/>
        <d v="1899-12-30T13:48:03" u="1"/>
        <d v="1899-12-30T13:32:14" u="1"/>
        <d v="1899-12-30T13:11:37" u="1"/>
        <d v="1899-12-30T13:02:38" u="1"/>
        <d v="1899-12-30T12:56:04" u="1"/>
        <d v="1899-12-30T09:50:06" u="1"/>
        <d v="1899-12-30T12:13:33" u="1"/>
        <d v="1899-12-30T11:46:04" u="1"/>
        <d v="1899-12-30T11:32:45" u="1"/>
        <d v="1899-12-30T11:25:33" u="1"/>
        <d v="1899-12-30T10:46:14" u="1"/>
        <d v="1899-12-30T17:05:40" u="1"/>
        <d v="1899-12-30T16:56:55" u="1"/>
        <d v="1899-12-30T16:44:05" u="1"/>
        <d v="1899-12-30T16:42:29" u="1"/>
        <d v="1899-12-30T16:37:23" u="1"/>
        <d v="1899-12-30T16:20:30" u="1"/>
        <d v="1899-12-30T16:20:26" u="1"/>
        <d v="1899-12-30T14:57:11" u="1"/>
        <d v="1899-12-30T14:52:07" u="1"/>
        <d v="1899-12-30T14:12:53" u="1"/>
        <d v="1899-12-30T12:56:16" u="1"/>
        <d v="1899-12-30T12:53:44" u="1"/>
        <d v="1899-12-30T12:32:23" u="1"/>
        <d v="1899-12-30T12:04:03" u="1"/>
        <d v="1899-12-30T11:41:08" u="1"/>
        <d v="1899-12-30T11:03:22" u="1"/>
        <d v="1899-12-30T09:48:14" u="1"/>
        <d v="1899-12-30T09:35:57" u="1"/>
      </sharedItems>
    </cacheField>
    <cacheField name="SEMANA" numFmtId="0">
      <sharedItems containsSemiMixedTypes="0" containsString="0" containsNumber="1" containsInteger="1" minValue="3" maxValue="52" count="22">
        <n v="4"/>
        <n v="3"/>
        <n v="52"/>
        <n v="51"/>
        <n v="50"/>
        <n v="49"/>
        <n v="48"/>
        <n v="47"/>
        <n v="46"/>
        <n v="45"/>
        <n v="44"/>
        <n v="43"/>
        <n v="41"/>
        <n v="40"/>
        <n v="39"/>
        <n v="38"/>
        <n v="37" u="1"/>
        <n v="36" u="1"/>
        <n v="35" u="1"/>
        <n v="34" u="1"/>
        <n v="33" u="1"/>
        <n v="32" u="1"/>
      </sharedItems>
    </cacheField>
    <cacheField name="Nombre" numFmtId="0">
      <sharedItems containsBlank="1"/>
    </cacheField>
    <cacheField name="Apellido" numFmtId="0">
      <sharedItems containsBlank="1"/>
    </cacheField>
    <cacheField name="WhatsApp" numFmtId="0">
      <sharedItems containsString="0" containsBlank="1" containsNumber="1" containsInteger="1" minValue="573001807410" maxValue="573508337349"/>
    </cacheField>
    <cacheField name="#Orden" numFmtId="0">
      <sharedItems containsString="0" containsBlank="1" containsNumber="1" containsInteger="1" minValue="52988" maxValue="77503"/>
    </cacheField>
    <cacheField name="Pregunta 1" numFmtId="0">
      <sharedItems containsBlank="1" count="7">
        <s v="Bueno"/>
        <s v="Malo"/>
        <s v="Regular"/>
        <s v="BUENA"/>
        <s v="MALA"/>
        <m/>
        <s v="N" u="1"/>
      </sharedItems>
    </cacheField>
    <cacheField name="Pregunta 2" numFmtId="0">
      <sharedItems containsBlank="1" count="116" longText="1">
        <s v="Buena"/>
        <s v="Regular"/>
        <s v="Mala"/>
        <s v="Pesima atencion de la persona wue me recibio y pesima actitud! Yo igual odio minca y fue mi peor decision de compra, ya en mantenimiento he pagado otra patineta"/>
        <m/>
        <s v="Todo súper bien. Muchas gracias."/>
        <s v="Terrible, los vendedores hacen publicidad engañosa para que uno compre el seguro y las condiciones de este terminan siendo distintas"/>
        <s v="En general la limpieza bien, sin embargo por el problema que la llevé incicialmente no fue resultó del todo, que son los frenos."/>
        <s v="Necesito nueva revisión se me apagó 4 veces en el trayecto a mi trabajo y me aparece error en el tablero"/>
        <s v="Mucho tiempo para un simple revisión de mantenimiento"/>
        <s v="En general la atención estuvo bien. Mi arreglo era algo mínimo pero aún así siento que se demoró mucho (una semana). Sin embargo, no tengo quejas, su servicio fue BUENA y adecuado."/>
        <s v="El servicio fue BUENA, espero permanezca así"/>
        <s v="Se trataron de comunicar conmigo por llamada, pero pel cuestiones laborales no podía contestar. Sería BUENA opción que las preguntas respecto al mantenimiento las dejarán en la página donde uno revisa el estado de la orden o por vía WhatsApp. En mi caso dejé la patineta en agosto y la reclamé hasta el día de hoy, pero quería saber si autorizada que le cambiarán la lampara y lo lo hicieron hasta que conteste el teléfono."/>
        <s v="Espectacular todo Prueba prueba PRUEBA"/>
        <s v="Muy BUENA"/>
        <s v="Todo el servicio y proceso de mantenimiento/postventa es muy fácil y de BUENA calidad"/>
        <s v="Estuvo perfecto todo"/>
        <s v="Me encanta MINCA, son demasiado TOP con su servicio, sus productos y sobre todo su atención, siempre es como llegar a casa !! 🫂"/>
        <s v="Considero q las moped deberían venir lista sin limitantes de velocidad"/>
        <s v="Diligentes"/>
        <s v="Los asesores y empelados del taller son muy amables y atentos, aunque el servicio de mantenimiento es un poco costoso siendo para una patineta casi nueva."/>
        <s v="Más ágil y más económico"/>
        <s v="solo un inconveniente, yo deje el cargador y los trabajadores no lo registraron  entonces  me dijeron que  tenían que mirar camaras etc,  a ver sonde estaba el cargador, por uqe no lo habían anotado. entonces  me dijeron que tenia que volver otro dia  a ver si el cargador  si aparecía.   finalmente  si aparecio"/>
        <s v="Me perece que cuentan con un buen servicio y muy chevere que cuentan con el domicilio que te lo dejen en tu casa después de realizado el mantenimiento, seria BUENA que al momento de entregarla para mantenimiento la scooter pueda uno dejar uno estipulado que le hagan el domicilio y hacerle es seguimiento."/>
        <s v="En el momento que la traje se me dijo que se realizarían reparaciones por temas de garantías, los cuales no se realizaron porque no se registraron. El técnico cirstan quien fue el que la recibió me dijo que lo cambiaría ya que el cambio del guradafangos como era garantía de una reparación previa de no mayor a 5 día ese cambio se hacía de inmediato. Hoy que vengo a retirar la patineta la encuentro que no se hizo la garantía, me dicen que mis reparaciones previas no aparecen y que el técnico ya no trabaja acá."/>
        <s v="La persona  que contesta en WhatsApp se le pregunta cómo va el mantenimiento o cuando se puede recoger u dice un momento  averiguo con taller u ese momento es de 2 días. Muy MALA la atención por WhatsApp."/>
        <s v="Me dijeron que ya estaba lista pedí el favor que fueran a recogerla y se demoraron en entregarla..."/>
        <s v="Muy BUENA atención 👌🏼"/>
        <s v="Muy buen servicio. Son con fiables y seguros."/>
        <s v="Muy buen trabajo, me solucionaron el problema que tenia"/>
        <s v="Excelente servicio en general muy atentos a solucionar los inconvenientes además un servicio muy ágil"/>
        <s v="Fue demorada la recepción de repuestos y a la primera entrega existieron fallos en la calidad de los repuestos instalados. Debe hacerse control de calidad antes de llamar a los clientes"/>
        <s v="Se demoro mucho, es un Trabajo que pudo ser de dos dias entre valoración y arreglo"/>
        <s v="Muy BUENA atención, no demoro el arreglo que se debía hacer y el precio justo."/>
        <s v="El señor es muy honesto ya que se me quedó el celular y volví a los 30 minutos y me lo tenía guardado excelente ser humano"/>
        <s v="La única queja que tengo en esta ocasión fue la demora que tuvieron para regresarme la patineta, lo cual me generó diversos perjuicios... Pero BUENA"/>
        <s v="El servicio en general muy bien, sin ambargo una asesora de pelo negro medio Gordita, es como odiosa y no tiene BUENA atención al cliente."/>
        <s v="Obtuve una asesoría muy segura y comprometida, ya que obtuve respuesta muy agil a mi situación."/>
        <s v="Muy BUENA atención de inicio a fin"/>
        <s v="Una experiencia excepcional"/>
        <s v="No tengo sugerencias, muy agradecida por la atención y el buen trato del personal, feliz tarde"/>
        <s v="Todo muy bien!"/>
        <s v="Excelente marca no he tenido ningún inconveniente con mi patineta, solo se me daño el cargador pero fueron muy efectivos y muy buen servicio al cliente"/>
        <s v="Lentos al responder no me enviaron de inmediato el link de pago, por último me entregaron el scooter con de la parte que se baja y sube el timón sin estar asegurado y la manija estaba alrevez"/>
        <s v="La marca super me encanta"/>
        <s v="No me avisaron que la llanta trasera ya está para cambio lo hubiéramos hecho de una vez"/>
        <s v="Genial"/>
        <s v="Excelente servicio, el personal muy presto a servir._x000a_Gracias"/>
        <s v="Mal servicio, la cede de Cedritos siempre esta colapsara y la niña que atiende tiene cero intención de atender" u="1"/>
        <s v="Soy nuevo, pero creó que los tiempos de reparación si son un poco altos" u="1"/>
        <s v="Disculpa, la atención fue BUENA en recepción, pero hubo mucha demora para entregar la patineta" u="1"/>
        <s v="Excelente servicio" u="1"/>
        <s v="Muy bien servicio por parte de la tienda" u="1"/>
        <s v="Todo bien, lo único en lo que no estoy de acuerdo es que tuviera que cambiar una mordaza para poder cambiar la manguera que aceite de frenos" u="1"/>
        <s v="Es BUENA que cuando se lleva una scooter a mantenimiento, las personas que llegamos a ese servicio de fuera de Bogotá, nos deberían tener un poco más en cuenta ya que demorarnos tres días por fuera de nuestro lugar de procedencía se nos hace un poco complicado. Espero que esto sirva para una proxima oportunidad en llevar la scooter a mantenimiento" u="1"/>
        <s v="Las señoritas deberían tener más servicio al cliente, proactividad y carisma, están prestando un servicio" u="1"/>
        <s v="La atención  y el mantenimiento  fue rápido y preciso" u="1"/>
        <s v="Me encanta que el servicio de taller sea prestado por la misma marca, así uno está más tranquilo para llevar la patineta y que den el mejor soporte" u="1"/>
        <s v="La atención del personal fue muy amable, trataron de hacer el trabajo en el menor tiempo posible" u="1"/>
        <s v="BUENA !" u="1"/>
        <s v="La experiencia con la marca, me ha parecido excelente, nada que sentir de mi scooter." u="1"/>
        <s v="Fue relativamente rápido la reparación" u="1"/>
        <s v="Excelente servicio y atencion" u="1"/>
        <s v="El servicio según el registro de novedades fue excelente, pero sería BUENA un mayor contacto con el cliente para saber y confirmar que problemas o novedad presenta el dispositivo o patineta" u="1"/>
        <s v="El tiempo de espera para la entrega de mi scooter se extendió más de lo acordado, por lo cual sería BUENA que el tiempo de espera no fuera más de lo que estipulan y aseguran!" u="1"/>
        <s v="Lleve la scooter por un problema de batería que no cargaba y no me avisaron que no serían capaces de ponerle algo de carga para poder llevarla de vuelta. Por lo menos avisar que la entregarán sin batería para tomar las provisiones. Es como que en un consecionario de autos entreguen en auto sin que pueda encender. Me pareció mal servicio porque no piensan en el cliente. Tengan más cuidado con los detalles importantes." u="1"/>
        <s v="Por ahora muy bien." u="1"/>
        <s v="Excelente empresa patinetas BUENA calidad estoy contento me puedo movilizar rápido." u="1"/>
        <s v="Todo estuvo en orden, buen servicio" u="1"/>
        <s v="Estuvo muy bien la atención y como resuelven el problema, en los tiempos de dar respuesta como en el diagnóstico debería ser un poco más rápida, pero de resto muy bien servicio." u="1"/>
        <s v="El servicio de mantenimiento fue excelente sin embargo el servicio de entrega fue pésimo me llegó un correo diciendo que la podía recoger los sábados de 8 a 3 y cuando llegué al taller resultó que no fue así y me hicieron perder plata y tiempo" u="1"/>
        <s v="Que respeten los tiempos de entrega y recepción de patinetas, no puede ser que habiendo separado la cita y esperado dos días para la entrega, reciban patinetas a otros clientes prometiendo que la entregan el mismo día" u="1"/>
        <s v="Todo excelente" u="1"/>
        <s v="Deberían avisar que la scooter  no la entregan con carga. Porque en mi caso no tenía cargador. O mejor, que pudiera estar cargada al recogerla. Gracias" u="1"/>
        <s v="Rápido y eficiente el servicio" u="1"/>
        <s v="Puntualidad en la engrega, y entregar la patineta cargada" u="1"/>
        <s v="Excelente atención y muy rápido el servicio." u="1"/>
        <s v="El servicio que prestan es de calidad, toda las personas que trabajan son muy amables, en realidad eso es muy provechoso en atención al cliente. El problema que tienen son temas de tiempos de ejecución y entrega, estuve sin mi Minca 1 semana exactamente, y se afecta de sobre manera la movilidad, porque creo que una de las bondades de escoger Minca como marca y producto es por el respaldo que se ofrece, pero que el mantenimiento preventivo tarde 1 semana es exagerado el tiempo, más cuando debo reservar una hora para mi mantenimiento y aún así se tardan una semana. Creo que debe ser un tema para revisar." u="1"/>
        <s v="Excelente servicio, el personal es muy amable." u="1"/>
        <s v="La comunicación con el taller es muy MALA, recepcionan la patineta y no hay en donde hacerle seguimiento a la orden, dan un tiempo de entrega y nadie responde; se demoran mucho en servicio técnico" u="1"/>
        <s v="La parienta salió con otros daños que no llevaba y la entregaron mal" u="1"/>
        <s v="Excelente servicio y tiempos perfectos de entrega" u="1"/>
        <s v="Totalmente satisfecho y feliz con MINCA" u="1"/>
        <s v="La verdad mi experiencia debo decirlo no fue muy BUENA respecto a la marca por el inconveniente de las fallas en tan solo un mes de uso creo que dice mucho sobre la calidad y las espectativas en el futuro con el producto." u="1"/>
        <s v="Simplemente que la marca proporciona una muy BUENA calidad tanto el producto como en servicio técnico" u="1"/>
        <s v="El mantenimiento fue muy completo, siento más ajustada mi patineta. Y la atención del personal fue excelente" u="1"/>
        <s v="El proceso quedo bien hecho pero no hay mucha guia por parte de las personas en recepción, no se responden preguntas, ni se guia a usuario de BUENA manera" u="1"/>
        <s v="Muchas gracias por su servicio y atención, fueron excelentes." u="1"/>
        <s v="Muy rápido, eficientes y peofesionales. Gracias!" u="1"/>
        <s v="Excelente servicio y atención al cliente" u="1"/>
        <s v="Me pareció muy BUENA la atención y sobretodo el interés por solucionar el problema que tenía lo único a mejorar es el tiempo de entrega muchas gracias" u="1"/>
        <s v="La atención es rápida y oportuna" u="1"/>
        <s v="Me pareció muy lento el servicio, tomo 6 (calendario) días en completarse el mantenimiento. Deberían ofrecer un servicio de alquiler de patinetas como opción mientras se completa el servicio" u="1"/>
        <s v="Hola todo perfecto la señora de la recepción es la mejor atiende muy bien" u="1"/>
        <s v="Me pareció BUENA el servicio y muy ágil, no se presentaron inconvenientes durante el proceso" u="1"/>
        <s v="Son muy atentos y el taller esta dispuesto a responder cualquier pregunta agilidad y rapidez gracias" u="1"/>
        <s v="Muy BUENA atención y rápida" u="1"/>
        <s v="Ecxelente servicio técnico y también la asesoría. La marca es buenísima" u="1"/>
        <s v="El servicio técnico muy MALA" u="1"/>
        <s v="Muy buen servicio y amabilidad. Quedé muy contenta. Felicitaciones" u="1"/>
        <s v="Hasta ahora todo muy bien con Minca !!!!" u="1"/>
        <s v="La atención muy BUENA, sería BUENA contar con atención así fuera del 25% de carga al realizar mantenimiento, de resto todo perfecto!" u="1"/>
        <s v="Fácil agendar, muy amables en la atención, pero deberían ajustar para que llegue el correo de confirmación del agendamiento de citas. De resto excelente" u="1"/>
        <s v="Se demoran mucho en la entrega. Una semana y me tocó escribir porque no me habían avisado que fuera por ella." u="1"/>
        <s v="En general la atención estuvo bien. Mi arreglo era algo mínimo pero aún así siento que se demoró mucho (una semana). Sin embargo, no tengo quejas, su servicio fue bueno y adecuado." u="1"/>
        <s v="El servicio fue bueno, espero permanezca así" u="1"/>
        <s v="Muy bueno" u="1"/>
        <s v="Bueno" u="1"/>
        <s v="Me perece que cuentan con un buen servicio y muy chevere que cuentan con el domicilio que te lo dejen en tu casa después de realizado el mantenimiento, seria bueno que al momento de entregarla para mantenimiento la scooter pueda uno dejar uno estipulado que le hagan el domicilio y hacerle es seguimiento." u="1"/>
        <s v="La única queja que tengo en esta ocasión fue la demora que tuvieron para regresarme la patineta, lo cual me generó diversos perjuicios... Pero bueno" u="1"/>
        <s v="Es bueno que cuando se lleva una scooter a mantenimiento, las personas que llegamos a ese servicio de fuera de Bogotá, nos deberían tener un poco más en cuenta ya que demorarnos tres días por fuera de nuestro lugar de procedencía se nos hace un poco complicado. Espero que esto sirva para una proxima oportunidad en llevar la scooter a mantenimiento" u="1"/>
        <s v="El servicio según el registro de novedades fue excelente, pero sería bueno un mayor contacto con el cliente para saber y confirmar que problemas o novedad presenta el dispositivo o patineta" u="1"/>
        <s v="El tiempo de espera para la entrega de mi scooter se extendió más de lo acordado, por lo cual sería bueno que el tiempo de espera no fuera más de lo que estipulan y aseguran!" u="1"/>
        <s v="Me pareció bueno el servicio y muy ágil, no se presentaron inconvenientes durante el proceso" u="1"/>
        <s v="El servicio técnico muy malo" u="1"/>
        <s v="La atención muy buena, sería bueno contar con atención así fuera del 25% de carga al realizar mantenimiento, de resto todo perfecto!" u="1"/>
      </sharedItems>
    </cacheField>
    <cacheField name="Click Google" numFmtId="0">
      <sharedItems containsBlank="1" longText="1"/>
    </cacheField>
    <cacheField name="Premio Entregado por Asesor" numFmtId="0">
      <sharedItems containsBlank="1"/>
    </cacheField>
    <cacheField name="TALLER" numFmtId="0">
      <sharedItems containsBlank="1" containsMixedTypes="1" containsNumber="1" containsInteger="1" minValue="95" maxValue="134"/>
    </cacheField>
    <cacheField name="Fecha Premio Entregado" numFmtId="0">
      <sharedItems containsDate="1" containsBlank="1" containsMixedTypes="1" minDate="1900-01-05T09:11:04" maxDate="2025-09-24T11:26:18"/>
    </cacheField>
    <cacheField name="Taller2" numFmtId="0">
      <sharedItems containsBlank="1"/>
    </cacheField>
    <cacheField name="Referenci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6">
  <r>
    <d v="2026-01-21T00:00:00"/>
    <x v="0"/>
    <x v="0"/>
    <s v="FERNANDO"/>
    <s v="VALLEJO HANSSEN"/>
    <n v="573214910901"/>
    <n v="77254"/>
    <x v="0"/>
    <x v="0"/>
    <s v="He tenido una buena experiencia con la marca. Este fue mi primer mantenimiento y al ir a pagar me llevé la sorpresa de que la factura era por un valor mayor a la cotización, debido a que habían hecho reparaciones qué no habían sido cotizadas. Como no había llevado más dinero y no tenía billetera, les propuse pagar la diferencia en el próximo mantenimiento, hacer una transferencia más tarde o llevar el dinero faltante al otro día, pero la respuesta fue &quot;si no tiene como pagar, volvemos a cambiar los repuestos y le dejamos los que estaban dañados&quot;... Creo que esto no es servicio al cliente"/>
    <s v="Inicio"/>
    <m/>
    <s v="Chicó"/>
    <m/>
    <m/>
  </r>
  <r>
    <d v="2026-01-21T00:00:00"/>
    <x v="0"/>
    <x v="0"/>
    <s v="CRISTIAN ANDRES"/>
    <s v="GIRALDO ACEVEDO"/>
    <n v="573164912365"/>
    <n v="77503"/>
    <x v="0"/>
    <x v="0"/>
    <m/>
    <s v="Inicio"/>
    <m/>
    <n v="72"/>
    <m/>
    <m/>
  </r>
  <r>
    <d v="2026-01-21T00:00:00"/>
    <x v="0"/>
    <x v="0"/>
    <s v="KAROL ANDREA"/>
    <s v="RUIZ ARIZA"/>
    <n v="573173092660"/>
    <n v="77455"/>
    <x v="0"/>
    <x v="0"/>
    <m/>
    <s v="Inicio"/>
    <m/>
    <s v="Javeriana"/>
    <m/>
    <m/>
  </r>
  <r>
    <d v="2026-01-21T00:00:00"/>
    <x v="0"/>
    <x v="0"/>
    <s v="JUAN DAVID"/>
    <s v="RODRIGUEZ TORRES"/>
    <n v="573192890181"/>
    <n v="76864"/>
    <x v="1"/>
    <x v="1"/>
    <s v="Estoy bastante inconforme con el servicio, puesto mande a que le hicieran mantenimiento preventivo…primero me dieron un precio de $135.000, después, regresé por la patineta y me cobraron $150.000. No volveré a usar sur servicios técnicos, sean serios. 😡😡😡"/>
    <m/>
    <m/>
    <s v="Av. chile"/>
    <m/>
    <m/>
  </r>
  <r>
    <d v="2026-01-21T00:00:00"/>
    <x v="0"/>
    <x v="0"/>
    <s v="CAMILO"/>
    <s v="PALACIOS DIAZ"/>
    <n v="573162838965"/>
    <n v="77290"/>
    <x v="0"/>
    <x v="0"/>
    <s v="Fueron ágiles. Atendieron mi solicitud de manera rápida. Podrian estandarizar las reparaciones mecánicas para que sea menos prueba y error y que sea mas uniforme, por ejemplo calibración de frenos. Podrian dar cursos a los clientes para que desde casa se pudiera solucionar algunos problemas sencillos."/>
    <s v="Inicio"/>
    <m/>
    <s v="Chicó"/>
    <m/>
    <m/>
  </r>
  <r>
    <d v="2026-01-21T00:00:00"/>
    <x v="0"/>
    <x v="0"/>
    <s v="PIEDAD AMOR"/>
    <s v="SIERRA SOLANO"/>
    <n v="573043765034"/>
    <n v="77204"/>
    <x v="0"/>
    <x v="0"/>
    <s v="Ninguna, muy bien trabajo y excelente atención"/>
    <s v="Inicio"/>
    <m/>
    <s v="Javeriana"/>
    <m/>
    <m/>
  </r>
  <r>
    <d v="2026-01-21T00:00:00"/>
    <x v="0"/>
    <x v="0"/>
    <s v="DELIA ROSA"/>
    <s v="FLORIAN HERNANDEZ"/>
    <n v="573016381218"/>
    <n v="77281"/>
    <x v="0"/>
    <x v="0"/>
    <s v="Muy buena atención 👍🏻"/>
    <s v="Inicio"/>
    <m/>
    <s v="Javeriana"/>
    <m/>
    <m/>
  </r>
  <r>
    <d v="2026-01-21T00:00:00"/>
    <x v="0"/>
    <x v="0"/>
    <s v="PATRICIA MILENA"/>
    <s v="CIFUENTES TIQUE"/>
    <n v="573106085050"/>
    <n v="77008"/>
    <x v="0"/>
    <x v="0"/>
    <s v="Me agrada que ante cualquier duda expuesta, tienen la amabilidad de responder y explicar detalladamente"/>
    <s v="Inicio"/>
    <m/>
    <s v="Chico"/>
    <m/>
    <m/>
  </r>
  <r>
    <d v="2026-01-21T00:00:00"/>
    <x v="0"/>
    <x v="0"/>
    <s v="MARIA CLAUDIA"/>
    <s v="MAECHA MARTINEZ"/>
    <n v="573102623167"/>
    <n v="77133"/>
    <x v="0"/>
    <x v="0"/>
    <s v="fue bueno el servicio presentado en general"/>
    <s v="Inicio"/>
    <m/>
    <s v="avenida chile"/>
    <m/>
    <m/>
  </r>
  <r>
    <d v="2026-01-21T00:00:00"/>
    <x v="0"/>
    <x v="0"/>
    <s v="JOHNATTAN MICHELLE"/>
    <s v="PERTUZ GONZALEZ"/>
    <n v="573022345280"/>
    <n v="77222"/>
    <x v="1"/>
    <x v="0"/>
    <s v="Los mecánicos no realizan sus trabajo bien"/>
    <s v="Inicio"/>
    <m/>
    <s v="Cedritos"/>
    <m/>
    <m/>
  </r>
  <r>
    <d v="2026-01-21T00:00:00"/>
    <x v="0"/>
    <x v="0"/>
    <s v="JUAN CAMILO"/>
    <s v="ARCHIBOLD"/>
    <n v="573114417917"/>
    <n v="77487"/>
    <x v="0"/>
    <x v="0"/>
    <s v="Mejorar la garantía y la calidad de los frenos puesto que he tenido varios inconvenientes con ellos"/>
    <s v="Inicio"/>
    <m/>
    <s v="Chicó"/>
    <m/>
    <m/>
  </r>
  <r>
    <d v="2026-01-21T00:00:00"/>
    <x v="0"/>
    <x v="0"/>
    <s v="LAURA"/>
    <s v="LEURO  MORA"/>
    <n v="573142227320"/>
    <n v="77138"/>
    <x v="0"/>
    <x v="0"/>
    <s v="Excelente servicio"/>
    <s v="Inicio"/>
    <m/>
    <s v="Calle 95"/>
    <m/>
    <m/>
  </r>
  <r>
    <d v="2026-01-21T00:00:00"/>
    <x v="0"/>
    <x v="0"/>
    <s v="OMAR JOSE"/>
    <s v="CARDENAS FERNANDEZ"/>
    <n v="573117197619"/>
    <n v="76868"/>
    <x v="0"/>
    <x v="0"/>
    <s v="Me encanta la atención la disponibilidad y la confianza que me da marca"/>
    <s v="Inicio"/>
    <m/>
    <s v="Cedritos"/>
    <m/>
    <m/>
  </r>
  <r>
    <d v="2026-01-21T00:00:00"/>
    <x v="0"/>
    <x v="0"/>
    <s v="FREDY"/>
    <s v="POVEDA"/>
    <n v="573144442365"/>
    <n v="76979"/>
    <x v="0"/>
    <x v="0"/>
    <s v="Muy buena experiencia , felicito a todos pues son claros , cumplidos y muy diligentes"/>
    <s v="Inicio"/>
    <m/>
    <s v="Calle 95"/>
    <m/>
    <m/>
  </r>
  <r>
    <d v="2026-01-21T00:00:00"/>
    <x v="0"/>
    <x v="0"/>
    <s v="FERNANDO"/>
    <s v="GIRALDO SANTACOLOMA"/>
    <n v="573174274121"/>
    <n v="76925"/>
    <x v="0"/>
    <x v="0"/>
    <s v="Mantenimiento adecuado en un tiempo prudente, gracias"/>
    <s v="Inicio"/>
    <m/>
    <s v="Calle 95"/>
    <m/>
    <m/>
  </r>
  <r>
    <d v="2026-01-20T00:00:00"/>
    <x v="0"/>
    <x v="0"/>
    <s v="CAROL"/>
    <s v="QUIJANO MARTINEZ"/>
    <n v="573183577440"/>
    <n v="76861"/>
    <x v="0"/>
    <x v="0"/>
    <m/>
    <s v="Inicio"/>
    <m/>
    <s v="Cedritos"/>
    <m/>
    <m/>
  </r>
  <r>
    <d v="2026-01-20T00:00:00"/>
    <x v="0"/>
    <x v="0"/>
    <s v="HENRY JUNIOR"/>
    <s v="GUERRA IGLESIA"/>
    <n v="573007259624"/>
    <n v="76713"/>
    <x v="0"/>
    <x v="0"/>
    <s v="Son de muy buena atención y en ésta taller uno consigue todos los componentes de mi minca."/>
    <s v="Inicio"/>
    <m/>
    <s v="Taller minca Chicó"/>
    <m/>
    <m/>
  </r>
  <r>
    <d v="2026-01-20T00:00:00"/>
    <x v="0"/>
    <x v="0"/>
    <s v="VLADIMIR"/>
    <s v="ARDILA"/>
    <n v="573157278767"/>
    <n v="77092"/>
    <x v="1"/>
    <x v="1"/>
    <s v="Quiero que me indiquen por que la Patineta quedo sin amortiguación"/>
    <m/>
    <m/>
    <s v="En la avenida chile"/>
    <m/>
    <m/>
  </r>
  <r>
    <d v="2026-01-20T00:00:00"/>
    <x v="0"/>
    <x v="0"/>
    <s v="HECTOR AUGUSTO"/>
    <s v="TURRIAGO APOLINAR"/>
    <n v="573006145534"/>
    <n v="76981"/>
    <x v="0"/>
    <x v="0"/>
    <s v="Excelente atención"/>
    <s v="Inicio"/>
    <m/>
    <s v="."/>
    <m/>
    <m/>
  </r>
  <r>
    <d v="2026-01-20T00:00:00"/>
    <x v="0"/>
    <x v="0"/>
    <s v="CRISTIAN CAMILO"/>
    <s v="JUYO ROMERO"/>
    <n v="573107529171"/>
    <n v="77233"/>
    <x v="0"/>
    <x v="0"/>
    <s v="En general la experiencia es buena, sin embargo si es muy inportante que miren bien la orden de entrega al momento de realizar el servicio por que ya van varias veces que al menos una de las cosas por la que l llevó a servicio técnico me la entregan igual sin resolver y me toca volver a llevarla, ya que uno se da cuenta después de usarla. Adicionalmente se agradecería que la entregarán cargada casi full la batería, ya que en las pruebas y demás le gastaba la batería y cuando l entregan ya la batería no aguanta para regresarla al hogar."/>
    <s v="Inicio"/>
    <m/>
    <s v="Ah chile"/>
    <m/>
    <m/>
  </r>
  <r>
    <d v="2026-01-20T00:00:00"/>
    <x v="0"/>
    <x v="0"/>
    <s v="ELIECER DAVID"/>
    <s v="GOMEZ VILLAMIL"/>
    <n v="573164964457"/>
    <n v="77419"/>
    <x v="0"/>
    <x v="0"/>
    <s v="El servicio en el taller es muy bueno, atención, asesoría y explicación de lo realizado"/>
    <s v="Inicio"/>
    <m/>
    <s v="Las vegas"/>
    <m/>
    <m/>
  </r>
  <r>
    <d v="2026-01-20T00:00:00"/>
    <x v="0"/>
    <x v="0"/>
    <s v="DANIEL STYWEAR"/>
    <s v="VILLAMIL BUITRAGO"/>
    <n v="573124298122"/>
    <n v="77065"/>
    <x v="0"/>
    <x v="0"/>
    <s v="Fueron receptivos a mis preocupaciones respecto a los pinchazos"/>
    <s v="Inicio"/>
    <m/>
    <s v="Javeriana"/>
    <m/>
    <m/>
  </r>
  <r>
    <d v="2026-01-20T00:00:00"/>
    <x v="0"/>
    <x v="0"/>
    <s v="JULIAN"/>
    <s v="GUARIN"/>
    <n v="573012688799"/>
    <n v="76846"/>
    <x v="0"/>
    <x v="0"/>
    <s v="El tiempo de mantenimiento y entrega es muy prolongado"/>
    <s v="Inicio"/>
    <m/>
    <s v="Chico"/>
    <m/>
    <m/>
  </r>
  <r>
    <d v="2026-01-20T00:00:00"/>
    <x v="0"/>
    <x v="0"/>
    <s v="MARIO ALBERTO"/>
    <s v="YANES HERNANDEZ"/>
    <n v="573214853418"/>
    <n v="77356"/>
    <x v="0"/>
    <x v="0"/>
    <s v="Devolví la patineta por una falla en las luces y fue ajustado el inconveniente de manera oportuna. El asesor que me entregó la patineta fue muy amable y me explicó lo que había sucedido de manera clara"/>
    <s v="Inicio"/>
    <m/>
    <n v="45"/>
    <m/>
    <m/>
  </r>
  <r>
    <d v="2026-01-20T00:00:00"/>
    <x v="0"/>
    <x v="0"/>
    <s v="OMAR ALEJANDRO"/>
    <s v="MUÑOZ SIATOBA"/>
    <n v="573133173323"/>
    <n v="76596"/>
    <x v="0"/>
    <x v="0"/>
    <s v="Creo que ha crecido mucho la marca en Bogotá, es fácil encontrar un lugar donde llevar la patineta, en algún momento tuve una dificultad por una garantía de unas piezas, pero en general me ha ido muy bien con el servicio post venta, tengo la patineta desde el 2020"/>
    <s v="Inicio"/>
    <m/>
    <s v="Av. chile"/>
    <m/>
    <m/>
  </r>
  <r>
    <d v="2026-01-20T00:00:00"/>
    <x v="0"/>
    <x v="0"/>
    <s v="JEAN PAUL"/>
    <s v="OSORIO BENITEZ"/>
    <n v="573006032455"/>
    <n v="77255"/>
    <x v="0"/>
    <x v="0"/>
    <s v="Bueno compre 2 patinetas y al mes de uso se les daño el controlador del acelerador..pues siendo nuevas deberian revisar de fabrica porque este desperfecto.."/>
    <s v="Inicio"/>
    <m/>
    <s v="TALLER MINCA CEDRITOS"/>
    <m/>
    <m/>
  </r>
  <r>
    <d v="2026-01-20T00:00:00"/>
    <x v="0"/>
    <x v="0"/>
    <s v="DIEGO FRANCISCO"/>
    <s v="VENEGAS VARGAS"/>
    <n v="573154448735"/>
    <n v="77294"/>
    <x v="0"/>
    <x v="0"/>
    <s v="Muy buen servicio rápido y efectivo"/>
    <s v="Inicio"/>
    <m/>
    <s v="Calle 92"/>
    <m/>
    <m/>
  </r>
  <r>
    <d v="2026-01-20T00:00:00"/>
    <x v="0"/>
    <x v="0"/>
    <s v="NATALIA ALEJANDRA"/>
    <s v="DAZA NIÑO"/>
    <n v="573208011353"/>
    <n v="77171"/>
    <x v="0"/>
    <x v="0"/>
    <s v="Agradecimiento por su disposición y toda orientación prestada."/>
    <s v="Inicio"/>
    <m/>
    <s v="Chico"/>
    <m/>
    <m/>
  </r>
  <r>
    <d v="2026-01-20T00:00:00"/>
    <x v="0"/>
    <x v="0"/>
    <s v="MIGUEL ANGEL"/>
    <s v="GUZMAN CORDOBA"/>
    <n v="573184935856"/>
    <n v="70171"/>
    <x v="0"/>
    <x v="0"/>
    <s v="Solo la scooter se apagaba y hasta el momento luego de llevarla al taller ha funcionado pero el arreglo que le hicieron al guardabarros fue muy regular por no decir que no sirvió lo que le hicieron al guardabarros"/>
    <s v="Inicio"/>
    <m/>
    <s v="Chicó"/>
    <m/>
    <m/>
  </r>
  <r>
    <d v="2026-01-20T00:00:00"/>
    <x v="0"/>
    <x v="0"/>
    <s v="LEOPOLDO"/>
    <s v="PENALOZA MALAVE"/>
    <n v="573155338740"/>
    <n v="77059"/>
    <x v="0"/>
    <x v="0"/>
    <s v="Rapidez, calidad y buena atención y super serviciales!"/>
    <s v="Inicio"/>
    <m/>
    <s v="Chico"/>
    <m/>
    <m/>
  </r>
  <r>
    <d v="2026-01-20T00:00:00"/>
    <x v="0"/>
    <x v="0"/>
    <s v="SEBASTIAN"/>
    <s v="CASTILLO"/>
    <n v="573045791269"/>
    <n v="77351"/>
    <x v="0"/>
    <x v="0"/>
    <s v="Muy ágiles en la respuesta y la solución a mi problema."/>
    <s v="Inicio"/>
    <m/>
    <n v="90"/>
    <m/>
    <m/>
  </r>
  <r>
    <d v="2026-01-20T00:00:00"/>
    <x v="0"/>
    <x v="0"/>
    <s v="NARENN DARYANIF"/>
    <s v="MUÑOZ CORREDOR"/>
    <n v="573023962294"/>
    <n v="77069"/>
    <x v="0"/>
    <x v="0"/>
    <s v="Que sigan como van!!! Y con más fuerza o debería decir con más voltaje!! ⚡️⚡️"/>
    <s v="Inicio"/>
    <m/>
    <s v="Av chile"/>
    <m/>
    <m/>
  </r>
  <r>
    <d v="2026-01-19T00:00:00"/>
    <x v="0"/>
    <x v="0"/>
    <s v="XIMENA  PATRICIA"/>
    <s v="NUÑEZ MUÑOZ"/>
    <n v="573103172259"/>
    <n v="77280"/>
    <x v="0"/>
    <x v="0"/>
    <s v="Buen servicio"/>
    <s v="Inicio"/>
    <m/>
    <s v="Chico"/>
    <m/>
    <m/>
  </r>
  <r>
    <d v="2026-01-19T00:00:00"/>
    <x v="0"/>
    <x v="0"/>
    <s v="JUAN ESTEBAN"/>
    <s v="OSORIO GUARNIZO"/>
    <n v="573057128589"/>
    <n v="77298"/>
    <x v="0"/>
    <x v="0"/>
    <s v="Muy buena atención y servicio por parte de los trabajadores"/>
    <s v="Inicio"/>
    <m/>
    <s v="Taller Chicó"/>
    <m/>
    <m/>
  </r>
  <r>
    <d v="2026-01-19T00:00:00"/>
    <x v="0"/>
    <x v="0"/>
    <s v="LEONARDO"/>
    <s v="QUINTERO GELVEZ"/>
    <n v="573192471773"/>
    <n v="75024"/>
    <x v="1"/>
    <x v="1"/>
    <s v="He llevado varias veces la patineta por inconvenientes que viene presentando y no ha sido posible que la arregle_x000a_Tengo que sacar cita nuevamente para que me solucionen el inconveniente que se acelera sola y al acelerar no reduce la orden toca apagarla y volverla a prender para que funcione por un rato"/>
    <m/>
    <m/>
    <s v="CLL 93"/>
    <m/>
    <m/>
  </r>
  <r>
    <d v="2026-01-19T00:00:00"/>
    <x v="0"/>
    <x v="0"/>
    <s v="HEYDY VANESA"/>
    <s v="AMAYA RODRIGUEZ"/>
    <n v="573138624997"/>
    <n v="76902"/>
    <x v="0"/>
    <x v="0"/>
    <s v="Sería bueno que pudieran evaluar los horarios del taller_x000a_No es muy lógico que un taller cuente con horarios de oficina, esto dificulta la disponibilidad delnusua para llevar la patineta a mantenimiento"/>
    <s v="Inicio"/>
    <m/>
    <s v="Calle 72"/>
    <m/>
    <m/>
  </r>
  <r>
    <d v="2026-01-19T00:00:00"/>
    <x v="0"/>
    <x v="0"/>
    <s v="VALERIA"/>
    <s v="ZUNIGA"/>
    <n v="573145049031"/>
    <n v="77051"/>
    <x v="0"/>
    <x v="1"/>
    <s v="La chica que recibió tenía muy mala actitud. Pero de resto bien gracias"/>
    <m/>
    <m/>
    <s v="Chico"/>
    <m/>
    <m/>
  </r>
  <r>
    <d v="2026-01-19T00:00:00"/>
    <x v="0"/>
    <x v="0"/>
    <s v="JOSE MIGUEL"/>
    <s v="PINEDA SAPUYES"/>
    <n v="573138508755"/>
    <n v="77310"/>
    <x v="0"/>
    <x v="0"/>
    <s v="Buen servicio"/>
    <s v="Inicio"/>
    <m/>
    <s v="Minca Cll 72"/>
    <m/>
    <m/>
  </r>
  <r>
    <d v="2026-01-19T00:00:00"/>
    <x v="0"/>
    <x v="0"/>
    <s v="TATIANA ANDREA"/>
    <s v="MARTINEZ FLORES"/>
    <n v="573508208842"/>
    <n v="76900"/>
    <x v="0"/>
    <x v="1"/>
    <s v="El trabajo técnico es impecable, lo que falla es la actitud de servicio de las personas que asesoran y atienden en general._x000a__x000a_Repuestas que reflejan su poco interés en el cliente o su insatisfacción en el trabajo._x000a__x000a_El trabajo que me hicieron muy bien realizado, felicitaciones a los mecánicos"/>
    <m/>
    <m/>
    <s v="Contador"/>
    <m/>
    <m/>
  </r>
  <r>
    <d v="2026-01-19T00:00:00"/>
    <x v="0"/>
    <x v="0"/>
    <s v="ANDRES MAURICIO"/>
    <s v="MELO GARCIA"/>
    <n v="573232785371"/>
    <n v="77319"/>
    <x v="0"/>
    <x v="0"/>
    <s v="Hasta el_x000a_Momento excelente me han solucionado mis novedades"/>
    <s v="Inicio"/>
    <m/>
    <s v="Chapinero"/>
    <m/>
    <m/>
  </r>
  <r>
    <d v="2026-01-19T00:00:00"/>
    <x v="0"/>
    <x v="0"/>
    <s v="CARLOS RAMON"/>
    <s v="SILVA MOLINARES"/>
    <n v="573163950909"/>
    <n v="76719"/>
    <x v="0"/>
    <x v="0"/>
    <s v="Buena"/>
    <s v="Inicio"/>
    <m/>
    <s v="Calle 98"/>
    <m/>
    <m/>
  </r>
  <r>
    <d v="2026-01-19T00:00:00"/>
    <x v="0"/>
    <x v="0"/>
    <s v="JOSE LUIS"/>
    <s v="MONTAÑEZ"/>
    <n v="573143705709"/>
    <n v="75888"/>
    <x v="1"/>
    <x v="0"/>
    <s v="Me dejaron el timón suelto de un lado un tornillo del timos dañado"/>
    <s v="Clic"/>
    <m/>
    <s v="."/>
    <m/>
    <m/>
  </r>
  <r>
    <d v="2026-01-19T00:00:00"/>
    <x v="0"/>
    <x v="0"/>
    <s v="SERGIO"/>
    <s v="ROA"/>
    <n v="573057976794"/>
    <n v="76782"/>
    <x v="0"/>
    <x v="0"/>
    <s v="Como usuario de Minca desde ya hace 3 años, percibo que actualmente el servicio de taller ha mejorado bastante, el diagnóstico fue muy rápido (cosa que antes podía durar 5 días) y luego de autorizar los repuestos el arreglo también fue muy rápido (esto también podía demorar muchos días antes). Gracias!"/>
    <s v="Inicio"/>
    <m/>
    <s v="Javeriana"/>
    <m/>
    <m/>
  </r>
  <r>
    <d v="2026-01-19T00:00:00"/>
    <x v="0"/>
    <x v="0"/>
    <s v="SANTIAGO"/>
    <s v="SOLIS"/>
    <n v="573134048314"/>
    <n v="76643"/>
    <x v="0"/>
    <x v="0"/>
    <s v="Excelente servicio. Cumplidos y con precios justos."/>
    <s v="Inicio"/>
    <m/>
    <s v="Chicó"/>
    <m/>
    <m/>
  </r>
  <r>
    <d v="2026-01-19T00:00:00"/>
    <x v="0"/>
    <x v="0"/>
    <s v="CAMILO"/>
    <s v="LEON"/>
    <n v="573132317989"/>
    <n v="77043"/>
    <x v="0"/>
    <x v="0"/>
    <s v="Excelente servicio"/>
    <s v="Inicio"/>
    <m/>
    <s v="Cedritos"/>
    <m/>
    <m/>
  </r>
  <r>
    <d v="2026-01-19T00:00:00"/>
    <x v="0"/>
    <x v="0"/>
    <s v="JUAN DIEGO"/>
    <s v="MRNDEZ"/>
    <n v="573185206729"/>
    <n v="77221"/>
    <x v="0"/>
    <x v="0"/>
    <s v="Muy buena experiencia, todos fueron muy amables y me ayudaron en todo"/>
    <s v="Inicio"/>
    <m/>
    <s v="Av chile"/>
    <m/>
    <m/>
  </r>
  <r>
    <d v="2026-01-17T00:00:00"/>
    <x v="0"/>
    <x v="1"/>
    <s v="MARIO ALBERTO"/>
    <s v="YANES HERNANDEZ"/>
    <n v="573214853418"/>
    <n v="77122"/>
    <x v="2"/>
    <x v="0"/>
    <s v="La atención estuvo bien, la entrega de la patineta fue regular puesto que que era la 1pm próximos a cerrar y estaban un poco ocupados no le hicieron pruebas y cuando probé la patineta en calle no funcionó la lámpara frontal y si estaba funcionando al momento de la entrega para cambio de neumático"/>
    <m/>
    <s v="Paola prieto"/>
    <n v="45"/>
    <m/>
    <m/>
  </r>
  <r>
    <d v="2026-01-17T00:00:00"/>
    <x v="0"/>
    <x v="1"/>
    <s v="CAMILO ALBERTO"/>
    <s v="TIRADO MARIÑO"/>
    <n v="573213988284"/>
    <n v="76629"/>
    <x v="1"/>
    <x v="2"/>
    <s v="Me entregaron la patineta con una parte rota, en la fotos del día de entrega se evidencia que es parte no estaba así y cuando fui hacer el reclamo me dijeron que si llegó así, también esa misma parte tiene residuos de pegante como si hubieran intentado unir la parte rota de alguna manera."/>
    <m/>
    <m/>
    <s v="Cerditos"/>
    <m/>
    <m/>
  </r>
  <r>
    <d v="2026-01-17T00:00:00"/>
    <x v="0"/>
    <x v="1"/>
    <s v="PABLO CESAR"/>
    <s v="SARAZA LOPEZ"/>
    <n v="573147391889"/>
    <n v="77170"/>
    <x v="0"/>
    <x v="0"/>
    <s v="Me a parecido super buena muy cómoda me siento súper bien con la marca👍🏻"/>
    <s v="Inicio"/>
    <m/>
    <s v="En la avenida las Vegas"/>
    <m/>
    <m/>
  </r>
  <r>
    <d v="2026-01-17T00:00:00"/>
    <x v="0"/>
    <x v="1"/>
    <s v="JOHN JAIRO"/>
    <s v="GOMEZ MEJIA"/>
    <n v="573154715620"/>
    <n v="76584"/>
    <x v="1"/>
    <x v="2"/>
    <s v="Buena venta, buen producto, muy mal servicio postventa (mantenimientos)"/>
    <m/>
    <m/>
    <s v="."/>
    <m/>
    <m/>
  </r>
  <r>
    <d v="2026-01-17T00:00:00"/>
    <x v="0"/>
    <x v="1"/>
    <s v="SAMIR JOSE"/>
    <s v="BECERRA NUÑEZ"/>
    <n v="573004647659"/>
    <n v="76960"/>
    <x v="0"/>
    <x v="0"/>
    <s v="Muy buen servicio"/>
    <s v="Inicio"/>
    <m/>
    <s v="Javeriana"/>
    <m/>
    <m/>
  </r>
  <r>
    <d v="2026-01-17T00:00:00"/>
    <x v="0"/>
    <x v="1"/>
    <s v="JUAN SEBASTIAN"/>
    <s v="ESPEJO BAYONA"/>
    <n v="573142862612"/>
    <n v="77132"/>
    <x v="0"/>
    <x v="0"/>
    <s v="Muy Buena atencion y servicio por parte de taller javiarana nunca decepcionan Los empleados de Este Punto minca"/>
    <s v="Inicio"/>
    <m/>
    <s v="."/>
    <m/>
    <m/>
  </r>
  <r>
    <d v="2026-01-17T00:00:00"/>
    <x v="0"/>
    <x v="1"/>
    <s v="OSCAR JAVIER"/>
    <s v="PACHON GAITAN"/>
    <n v="573138789100"/>
    <n v="76947"/>
    <x v="0"/>
    <x v="0"/>
    <m/>
    <s v="Inicio"/>
    <m/>
    <s v="Calle 72"/>
    <m/>
    <m/>
  </r>
  <r>
    <d v="2026-01-17T00:00:00"/>
    <x v="0"/>
    <x v="1"/>
    <s v="SLAVOI SLAVKO"/>
    <s v="SANCHEZ SORMAN"/>
    <n v="573163048049"/>
    <n v="77140"/>
    <x v="0"/>
    <x v="0"/>
    <s v="Honestamente tengo que decir que muy pocas las veces uno se encuentra con un Servicio Tan Bueno como el que ustedes brindan. Paula tiene un servicio la cliente Maravilloso, los chicos del taller súper atentos y te entregan tu scooter con todos los arreglos y satisfacción. Las damas del Showroom súper cordiales y muy buena la transferencia de conocimiento para el uso de la Scooter. De verdad, estoy muy contento!!! Los Felicito por tan buen equipo de trabajo y buen producto..👍🏻🌟"/>
    <s v="Inicio"/>
    <m/>
    <s v="Minca JAVERIANA"/>
    <m/>
    <m/>
  </r>
  <r>
    <d v="2026-01-17T00:00:00"/>
    <x v="0"/>
    <x v="1"/>
    <s v="DAVID EDUARDO"/>
    <s v="JAIMES GOMEZ"/>
    <n v="573193032172"/>
    <n v="77134"/>
    <x v="0"/>
    <x v="0"/>
    <s v="Excelente servicio y muy amables"/>
    <s v="Inicio"/>
    <m/>
    <s v="Cedritos"/>
    <m/>
    <m/>
  </r>
  <r>
    <d v="2026-01-16T00:00:00"/>
    <x v="0"/>
    <x v="1"/>
    <s v="MIGUEL"/>
    <s v="CUTIVA"/>
    <n v="573124150574"/>
    <n v="77102"/>
    <x v="0"/>
    <x v="0"/>
    <s v="Cordial saludo._x000a_En la version minca ats 2400, deben hacerle una nueva re vision, el tema de la cinta para el pliegue no es suficiente para el peso de la patineta. _x000a_El guardabarros es de pésima calidad es un plástico demasiado barato, sería bueno tener la opción de comprar uno de mejor calidad. _x000a_Espero traigan la opción de guardabarro delantero y trasero que cubra mucho más las llantas. _x000a_Gracias por la atención."/>
    <s v="Inicio"/>
    <m/>
    <s v="Av Chile con carrera 24"/>
    <m/>
    <m/>
  </r>
  <r>
    <d v="2026-01-16T00:00:00"/>
    <x v="0"/>
    <x v="1"/>
    <s v="ANGELICA MARIANA"/>
    <s v="JARAMILLO NARANJO"/>
    <n v="573105811020"/>
    <n v="77017"/>
    <x v="0"/>
    <x v="0"/>
    <s v="La experiencia y el trabajo ofrecido por el personal de esta cede es excepcional,"/>
    <s v="Inicio"/>
    <m/>
    <s v="avenida chile"/>
    <m/>
    <m/>
  </r>
  <r>
    <d v="2026-01-16T00:00:00"/>
    <x v="0"/>
    <x v="1"/>
    <s v="LUIS ENREIQUE"/>
    <s v="RODALLEGA BALANTA"/>
    <n v="573504406040"/>
    <n v="77076"/>
    <x v="0"/>
    <x v="0"/>
    <s v="Excelente servicio y amable con su clientes"/>
    <s v="Inicio"/>
    <m/>
    <s v="Medellín"/>
    <m/>
    <m/>
  </r>
  <r>
    <d v="2026-01-16T00:00:00"/>
    <x v="0"/>
    <x v="1"/>
    <s v="LAURA MARIA"/>
    <s v="ESGUERRA VILLEGAS"/>
    <n v="573157638530"/>
    <n v="76687"/>
    <x v="0"/>
    <x v="0"/>
    <s v="El servicio técnico, excelente."/>
    <s v="Inicio"/>
    <m/>
    <s v="Chico"/>
    <m/>
    <m/>
  </r>
  <r>
    <d v="2026-01-16T00:00:00"/>
    <x v="0"/>
    <x v="1"/>
    <s v="DEISY YURANY"/>
    <s v="GUTIERREZ AYALA"/>
    <n v="573045286981"/>
    <n v="76611"/>
    <x v="0"/>
    <x v="0"/>
    <s v="La marca es muy buena_x000a_No me arrepiento de mi compra"/>
    <s v="Inicio"/>
    <m/>
    <s v="Cedritos"/>
    <m/>
    <m/>
  </r>
  <r>
    <d v="2026-01-16T00:00:00"/>
    <x v="0"/>
    <x v="1"/>
    <s v="NARENN DARYANIF"/>
    <s v="MUÑOZ CORREDOR"/>
    <n v="573023962294"/>
    <n v="77069"/>
    <x v="0"/>
    <x v="0"/>
    <s v="Que sigan como van!!! Y con más fuerza o debería decir con más voltaje!! ⚡️⚡️"/>
    <s v="Inicio"/>
    <m/>
    <s v="Av chile"/>
    <m/>
    <m/>
  </r>
  <r>
    <d v="2026-01-16T00:00:00"/>
    <x v="0"/>
    <x v="1"/>
    <s v="LUISA FERNANDA"/>
    <s v="GÓMEZ VÉLEZ"/>
    <n v="573148238532"/>
    <n v="75527"/>
    <x v="0"/>
    <x v="0"/>
    <s v="Muy buena calidad"/>
    <s v="Inicio"/>
    <m/>
    <s v="Medellín"/>
    <m/>
    <m/>
  </r>
  <r>
    <d v="2026-01-16T00:00:00"/>
    <x v="0"/>
    <x v="1"/>
    <s v="JOSE JAVIER"/>
    <s v="PUIN BARRERO"/>
    <n v="573018010969"/>
    <n v="76693"/>
    <x v="0"/>
    <x v="0"/>
    <s v="Excelente"/>
    <s v="Inicio"/>
    <m/>
    <s v="Javeriana"/>
    <m/>
    <m/>
  </r>
  <r>
    <d v="2026-01-16T00:00:00"/>
    <x v="0"/>
    <x v="1"/>
    <s v="MIGUEL"/>
    <s v="PRADILLA BARAJAS"/>
    <n v="573102024240"/>
    <n v="76955"/>
    <x v="0"/>
    <x v="0"/>
    <s v="Fue una atención rápida y amable ."/>
    <s v="Inicio"/>
    <m/>
    <s v="Calle 96"/>
    <m/>
    <m/>
  </r>
  <r>
    <d v="2026-01-16T00:00:00"/>
    <x v="0"/>
    <x v="1"/>
    <s v="JUAN SEBASTIAN"/>
    <s v="DIOPASA RIVAS"/>
    <n v="573103031503"/>
    <n v="77028"/>
    <x v="0"/>
    <x v="0"/>
    <s v="Muy amables en recepción y la parte técnica, sería bueno que tengas más accesorios como guarda polvos para delanteros para línea ats, exhibición de llantas o luces adicionales"/>
    <s v="Inicio"/>
    <m/>
    <s v="Av chile"/>
    <m/>
    <m/>
  </r>
  <r>
    <d v="2026-01-16T00:00:00"/>
    <x v="0"/>
    <x v="1"/>
    <s v="JOHNATTAN MICHELLE"/>
    <s v="PERTUZ GONZALEZ"/>
    <n v="573022345280"/>
    <n v="76631"/>
    <x v="2"/>
    <x v="0"/>
    <s v="Los mecánicos no realizan sus trabajo bien"/>
    <s v="Inicio"/>
    <s v="Laura Mendoza"/>
    <s v="Principal y Cedritos"/>
    <m/>
    <m/>
  </r>
  <r>
    <d v="2026-01-16T00:00:00"/>
    <x v="0"/>
    <x v="1"/>
    <s v="JOSE LUIS"/>
    <s v="ESPITIA ZAMBRANO"/>
    <n v="573112974457"/>
    <n v="74660"/>
    <x v="2"/>
    <x v="2"/>
    <s v="La marca en sí me ha parecido medianamente bien, no la mejor pero bueno, sin embargo el área de servicio al cliente me ha parecido nefasta, respuesta tardía, sin sentido sin diligencia ni gestión humana, he tenido más de 18 ingresos a garantía y la patineta aún falla, no hay respuesta final ni nada, entonces esto ha sido lo más maluco de parte de Minca"/>
    <s v="Clic"/>
    <m/>
    <s v="Chico"/>
    <m/>
    <m/>
  </r>
  <r>
    <d v="2026-01-16T00:00:00"/>
    <x v="0"/>
    <x v="1"/>
    <s v="JUAN DAVID"/>
    <s v="BELTRAN GARZON"/>
    <n v="573108777663"/>
    <n v="76986"/>
    <x v="0"/>
    <x v="0"/>
    <s v="Excelente atención al cliente, servicio de taller impecable"/>
    <s v="Inicio"/>
    <m/>
    <s v="Las Vegas"/>
    <m/>
    <m/>
  </r>
  <r>
    <d v="2026-01-16T00:00:00"/>
    <x v="0"/>
    <x v="1"/>
    <s v="WILSON"/>
    <s v="ONARTA GAITAN"/>
    <n v="573114579738"/>
    <n v="76589"/>
    <x v="0"/>
    <x v="0"/>
    <m/>
    <s v="Inicio"/>
    <m/>
    <s v="Nunca Minca Cedritos"/>
    <m/>
    <m/>
  </r>
  <r>
    <d v="2026-01-16T00:00:00"/>
    <x v="0"/>
    <x v="1"/>
    <s v="WILSON"/>
    <s v="ONARTA GAITAN"/>
    <n v="573114579738"/>
    <n v="76589"/>
    <x v="0"/>
    <x v="0"/>
    <s v="Gracias"/>
    <s v="Inicio"/>
    <m/>
    <s v="Nunca Minca Cedritos"/>
    <m/>
    <m/>
  </r>
  <r>
    <d v="2026-01-15T00:00:00"/>
    <x v="0"/>
    <x v="1"/>
    <s v="KAREN DAYANA"/>
    <s v="RODRIGUEZ VILLAMIL"/>
    <n v="573133702020"/>
    <n v="76951"/>
    <x v="0"/>
    <x v="0"/>
    <s v="Me gusta mucho la atención que tienen con el cliente"/>
    <s v="Inicio"/>
    <m/>
    <s v="Calle 72"/>
    <m/>
    <m/>
  </r>
  <r>
    <d v="2026-01-15T00:00:00"/>
    <x v="0"/>
    <x v="1"/>
    <s v="NICOLAS"/>
    <s v="SILVA ESPINOSA"/>
    <n v="573024138210"/>
    <n v="76532"/>
    <x v="0"/>
    <x v="0"/>
    <s v="Me gustaría que le servicio fuera más rápido se demoraron 3 días en entregarme la parienta pero al final me devolvieron la patineta muy bien"/>
    <s v="Inicio"/>
    <m/>
    <s v="Chico norte"/>
    <m/>
    <m/>
  </r>
  <r>
    <d v="2026-01-15T00:00:00"/>
    <x v="0"/>
    <x v="1"/>
    <s v="YIRA SORANYI"/>
    <s v="PEDRAZA PINZON"/>
    <n v="573152075269"/>
    <n v="76622"/>
    <x v="0"/>
    <x v="0"/>
    <s v="Super"/>
    <s v="Inicio"/>
    <m/>
    <s v="Quiero hacer el traspaso de una patineta a nombre d Emi esposos para que de ahora en adelante para ex a como el propietario"/>
    <m/>
    <m/>
  </r>
  <r>
    <d v="2026-01-15T00:00:00"/>
    <x v="0"/>
    <x v="1"/>
    <s v="MARIA CLARA"/>
    <s v="ARIZA SANCHEZ"/>
    <n v="573016856355"/>
    <n v="76575"/>
    <x v="0"/>
    <x v="0"/>
    <s v="En general ha sido muy buena, he tenido inconvenientes con el servicio al cliente por medio de WhatsApp pero de resto todo ha sido muy bueno."/>
    <s v="Inicio"/>
    <m/>
    <s v="Av chile"/>
    <m/>
    <m/>
  </r>
  <r>
    <d v="2026-01-15T00:00:00"/>
    <x v="0"/>
    <x v="1"/>
    <s v="CRISTIAN"/>
    <s v="VELANDIA"/>
    <n v="573118186537"/>
    <n v="76549"/>
    <x v="0"/>
    <x v="0"/>
    <s v="Muy buen servicio al_x000a_Cliente"/>
    <s v="Inicio"/>
    <m/>
    <s v="Chico"/>
    <m/>
    <m/>
  </r>
  <r>
    <d v="2026-01-15T00:00:00"/>
    <x v="0"/>
    <x v="1"/>
    <s v="FELIPE"/>
    <s v="OSORIO"/>
    <n v="573016572382"/>
    <n v="76661"/>
    <x v="0"/>
    <x v="0"/>
    <s v="Todo perfecto muchas gracias por la atención"/>
    <s v="Inicio"/>
    <m/>
    <s v="."/>
    <m/>
    <m/>
  </r>
  <r>
    <d v="2026-01-15T00:00:00"/>
    <x v="0"/>
    <x v="1"/>
    <s v="GERMAN"/>
    <s v="GARCIA"/>
    <n v="573012895259"/>
    <n v="76840"/>
    <x v="0"/>
    <x v="0"/>
    <s v="Buen servicio de despinche"/>
    <s v="Inicio"/>
    <m/>
    <s v="Chico"/>
    <m/>
    <m/>
  </r>
  <r>
    <d v="2026-01-15T00:00:00"/>
    <x v="0"/>
    <x v="1"/>
    <s v="ANASOL"/>
    <s v="FLOREZ SALAZAR"/>
    <n v="573143379285"/>
    <n v="76625"/>
    <x v="0"/>
    <x v="0"/>
    <s v="Muy buena atencion al cleinte, muy diferente al taller de chico que es pesima. El trabajo es rapido y bueno y los trabajadores son muy amables y solucionan todas las dudas de una manera efectiva. Volvere al taller de javeriana por que al de chico 94 no vuelvo ni por que me paguen."/>
    <s v="Inicio"/>
    <m/>
    <s v="Javeriana"/>
    <m/>
    <m/>
  </r>
  <r>
    <d v="2026-01-15T00:00:00"/>
    <x v="0"/>
    <x v="1"/>
    <s v="EDWIN"/>
    <s v="PACHECO MONTILLA"/>
    <n v="573188009244"/>
    <n v="76850"/>
    <x v="0"/>
    <x v="0"/>
    <s v="Excelente servicio, rápido y muy preciso en las actividades ejecutadas, muchas gracias"/>
    <s v="Inicio"/>
    <s v="Angie Montoya"/>
    <s v="Taller Chico"/>
    <m/>
    <m/>
  </r>
  <r>
    <d v="2026-01-15T00:00:00"/>
    <x v="0"/>
    <x v="1"/>
    <s v="LUIS GUILLERMO"/>
    <s v="BUITRAGO"/>
    <n v="573015420771"/>
    <n v="76750"/>
    <x v="0"/>
    <x v="0"/>
    <s v="Servicio ágil y adecuado para la necesidad que traia"/>
    <s v="Inicio"/>
    <m/>
    <s v="Calle 95"/>
    <m/>
    <m/>
  </r>
  <r>
    <d v="2026-01-14T00:00:00"/>
    <x v="0"/>
    <x v="1"/>
    <s v="JUAN CAMILO"/>
    <s v="RIVEROS BOTERO"/>
    <n v="573103084741"/>
    <n v="76695"/>
    <x v="0"/>
    <x v="0"/>
    <s v="Servicio oportuno y flexible"/>
    <s v="Inicio"/>
    <m/>
    <s v="Chicó"/>
    <m/>
    <m/>
  </r>
  <r>
    <d v="2026-01-14T00:00:00"/>
    <x v="0"/>
    <x v="1"/>
    <s v="RAMON ALBERTO"/>
    <s v="ROCHA PERALTA"/>
    <n v="573144131518"/>
    <n v="76015"/>
    <x v="0"/>
    <x v="0"/>
    <s v="No excelente todo respuesta el servicio post venta Marcela muy yquerida en todo me ayudó"/>
    <s v="Inicio"/>
    <m/>
    <s v="Calle 95"/>
    <m/>
    <m/>
  </r>
  <r>
    <d v="2026-01-14T00:00:00"/>
    <x v="0"/>
    <x v="1"/>
    <s v="RAMON ALBERTO"/>
    <s v="ROCHA PERALTA"/>
    <n v="573144131518"/>
    <n v="76015"/>
    <x v="0"/>
    <x v="2"/>
    <s v="No excelente todo respuesta el servicio post venta Marcela muy yquerida en todo me ayudó"/>
    <s v="Clic"/>
    <m/>
    <s v="Calle 95"/>
    <m/>
    <m/>
  </r>
  <r>
    <d v="2026-01-14T00:00:00"/>
    <x v="0"/>
    <x v="1"/>
    <s v="SERGIO RICARDO"/>
    <s v="TORRES ALVAREZ"/>
    <n v="573212712740"/>
    <n v="75124"/>
    <x v="0"/>
    <x v="0"/>
    <s v="he tenido que ir con mucha frecuencia al taller - estaba muy ilucionado con la patineta pero se me ha ido dañando la experiencia, voy a darle un chance final a la patineta"/>
    <s v="Inicio"/>
    <m/>
    <s v="chico"/>
    <m/>
    <m/>
  </r>
  <r>
    <d v="2026-01-14T00:00:00"/>
    <x v="0"/>
    <x v="1"/>
    <s v="SERGIO ALFONSO"/>
    <s v="RAMOS GARCIA"/>
    <n v="573175608795"/>
    <n v="76701"/>
    <x v="0"/>
    <x v="0"/>
    <s v="Excelente"/>
    <s v="Inicio"/>
    <m/>
    <s v="Chico"/>
    <m/>
    <m/>
  </r>
  <r>
    <d v="2026-01-14T00:00:00"/>
    <x v="0"/>
    <x v="1"/>
    <s v="DIEGO FELIPE"/>
    <s v="TRUJILLO QUINTERO"/>
    <n v="573132922732"/>
    <n v="76659"/>
    <x v="1"/>
    <x v="1"/>
    <s v="Tenían que revisar frenos, tornillos y despinchar la llanta, me hicieron firmar la orden y la recogí, parecía estar bien pero no se le realizó nada. Apenas llegué a mi destino me di cuenta que la llanta igual estaba sin arreglar y me la cobraron, ni los frenos ni los tornillos los revisaron. Debo volver a llevarla por garantía y seguir perdiendo tiempo con la patineta que no he podido usar bien…"/>
    <m/>
    <m/>
    <s v="Javeriana"/>
    <m/>
    <m/>
  </r>
  <r>
    <d v="2026-01-14T00:00:00"/>
    <x v="0"/>
    <x v="1"/>
    <s v="JACKSON SAIR"/>
    <s v="FINO LOPEZ"/>
    <n v="573222387832"/>
    <n v="76749"/>
    <x v="0"/>
    <x v="0"/>
    <s v="Gracias"/>
    <s v="Inicio"/>
    <m/>
    <s v="Av chile"/>
    <m/>
    <m/>
  </r>
  <r>
    <d v="2026-01-14T00:00:00"/>
    <x v="0"/>
    <x v="1"/>
    <s v="ESTEBAN"/>
    <s v="GRISALES"/>
    <n v="573207238360"/>
    <n v="75263"/>
    <x v="0"/>
    <x v="0"/>
    <s v="Muy buen servicio mejor que en veces anteriores"/>
    <s v="Inicio"/>
    <m/>
    <n v="96"/>
    <m/>
    <m/>
  </r>
  <r>
    <d v="2026-01-14T00:00:00"/>
    <x v="0"/>
    <x v="1"/>
    <s v="CAMILO URBEY"/>
    <s v="GARCIA CARRILLO"/>
    <n v="573507659729"/>
    <n v="76715"/>
    <x v="0"/>
    <x v="0"/>
    <m/>
    <s v="Inicio"/>
    <m/>
    <s v="Cedritos"/>
    <m/>
    <m/>
  </r>
  <r>
    <d v="2026-01-14T00:00:00"/>
    <x v="0"/>
    <x v="1"/>
    <s v="OSCAR FERNANDO"/>
    <s v="GUZMAN GARCIA"/>
    <n v="573102993569"/>
    <n v="73004"/>
    <x v="0"/>
    <x v="0"/>
    <s v="&quot; la unica recomendacion que debo hacer, para mejorar en la sede chico, es que los asesores no olviden que los clientes no somos expertos en patineras o transporte electrico, ya que aveces se usan terminos que no se entienden y se asume que el cliente entendio y es mejor que cada situacion sea alcarada de la mejor manera&quot;"/>
    <s v="Inicio"/>
    <m/>
    <s v="Chico"/>
    <m/>
    <m/>
  </r>
  <r>
    <d v="2026-01-14T00:00:00"/>
    <x v="0"/>
    <x v="1"/>
    <s v="JAIRO ARQUIMIDES"/>
    <s v="SANCHEZ"/>
    <n v="573002673927"/>
    <n v="75921"/>
    <x v="0"/>
    <x v="0"/>
    <s v="Recomendable un buen servicio y lo recomendaría para que compren Minca👍"/>
    <s v="Inicio"/>
    <m/>
    <s v="Calle 72 Cra 25"/>
    <m/>
    <m/>
  </r>
  <r>
    <d v="2026-01-13T00:00:00"/>
    <x v="0"/>
    <x v="1"/>
    <s v="JORGE EDUARDO"/>
    <s v="ZUÑIGA ALVAREZ"/>
    <n v="573168720708"/>
    <n v="73694"/>
    <x v="2"/>
    <x v="1"/>
    <s v="No estoy muy contento, constantemente se descalibra la Batería, tiene muchos ruidos, es desajustada la patineta, la amortiguación nobes muy buena, no tienen repuestos para el guardabarros trasero"/>
    <m/>
    <m/>
    <s v="Chico"/>
    <m/>
    <m/>
  </r>
  <r>
    <d v="2026-01-13T00:00:00"/>
    <x v="0"/>
    <x v="1"/>
    <s v="YINER ALEJANDRO"/>
    <s v="VALDERRAMA"/>
    <n v="573112326166"/>
    <n v="76579"/>
    <x v="0"/>
    <x v="0"/>
    <s v="Quiero expresar mi total satisfacción por el servicio técnico realizado a mi Minca 2400. La atención fue impecable y el equipo demostró un gran conocimiento técnico sobre este modelo. La patineta quedó en perfectas condiciones, se siente como nueva y muy segura al conducir. ¡Muchas gracias por el profesionalismo y el cumplimiento"/>
    <s v="Inicio"/>
    <m/>
    <s v="."/>
    <m/>
    <m/>
  </r>
  <r>
    <d v="2026-01-13T00:00:00"/>
    <x v="0"/>
    <x v="1"/>
    <s v="JOHANN STEVEN"/>
    <s v="GOMEZ BOTERO"/>
    <n v="573214248482"/>
    <n v="76632"/>
    <x v="0"/>
    <x v="0"/>
    <s v="Excelente atención"/>
    <s v="Inicio"/>
    <m/>
    <s v="Javeriana"/>
    <m/>
    <m/>
  </r>
  <r>
    <d v="2026-01-13T00:00:00"/>
    <x v="0"/>
    <x v="1"/>
    <s v="HARLINTON ORLANDO"/>
    <s v="CASTAÑECA MONTOYA"/>
    <n v="573103509843"/>
    <n v="76539"/>
    <x v="0"/>
    <x v="0"/>
    <s v="Muy buen servicio y atención"/>
    <s v="Inicio"/>
    <s v="Andrés rincon"/>
    <s v="Avenida chile"/>
    <m/>
    <m/>
  </r>
  <r>
    <d v="2026-01-13T00:00:00"/>
    <x v="0"/>
    <x v="1"/>
    <s v="DANIEL ANDRES"/>
    <s v="PEDREROS GUERRA"/>
    <n v="573107633195"/>
    <n v="76581"/>
    <x v="0"/>
    <x v="0"/>
    <s v="Excelente servicio al cliente en el taller de la javeriana"/>
    <s v="Inicio"/>
    <m/>
    <s v="Javeriana"/>
    <m/>
    <m/>
  </r>
  <r>
    <d v="2025-12-24T00:00:00"/>
    <x v="1"/>
    <x v="2"/>
    <s v="CAMILA"/>
    <s v="BULA"/>
    <n v="573007369400"/>
    <n v="75886"/>
    <x v="0"/>
    <x v="0"/>
    <s v="Me ha ido muy bien y siempre me han solucionado"/>
    <s v="Inicio"/>
    <m/>
    <s v="Cedritos"/>
    <m/>
    <m/>
  </r>
  <r>
    <d v="2025-12-24T00:00:00"/>
    <x v="1"/>
    <x v="2"/>
    <s v="ALVARO"/>
    <s v="PRIETO"/>
    <n v="573015923632"/>
    <n v="75809"/>
    <x v="0"/>
    <x v="0"/>
    <s v="Por el momento, mis dos visitas al taller me han parecido bueno buena atención"/>
    <s v="Inicio"/>
    <m/>
    <s v="Cerditos"/>
    <m/>
    <m/>
  </r>
  <r>
    <d v="2025-12-24T00:00:00"/>
    <x v="1"/>
    <x v="2"/>
    <s v="DANIEL ALEJANDRO"/>
    <s v="PACHON RODRIGUEZ"/>
    <n v="573108621584"/>
    <n v="76109"/>
    <x v="0"/>
    <x v="1"/>
    <m/>
    <m/>
    <m/>
    <s v="."/>
    <m/>
    <m/>
  </r>
  <r>
    <d v="2025-12-24T00:00:00"/>
    <x v="1"/>
    <x v="2"/>
    <s v="JUAN FELIPE"/>
    <s v="ALVAREZ RIZZO"/>
    <n v="573155277625"/>
    <n v="75821"/>
    <x v="0"/>
    <x v="0"/>
    <s v="Muy buena atención, oportuna entrega de la patineta, nada que reprochar, muy bueno"/>
    <s v="Inicio"/>
    <m/>
    <s v="Calle 72 avenida chile"/>
    <m/>
    <m/>
  </r>
  <r>
    <d v="2025-12-24T00:00:00"/>
    <x v="1"/>
    <x v="2"/>
    <s v="FABIO ANDRES"/>
    <s v="BARROS QUIROZ"/>
    <n v="573103986687"/>
    <n v="76085"/>
    <x v="0"/>
    <x v="0"/>
    <s v="Opinión: en general, buen servicio. _x000a__x000a_Sugerencia: deberían contemplar la creación de un guardabarros delantero para la 2400w último modelo. De igual manera, vender los protectores de tornillos hexagonales de la patineta."/>
    <s v="Inicio"/>
    <m/>
    <s v="Cedritos"/>
    <m/>
    <m/>
  </r>
  <r>
    <d v="2025-12-24T00:00:00"/>
    <x v="1"/>
    <x v="2"/>
    <s v="FELIPE"/>
    <s v="GONZALEZ"/>
    <n v="573167427483"/>
    <n v="75415"/>
    <x v="2"/>
    <x v="2"/>
    <s v="Las asesoras siempre tienen mala actitud, atienden como haciéndole u. Favor a uno… uno nunca recibe estado de la orden"/>
    <m/>
    <m/>
    <s v="Cedritos"/>
    <m/>
    <m/>
  </r>
  <r>
    <d v="2025-12-24T00:00:00"/>
    <x v="1"/>
    <x v="2"/>
    <s v="JOHN ALEJANDRO"/>
    <s v="MANRIQUE SEPULVEDA"/>
    <n v="573203110804"/>
    <n v="74258"/>
    <x v="1"/>
    <x v="2"/>
    <m/>
    <s v="Inicio"/>
    <m/>
    <s v="."/>
    <m/>
    <m/>
  </r>
  <r>
    <d v="2025-12-24T00:00:00"/>
    <x v="1"/>
    <x v="2"/>
    <s v="LUIS ALFONSO"/>
    <s v="VARGAS PETRO"/>
    <n v="573122992660"/>
    <n v="76117"/>
    <x v="0"/>
    <x v="0"/>
    <s v="Muy eficientes en el servicio y rápida la entrega"/>
    <s v="Inicio"/>
    <m/>
    <s v="."/>
    <m/>
    <m/>
  </r>
  <r>
    <d v="2025-12-24T00:00:00"/>
    <x v="1"/>
    <x v="2"/>
    <s v="JOSÉ CARLOS"/>
    <s v="MARTELO"/>
    <n v="573153692775"/>
    <n v="75558"/>
    <x v="1"/>
    <x v="0"/>
    <s v="Excelente"/>
    <m/>
    <s v="Paola prieto"/>
    <s v="Javeriana"/>
    <m/>
    <m/>
  </r>
  <r>
    <d v="2025-12-24T00:00:00"/>
    <x v="1"/>
    <x v="2"/>
    <s v="ZU CAPITAL"/>
    <s v="IN"/>
    <n v="573106962088"/>
    <n v="75774"/>
    <x v="0"/>
    <x v="0"/>
    <s v="Lo mejor de lo mejor!"/>
    <s v="Inicio"/>
    <m/>
    <s v="Calle 95"/>
    <m/>
    <m/>
  </r>
  <r>
    <d v="2025-12-24T00:00:00"/>
    <x v="1"/>
    <x v="2"/>
    <s v="JULIO CESAR"/>
    <s v="MACIAS MORA"/>
    <n v="573209400515"/>
    <n v="75814"/>
    <x v="2"/>
    <x v="1"/>
    <s v="Abrir más taller en suba más cerca del mantenimiento regular hacen el mantenimiento muy superficial"/>
    <m/>
    <m/>
    <s v="Calle 72"/>
    <m/>
    <m/>
  </r>
  <r>
    <d v="2025-12-24T00:00:00"/>
    <x v="1"/>
    <x v="2"/>
    <s v="LUIS SANTIAGO"/>
    <s v="CALVO RUBIO"/>
    <n v="573013495623"/>
    <n v="75322"/>
    <x v="0"/>
    <x v="0"/>
    <s v="Me ha gusta mucho el servicio posventa"/>
    <s v="Inicio"/>
    <m/>
    <s v="En la de la 72 con 24"/>
    <m/>
    <m/>
  </r>
  <r>
    <d v="2025-12-24T00:00:00"/>
    <x v="1"/>
    <x v="2"/>
    <s v="ANGELA JOHANNA"/>
    <s v="ROBAYO"/>
    <n v="573174253870"/>
    <n v="76106"/>
    <x v="0"/>
    <x v="0"/>
    <s v="Excelente servicio. Siempre he asistido a este taller y siempre el servicio es el mejor"/>
    <s v="Inicio"/>
    <m/>
    <s v="Cedritos"/>
    <m/>
    <m/>
  </r>
  <r>
    <d v="2025-12-24T00:00:00"/>
    <x v="1"/>
    <x v="2"/>
    <s v="JULIAN CAMILO"/>
    <s v="ZUÑIGA PEREZ"/>
    <n v="573102681328"/>
    <n v="76086"/>
    <x v="1"/>
    <x v="0"/>
    <s v="Muy mala, he gastado en mantenimiento lo que cuestan 2 patinetas nuevas, nunca me han solucionado el problema eléctrico que tiene la patineta, le he cambiado el controlador 3 veces, acabo de salir del taller y andé 1 minuto con la patineta y se apagó. Ha sido muy frustrante tener esta marca, la uso porque la necesito pero no la recomendaría jamás."/>
    <m/>
    <m/>
    <s v="Cedritos"/>
    <m/>
    <m/>
  </r>
  <r>
    <d v="2025-12-24T00:00:00"/>
    <x v="1"/>
    <x v="2"/>
    <s v="JEAN CARLOS"/>
    <s v="MAZA MAZA"/>
    <n v="573186756497"/>
    <n v="76105"/>
    <x v="0"/>
    <x v="0"/>
    <s v="Muy buena para mi satisfacción. Excelente 👍🏼😎🙏"/>
    <s v="Inicio"/>
    <m/>
    <s v="Taller Chico"/>
    <m/>
    <m/>
  </r>
  <r>
    <d v="2025-12-24T00:00:00"/>
    <x v="1"/>
    <x v="2"/>
    <s v="JUAN PABLO"/>
    <s v="ALZATE CONTRERAS"/>
    <n v="573224554965"/>
    <n v="75879"/>
    <x v="0"/>
    <x v="0"/>
    <s v="Excelente servicio"/>
    <s v="Inicio"/>
    <m/>
    <s v="Chico"/>
    <m/>
    <m/>
  </r>
  <r>
    <d v="2025-12-23T00:00:00"/>
    <x v="1"/>
    <x v="2"/>
    <s v="MARIA FERNANDA"/>
    <s v="AVILA RINCON"/>
    <n v="573133128376"/>
    <n v="76103"/>
    <x v="0"/>
    <x v="0"/>
    <s v="Tuve varios inconvenientes con la batería y algunas otras cosas pero han solucionado dentro de lo posible"/>
    <s v="Inicio"/>
    <m/>
    <s v="Chicó norte"/>
    <m/>
    <m/>
  </r>
  <r>
    <d v="2025-12-23T00:00:00"/>
    <x v="1"/>
    <x v="2"/>
    <s v="JUAN CARLOS"/>
    <s v="MANRIQUE GONZALEZ"/>
    <n v="573102558579"/>
    <n v="76055"/>
    <x v="0"/>
    <x v="0"/>
    <s v="Excelente"/>
    <s v="Inicio"/>
    <m/>
    <s v="Calle 95"/>
    <m/>
    <m/>
  </r>
  <r>
    <d v="2025-12-23T00:00:00"/>
    <x v="1"/>
    <x v="2"/>
    <s v="OMAR YESID"/>
    <s v="GUEVARA NAVAS"/>
    <n v="573015907162"/>
    <n v="75599"/>
    <x v="2"/>
    <x v="0"/>
    <s v="Tal vez más claridad en los procesos de reparación, osea saber exactamente que fue lo que se le daño a la patineta, por medio de una foto o de un vídeo corto para que sea más satisfactorio para el cliente"/>
    <m/>
    <m/>
    <s v="Av chile"/>
    <m/>
    <m/>
  </r>
  <r>
    <d v="2025-12-23T00:00:00"/>
    <x v="1"/>
    <x v="2"/>
    <s v="NICOLAS"/>
    <s v="RAMIREZ SARMIENTO"/>
    <n v="573155617735"/>
    <n v="76136"/>
    <x v="0"/>
    <x v="0"/>
    <s v="Esta bien el servicio"/>
    <s v="Inicio"/>
    <m/>
    <s v="Cedritos"/>
    <m/>
    <m/>
  </r>
  <r>
    <d v="2025-12-23T00:00:00"/>
    <x v="1"/>
    <x v="2"/>
    <s v="NYDIA"/>
    <s v="GUTIERREZ ZIPAMOCHA"/>
    <n v="573144579713"/>
    <n v="75848"/>
    <x v="0"/>
    <x v="0"/>
    <s v="Nunca he tenido queja o problema, el servicio en general es muy bueno!"/>
    <s v="Inicio"/>
    <m/>
    <s v="Nunca chico"/>
    <m/>
    <m/>
  </r>
  <r>
    <d v="2025-12-23T00:00:00"/>
    <x v="1"/>
    <x v="2"/>
    <s v="MICHAEL STEVEN"/>
    <s v="HERNANDEZ SORIANO"/>
    <n v="573245061915"/>
    <n v="75898"/>
    <x v="0"/>
    <x v="0"/>
    <s v="Inicialmente estaba preocupado por los tiempos de respuesta más que todo en estas fechas sin embargo siento que le pusieron esmeró a mi arreglo quedó pendiente la lavada para dejarla como nueva pronto volveré psdta; no se cómo lo hicieron pero ahora la bocina suena mas duro y lo amo. Ya los carros me escuchan"/>
    <s v="Inicio"/>
    <m/>
    <s v="Chico"/>
    <m/>
    <m/>
  </r>
  <r>
    <d v="2025-12-23T00:00:00"/>
    <x v="1"/>
    <x v="2"/>
    <s v="SANDRA MILENA"/>
    <s v="LOPEZ REDONDO"/>
    <n v="573143952397"/>
    <n v="76023"/>
    <x v="0"/>
    <x v="0"/>
    <m/>
    <s v="Inicio"/>
    <m/>
    <s v="Minca av chile"/>
    <m/>
    <m/>
  </r>
  <r>
    <d v="2025-12-23T00:00:00"/>
    <x v="1"/>
    <x v="2"/>
    <s v="HAROLD EDWARD"/>
    <s v="BUSTAMANTE TORRES"/>
    <n v="573012077547"/>
    <n v="75830"/>
    <x v="1"/>
    <x v="2"/>
    <s v="Después que acepté la cotización, que a propósito nunca la pude abrir o leer pues el archivo no abrió, pasados ocho días y después de escribirles todos los días me dieran alguna razón,  recibí un mensaje que el repuesto llegaba hasta finales de enero de 2026, por lo que decidí pasar a recoger mi scooter sin arreglo o mantenimiento alguno, peor aun me la entregaron sin frenos y ahora resulta que no arranca ni avanza pese a estar cargada al 100%. Total, pésimo servicio"/>
    <m/>
    <m/>
    <s v="Javeriana"/>
    <m/>
    <m/>
  </r>
  <r>
    <d v="2025-12-23T00:00:00"/>
    <x v="1"/>
    <x v="2"/>
    <s v="JUAN JACOBO"/>
    <s v="ROMERO MORALES"/>
    <n v="573104412939"/>
    <n v="74118"/>
    <x v="2"/>
    <x v="0"/>
    <s v="Me ha ido excelente con ustedes, pero esta última entrega ha sido un problema constante y me dieron respuesta casi un mes después, incluso dejando como prioritario el pedido"/>
    <m/>
    <m/>
    <s v="Javeriana"/>
    <m/>
    <m/>
  </r>
  <r>
    <d v="2025-12-23T00:00:00"/>
    <x v="1"/>
    <x v="2"/>
    <s v="DAVID LEONARDO"/>
    <s v="CABEZAS"/>
    <n v="573058893922"/>
    <n v="74520"/>
    <x v="2"/>
    <x v="0"/>
    <s v="Tiempos de espera demasiado altos"/>
    <m/>
    <m/>
    <s v="Chico"/>
    <m/>
    <m/>
  </r>
  <r>
    <d v="2025-12-23T00:00:00"/>
    <x v="1"/>
    <x v="2"/>
    <s v="JAIRO ALEJANDRO"/>
    <s v="FUENTES SANDOBAL"/>
    <n v="573057102362"/>
    <n v="76068"/>
    <x v="0"/>
    <x v="0"/>
    <s v="Gracias por la rapidez en el mantenimiento"/>
    <s v="Inicio"/>
    <m/>
    <s v="Cedritos"/>
    <m/>
    <m/>
  </r>
  <r>
    <d v="2025-12-23T00:00:00"/>
    <x v="1"/>
    <x v="2"/>
    <s v="IDELSON JOSE"/>
    <s v="SOJO DIAZ"/>
    <n v="573168682748"/>
    <n v="75446"/>
    <x v="0"/>
    <x v="0"/>
    <s v="Están demorándose demasiado en la entrega de los vehículos. En mi caso tuve que esperar más de 10 días lo que genera incomodidad porque la patineta es mi vehículo para movilizarme. Antes a los dos días o tres días por mucho ya entregaban el vehículo y reparaban el arreglo . Deberían revisar esto ya que va desmejorando el servicio y la calidad que antes los distinguía"/>
    <s v="Inicio"/>
    <m/>
    <s v="Chico"/>
    <m/>
    <m/>
  </r>
  <r>
    <d v="2025-12-23T00:00:00"/>
    <x v="1"/>
    <x v="2"/>
    <s v="CAMILO"/>
    <s v="GUTIERREZ VASQUEZ"/>
    <n v="573203920616"/>
    <n v="76102"/>
    <x v="0"/>
    <x v="0"/>
    <s v="Muy rápido"/>
    <s v="Inicio"/>
    <m/>
    <s v="Chico"/>
    <m/>
    <m/>
  </r>
  <r>
    <d v="2025-12-23T00:00:00"/>
    <x v="1"/>
    <x v="2"/>
    <s v="DIEGO FERNANDO"/>
    <s v="RODAS GOMEZ"/>
    <n v="573138796563"/>
    <n v="75079"/>
    <x v="0"/>
    <x v="0"/>
    <s v="La patineta es excelente, tenía como un problema en la dirección, pero después del mantenimiento salió como nueva, estoy muy satisfecho!"/>
    <s v="Inicio"/>
    <m/>
    <s v="Cedritos"/>
    <m/>
    <m/>
  </r>
  <r>
    <d v="2025-12-23T00:00:00"/>
    <x v="1"/>
    <x v="2"/>
    <s v="ALEXANDER JOSE"/>
    <s v="CAÑATE APONTE"/>
    <n v="573172432530"/>
    <n v="75532"/>
    <x v="0"/>
    <x v="0"/>
    <s v="Me gusto como dejaron la patineta luego del mantenimiento y cambio de rodamientos"/>
    <s v="Inicio"/>
    <m/>
    <s v="El que está cerca a la javeriana"/>
    <m/>
    <m/>
  </r>
  <r>
    <d v="2025-12-23T00:00:00"/>
    <x v="1"/>
    <x v="2"/>
    <s v="MARIA ANDREA"/>
    <s v="RODRIGUEZ CASTRO"/>
    <n v="573006822087"/>
    <n v="75690"/>
    <x v="2"/>
    <x v="0"/>
    <s v="El servicio al cliente es muy malo, casi no responden el WhatsApp y dicen que entregan la patineta un día y la entregan casi una semana después. _x000a_La anterior vez que lleve la patineta la dejaron mal instalada y me tocó llevarla ahorita porque la patineta no andaba"/>
    <m/>
    <m/>
    <s v="Avenida chile"/>
    <m/>
    <m/>
  </r>
  <r>
    <d v="2025-12-23T00:00:00"/>
    <x v="1"/>
    <x v="2"/>
    <s v="SARA"/>
    <s v="ECHEVERRI"/>
    <n v="573122573950"/>
    <n v="75355"/>
    <x v="0"/>
    <x v="0"/>
    <s v="Muy buena experiencia, buen servicio, claridad y disponibilidad. Precios justos y muy buena disponibilidad horaria"/>
    <s v="Inicio"/>
    <m/>
    <s v="Las vegas"/>
    <m/>
    <m/>
  </r>
  <r>
    <d v="2025-12-22T00:00:00"/>
    <x v="1"/>
    <x v="2"/>
    <s v="DAVID ESTEBAN"/>
    <s v="CUBILLOS GUTIERREZ"/>
    <n v="573005588402"/>
    <n v="75773"/>
    <x v="0"/>
    <x v="0"/>
    <s v="Muy buen servicio"/>
    <s v="Inicio"/>
    <m/>
    <s v="Javeriana"/>
    <m/>
    <m/>
  </r>
  <r>
    <d v="2025-12-22T00:00:00"/>
    <x v="1"/>
    <x v="2"/>
    <s v="KLYSLERTS EVERARDO"/>
    <s v="VIVAS HERRERA"/>
    <n v="573133163974"/>
    <n v="75197"/>
    <x v="2"/>
    <x v="1"/>
    <s v="Se demoraron 2 semanas para conseguir un repuesto que estaba en otra tienda ahí mismo en Bogotá. La patineta quedó fallando y debo volver a llevarla para que la revisen"/>
    <m/>
    <m/>
    <s v="Cedritos"/>
    <m/>
    <m/>
  </r>
  <r>
    <d v="2025-12-22T00:00:00"/>
    <x v="1"/>
    <x v="2"/>
    <s v="ANDERSON DAVID"/>
    <s v="GUERRERO VILLAMIL"/>
    <n v="573246655085"/>
    <n v="74186"/>
    <x v="1"/>
    <x v="2"/>
    <s v="Me parece un trabajo tan deshonesto de esta sedeb,, como es posible que me llevo mi patineta para arreglo de cambio de controlador por filtración de agua me indican de que la bateria se encuentra en buen estado,,el día lunes 22 de diciembre recojo mi patineta cancelo el dinero correspondiente 300 mil y me doy con la sorpresa al día siguiente de útilizar mi patineta y sale un icono de tornillo rojo donde investigue y según dice que es algún cable que se desconecto"/>
    <m/>
    <m/>
    <s v="Cedritos"/>
    <m/>
    <m/>
  </r>
  <r>
    <d v="2025-12-22T00:00:00"/>
    <x v="1"/>
    <x v="2"/>
    <s v="RICARDO"/>
    <s v="MONSALVE"/>
    <n v="573024622728"/>
    <n v="75447"/>
    <x v="2"/>
    <x v="1"/>
    <m/>
    <m/>
    <m/>
    <s v="Las vegas"/>
    <m/>
    <m/>
  </r>
  <r>
    <d v="2025-12-22T00:00:00"/>
    <x v="1"/>
    <x v="2"/>
    <s v="RICARDO"/>
    <s v="MONSALVE"/>
    <n v="573024622728"/>
    <n v="75447"/>
    <x v="2"/>
    <x v="1"/>
    <s v="No me hicieron el ajuste que necesitaba  además no me calibraron  las llantas"/>
    <m/>
    <m/>
    <s v="Las vegas"/>
    <m/>
    <m/>
  </r>
  <r>
    <d v="2025-12-22T00:00:00"/>
    <x v="1"/>
    <x v="2"/>
    <s v="YEISON ANDRES"/>
    <s v="MORALES MARIN"/>
    <n v="573192372631"/>
    <n v="76008"/>
    <x v="0"/>
    <x v="0"/>
    <s v="Buen servicio"/>
    <s v="Inicio"/>
    <m/>
    <s v="Cedritos"/>
    <m/>
    <m/>
  </r>
  <r>
    <d v="2025-12-22T00:00:00"/>
    <x v="1"/>
    <x v="2"/>
    <s v="MARIA JOSE"/>
    <s v="SOLANO BENJUMEA"/>
    <n v="573104373530"/>
    <n v="75348"/>
    <x v="0"/>
    <x v="0"/>
    <s v="Excelentr"/>
    <s v="Inicio"/>
    <m/>
    <s v="."/>
    <m/>
    <m/>
  </r>
  <r>
    <d v="2025-12-22T00:00:00"/>
    <x v="1"/>
    <x v="2"/>
    <s v="WILLIAM JAVID"/>
    <s v="LOZANO ROJAS"/>
    <n v="573202751462"/>
    <n v="75981"/>
    <x v="0"/>
    <x v="0"/>
    <s v="Aceptable"/>
    <s v="Inicio"/>
    <m/>
    <s v="Calle 72"/>
    <m/>
    <m/>
  </r>
  <r>
    <d v="2025-12-22T00:00:00"/>
    <x v="1"/>
    <x v="2"/>
    <s v="IVAN CESARE"/>
    <s v="SCHIAVI"/>
    <n v="573022597533"/>
    <n v="76012"/>
    <x v="0"/>
    <x v="0"/>
    <s v="No la llevo más y la venderé. _x000a_Quería comprar una moto eléctrica adicional pero será con otra empresa. Un dolor de 🥚 🥚 son._x000a_La atención fue buena pero la cantidad de problemas que he tenido por las recomendaciones del taller Chico  fueron incontables."/>
    <s v="Inicio"/>
    <m/>
    <s v="Cedritos"/>
    <m/>
    <m/>
  </r>
  <r>
    <d v="2025-12-22T00:00:00"/>
    <x v="1"/>
    <x v="2"/>
    <s v="MATEO"/>
    <s v="MONSALVE"/>
    <n v="573136363746"/>
    <n v="75606"/>
    <x v="0"/>
    <x v="0"/>
    <s v="Me parece muy ganador tener todo tan automátizado, que te envíen mensajes cuando la patineta está lista, que puedas ver la orden y el estado en el está"/>
    <s v="Inicio"/>
    <m/>
    <s v="Medellín"/>
    <m/>
    <m/>
  </r>
  <r>
    <d v="2025-12-22T00:00:00"/>
    <x v="1"/>
    <x v="2"/>
    <s v="ELIECER DAVID"/>
    <s v="GOMEZ VILLAMIL"/>
    <n v="573164964457"/>
    <n v="75192"/>
    <x v="0"/>
    <x v="0"/>
    <s v="Muy amable y excelente servicio"/>
    <s v="Inicio"/>
    <m/>
    <s v="Cómo hago para recuperar mi factura"/>
    <m/>
    <m/>
  </r>
  <r>
    <d v="2025-12-22T00:00:00"/>
    <x v="1"/>
    <x v="2"/>
    <s v="GERALDINE"/>
    <s v="MARTINEZ"/>
    <n v="573132292504"/>
    <n v="75151"/>
    <x v="0"/>
    <x v="0"/>
    <s v="Me gustaría que los tiempos de reparación fueran menores"/>
    <s v="Inicio"/>
    <m/>
    <s v="Nacería a"/>
    <m/>
    <m/>
  </r>
  <r>
    <d v="2025-12-22T00:00:00"/>
    <x v="1"/>
    <x v="2"/>
    <s v="ALEX"/>
    <s v="RAMIREZ MARTIN"/>
    <n v="573105143946"/>
    <n v="75635"/>
    <x v="0"/>
    <x v="0"/>
    <m/>
    <s v="Inicio"/>
    <m/>
    <s v="Chico"/>
    <m/>
    <m/>
  </r>
  <r>
    <d v="2025-12-22T00:00:00"/>
    <x v="1"/>
    <x v="2"/>
    <s v="ALEX"/>
    <s v="RAMIREZ MARTIN"/>
    <n v="573105143946"/>
    <n v="75635"/>
    <x v="0"/>
    <x v="0"/>
    <s v="En cuento el producto bien es una buena marca un buen producto _x000a_Ya en cuanto al mantenimiento si estoy un poco disconforme ya que el valor del mantenimiento es muy carro para una patineta a mi punto de vista ya que en una moto puede llegar a valer eso pero son cosas que uno dice bueno ahi va incluida el aceite, insumos, mano de obra etc, pero en una patineta no logro entender porque ese valor, tampoco especifica que incluye ni nada!_x000a_Aparte el valor aumenta si hay repuesto que necesita ser remplazado._x000a_Pero en general el servicio y el producto bien ya el teme del costo del mantenimiento si afecta y a la hora de recomendar algún conocido si afectaría ese aspecto"/>
    <s v="Inicio"/>
    <m/>
    <s v="Chico"/>
    <m/>
    <m/>
  </r>
  <r>
    <d v="2025-12-22T00:00:00"/>
    <x v="1"/>
    <x v="2"/>
    <s v="PAULA ANDREA"/>
    <s v="NUÑEZ ESCOBAR"/>
    <n v="573045599483"/>
    <n v="75900"/>
    <x v="0"/>
    <x v="0"/>
    <s v="Muy bueno todo"/>
    <s v="Inicio"/>
    <m/>
    <s v="Ah chile"/>
    <m/>
    <m/>
  </r>
  <r>
    <d v="2025-12-22T00:00:00"/>
    <x v="1"/>
    <x v="2"/>
    <s v="IVAN DANIEL"/>
    <s v="SUAREZ COY"/>
    <n v="573213477203"/>
    <n v="76054"/>
    <x v="0"/>
    <x v="0"/>
    <s v="Abrir los domingos para servicio técnico"/>
    <s v="Inicio"/>
    <m/>
    <s v="Cedritos"/>
    <m/>
    <m/>
  </r>
  <r>
    <d v="2025-12-22T00:00:00"/>
    <x v="1"/>
    <x v="2"/>
    <s v="ALVARO"/>
    <s v="CASTELLANOS LOPEZ"/>
    <n v="573005519042"/>
    <n v="74109"/>
    <x v="2"/>
    <x v="1"/>
    <s v="Tuve una mala experiencia desde mi ultimo mantenimiento,   Empecé. Tener pinchazos sin solución, hasta que se perdió el sellomtic, una vez tuve neumático este también fallaba, en una de las entradas cambiaron los cables por unos viejos y desgastados que quemaron el motor… afortunadamente tuve evidencia fotográfica para solucionar el problema, pero esto dejó en evidencia falta de control en los procesos y en la calidad del servicio"/>
    <m/>
    <m/>
    <s v="Cedritos"/>
    <m/>
    <m/>
  </r>
  <r>
    <d v="2025-12-22T00:00:00"/>
    <x v="1"/>
    <x v="2"/>
    <s v="ALEJANDRO"/>
    <s v="VARGAS"/>
    <n v="573104829710"/>
    <n v="75949"/>
    <x v="0"/>
    <x v="0"/>
    <s v="Muy rápidos, eficientes y confiables."/>
    <s v="Inicio"/>
    <m/>
    <s v="Cedritos"/>
    <m/>
    <m/>
  </r>
  <r>
    <d v="2025-12-22T00:00:00"/>
    <x v="1"/>
    <x v="2"/>
    <s v="RAMÓN"/>
    <s v="HERNÁNDEZ GÓMEZ"/>
    <n v="573108834483"/>
    <n v="76039"/>
    <x v="0"/>
    <x v="0"/>
    <s v="Servicio rápido y excelente"/>
    <s v="Inicio"/>
    <m/>
    <s v="Cedritos"/>
    <m/>
    <m/>
  </r>
  <r>
    <d v="2025-12-20T00:00:00"/>
    <x v="1"/>
    <x v="3"/>
    <s v="MARIO ALBEIRO"/>
    <s v="MOLINA DIAZ"/>
    <n v="573123056522"/>
    <n v="75530"/>
    <x v="0"/>
    <x v="0"/>
    <m/>
    <s v="Inicio"/>
    <m/>
    <s v="Calle 72 con 24"/>
    <m/>
    <m/>
  </r>
  <r>
    <d v="2025-12-20T00:00:00"/>
    <x v="1"/>
    <x v="3"/>
    <s v="PAULA XIMENA"/>
    <s v="TORRES RODRIGUEZ"/>
    <n v="573112302945"/>
    <n v="75995"/>
    <x v="0"/>
    <x v="0"/>
    <s v="La atención fue excelente, el tiempo en que se resolvió mi solicitud fue corto, los resultados excelentes, la amabilidad de los asesores. Todo muy bien"/>
    <s v="Inicio"/>
    <m/>
    <s v="Javeriana"/>
    <m/>
    <m/>
  </r>
  <r>
    <d v="2025-12-20T00:00:00"/>
    <x v="1"/>
    <x v="3"/>
    <s v="JOSE RODRIGO"/>
    <s v="CHARRY LEMUS"/>
    <n v="573014515822"/>
    <n v="75979"/>
    <x v="0"/>
    <x v="0"/>
    <s v="El tema de repuestos es demorado en ocasiones"/>
    <s v="Inicio"/>
    <m/>
    <s v="Cedritos"/>
    <m/>
    <m/>
  </r>
  <r>
    <d v="2025-12-20T00:00:00"/>
    <x v="1"/>
    <x v="3"/>
    <s v="ANA"/>
    <s v="VELASCO"/>
    <n v="573118365844"/>
    <n v="75373"/>
    <x v="0"/>
    <x v="0"/>
    <s v="No tengo comentarios la verdad, muy buen servicio en todo sentido."/>
    <s v="Inicio"/>
    <m/>
    <n v="95"/>
    <m/>
    <m/>
  </r>
  <r>
    <d v="2025-12-20T00:00:00"/>
    <x v="1"/>
    <x v="3"/>
    <s v="ANGIE CAROLINA"/>
    <s v="LOPEZ RINCON"/>
    <n v="573219782849"/>
    <n v="75554"/>
    <x v="1"/>
    <x v="0"/>
    <s v="La marca en general ha sido espectacular,  pero me he llevado en esta ocasión un mal servicio de mantenimiento pues hace menos de un mes decidí hacer mantenimiento general mantenimiento que al parecer no se desarrolló en realidad porque me quedé sin frenos y se hubiera podido evitar o actuar antes del incidente si hubieran hecho el mantenimiento debido."/>
    <m/>
    <m/>
    <s v="Av chile"/>
    <m/>
    <m/>
  </r>
  <r>
    <d v="2025-12-20T00:00:00"/>
    <x v="1"/>
    <x v="3"/>
    <s v="DANIEL"/>
    <s v="BONILLA"/>
    <n v="573176470377"/>
    <n v="67253"/>
    <x v="2"/>
    <x v="1"/>
    <s v="El tiempo de espera del arreglo fue mucho, y al final terminaron dándome una nueva.  No me decían que tenía"/>
    <m/>
    <m/>
    <s v="Falabella"/>
    <m/>
    <m/>
  </r>
  <r>
    <d v="2025-12-20T00:00:00"/>
    <x v="1"/>
    <x v="3"/>
    <s v="DAVID RICARDO"/>
    <s v="AVENDAÑO GORDILLO"/>
    <n v="573185030329"/>
    <n v="74620"/>
    <x v="2"/>
    <x v="1"/>
    <s v="Se deben preocuparse mas por la integridad física de los clientes, y mostrar preocupación por los servicios brindados además de dar mejor información para el correcto uso y prevención de accidentes además de dar opciones para solucionar problemas, el servicio al cliente no responde lo que se le solicita, quedo muy insatisfecho con el producto"/>
    <m/>
    <s v="Yuveli Javeriana"/>
    <s v="Sede Javeriana"/>
    <m/>
    <m/>
  </r>
  <r>
    <d v="2025-12-20T00:00:00"/>
    <x v="1"/>
    <x v="3"/>
    <s v="AUDI ERNESTO"/>
    <s v="TURBA URREA"/>
    <n v="573132931769"/>
    <n v="75987"/>
    <x v="0"/>
    <x v="0"/>
    <s v="Excelente servicio volvería a hacer mis reparaciones en este taller . 👌🏻"/>
    <s v="Inicio"/>
    <m/>
    <s v="La Javeriana"/>
    <m/>
    <m/>
  </r>
  <r>
    <d v="2025-12-20T00:00:00"/>
    <x v="1"/>
    <x v="3"/>
    <s v="INVERSIONES PRIMETIME S.A.S"/>
    <s v="INVERSIONES PRIMETIME S.A.S"/>
    <n v="573158898433"/>
    <n v="74829"/>
    <x v="1"/>
    <x v="1"/>
    <s v="Mal servicio. No prueban las patinetas antes de entregarlas. Varias veces al probarla queda mal y me toca esperar más tiempo. No siento que quedó bien"/>
    <m/>
    <m/>
    <s v="Chico"/>
    <m/>
    <m/>
  </r>
  <r>
    <d v="2025-12-20T00:00:00"/>
    <x v="1"/>
    <x v="3"/>
    <s v="JENNIFFER PAOLA"/>
    <s v="CALDERON BRAVO"/>
    <n v="573188722282"/>
    <n v="75497"/>
    <x v="0"/>
    <x v="0"/>
    <s v="El servicio al cliente mejoro bastante, el servicio de mtto fue más efectivo y ágil. Muchas gracias 🙏"/>
    <s v="Inicio"/>
    <m/>
    <s v="Av chile"/>
    <m/>
    <m/>
  </r>
  <r>
    <d v="2025-12-20T00:00:00"/>
    <x v="1"/>
    <x v="3"/>
    <s v="ESEQUIEL"/>
    <s v="GARCIA"/>
    <n v="573008819285"/>
    <n v="75806"/>
    <x v="0"/>
    <x v="0"/>
    <m/>
    <s v="Inicio"/>
    <m/>
    <s v="Chicó"/>
    <m/>
    <m/>
  </r>
  <r>
    <d v="2025-12-20T00:00:00"/>
    <x v="1"/>
    <x v="3"/>
    <s v="PROHAF"/>
    <s v="INGENIERIA"/>
    <n v="573002015778"/>
    <n v="75754"/>
    <x v="1"/>
    <x v="1"/>
    <s v="Mala experiencia, lleve la patineta para mantenimiento de 600 km, tenia ruido por falta de lubricación y me la entregaron igual._x000a_Revisión de freno y me la entregaron mal calibrada de freno _x000a_Parece q solo lavaron"/>
    <m/>
    <m/>
    <s v="Javeriana"/>
    <m/>
    <m/>
  </r>
  <r>
    <d v="2025-12-19T00:00:00"/>
    <x v="1"/>
    <x v="3"/>
    <s v="MARIA ANGELICA"/>
    <s v="FORNARIS RIVERA"/>
    <n v="573146519832"/>
    <n v="75975"/>
    <x v="0"/>
    <x v="0"/>
    <s v="La marca es súper buena, la tengo hace 1 año y me gusta mucho _x000a_La atención en el taller es rápida y muy profesional"/>
    <s v="Inicio"/>
    <m/>
    <s v="Taller Medellín las vegas"/>
    <m/>
    <m/>
  </r>
  <r>
    <d v="2025-12-19T00:00:00"/>
    <x v="1"/>
    <x v="3"/>
    <s v="DIEGO ANDRES"/>
    <s v="MARTINEZ NOVOA"/>
    <n v="573012482309"/>
    <n v="75666"/>
    <x v="0"/>
    <x v="0"/>
    <s v="Si Pere que vengo recibo la mejor atención, buenos técnicos"/>
    <s v="Inicio"/>
    <m/>
    <s v="Av chile"/>
    <m/>
    <m/>
  </r>
  <r>
    <d v="2025-12-19T00:00:00"/>
    <x v="1"/>
    <x v="3"/>
    <s v="MAYRA ALEJANDRA"/>
    <s v="PEÑA ZAMBRANO"/>
    <n v="573165097772"/>
    <n v="74752"/>
    <x v="0"/>
    <x v="0"/>
    <s v="La verdad estoy más que satisfecha con el servicio prestado y desde que tengo mi MINCA todo es más fácil en esta ciudad caótica"/>
    <s v="Inicio"/>
    <m/>
    <s v="calle 95 chicó"/>
    <m/>
    <m/>
  </r>
  <r>
    <d v="2025-12-19T00:00:00"/>
    <x v="1"/>
    <x v="3"/>
    <s v="LIZ"/>
    <s v="GOMEZ MORENO"/>
    <n v="573114487550"/>
    <n v="75965"/>
    <x v="0"/>
    <x v="0"/>
    <s v="Muy rápidos, en el cambio de lo que necesitaba"/>
    <s v="Inicio"/>
    <m/>
    <s v="Chico"/>
    <m/>
    <m/>
  </r>
  <r>
    <d v="2025-12-19T00:00:00"/>
    <x v="1"/>
    <x v="3"/>
    <s v="ANDRÉS FELIPE"/>
    <s v="DELGADILLO CALDERÓN"/>
    <n v="573223673311"/>
    <n v="74172"/>
    <x v="2"/>
    <x v="1"/>
    <s v="Como tal la marca es muy buena y casi nunca he tenido inconvenientes pero está vez se demoraron demasiado en hacer la entrega de mi patineta"/>
    <m/>
    <m/>
    <s v="Taller 95"/>
    <m/>
    <m/>
  </r>
  <r>
    <d v="2025-12-19T00:00:00"/>
    <x v="1"/>
    <x v="3"/>
    <s v="EDWAR"/>
    <s v="GONZALEZ BAYONA"/>
    <n v="573102144971"/>
    <n v="75957"/>
    <x v="0"/>
    <x v="1"/>
    <s v="Un poco costoso cualquier arreglo."/>
    <m/>
    <m/>
    <s v="Cedritos"/>
    <m/>
    <m/>
  </r>
  <r>
    <d v="2025-12-19T00:00:00"/>
    <x v="1"/>
    <x v="3"/>
    <s v="YEYSON ESTIBEN"/>
    <s v="RAMIREZ VALENCIA"/>
    <n v="573194827266"/>
    <n v="75840"/>
    <x v="0"/>
    <x v="0"/>
    <s v="Servicio muy rápido, me gustó"/>
    <s v="Inicio"/>
    <m/>
    <s v="Javeriana"/>
    <m/>
    <m/>
  </r>
  <r>
    <d v="2025-12-19T00:00:00"/>
    <x v="1"/>
    <x v="3"/>
    <s v="CAMILO"/>
    <s v="PALACIOS DIAZ"/>
    <n v="573162838965"/>
    <n v="75947"/>
    <x v="0"/>
    <x v="0"/>
    <s v="Fueron ágiles. Atendieron mi solicitud de manera rápida. Podrian estandarizar las reparaciones mecánicas para que sea menos prueba y error y que sea mas uniforme, por ejemplo calibración de frenos. Podrian dar cursos a los clientes para que desde casa se pudiera solucionar algunos problemas sencillos."/>
    <s v="Inicio"/>
    <m/>
    <s v="Chicó"/>
    <m/>
    <m/>
  </r>
  <r>
    <d v="2025-12-19T00:00:00"/>
    <x v="1"/>
    <x v="3"/>
    <s v="WEIFORT STIVEN"/>
    <s v="ALVAREZ VEGA"/>
    <n v="573004535064"/>
    <n v="75856"/>
    <x v="0"/>
    <x v="0"/>
    <s v="La patineta se desajusta muy seguido"/>
    <s v="Inicio"/>
    <m/>
    <s v="Av chile"/>
    <m/>
    <m/>
  </r>
  <r>
    <d v="2025-12-19T00:00:00"/>
    <x v="1"/>
    <x v="3"/>
    <s v="JUAN CARLOS"/>
    <s v="GALINDO HERRERA"/>
    <n v="573142408265"/>
    <n v="75945"/>
    <x v="0"/>
    <x v="0"/>
    <s v="Buen servicio"/>
    <s v="Inicio"/>
    <m/>
    <s v="72 con 25"/>
    <m/>
    <m/>
  </r>
  <r>
    <d v="2025-12-19T00:00:00"/>
    <x v="1"/>
    <x v="3"/>
    <s v="PABLO ALBERTO"/>
    <s v="JIMENEZ HERNANDEZ"/>
    <n v="573218224129"/>
    <n v="73131"/>
    <x v="2"/>
    <x v="0"/>
    <s v="No entregaron limpio el scooter"/>
    <m/>
    <m/>
    <s v="Chicó"/>
    <m/>
    <m/>
  </r>
  <r>
    <d v="2025-12-19T00:00:00"/>
    <x v="1"/>
    <x v="3"/>
    <s v="LUIS FERNANDO"/>
    <s v="PINZON"/>
    <n v="573157861360"/>
    <n v="74529"/>
    <x v="0"/>
    <x v="0"/>
    <s v="Sería bueno mejorar los tiempos de entrega para servicios menores como despinchada o cambio de frenos debería ser un servicio de horas y no de días"/>
    <s v="Inicio"/>
    <m/>
    <s v="Av chile"/>
    <m/>
    <m/>
  </r>
  <r>
    <d v="2025-12-19T00:00:00"/>
    <x v="1"/>
    <x v="3"/>
    <s v="SANTIAGO"/>
    <s v="DELGADO"/>
    <n v="573124511810"/>
    <n v="75409"/>
    <x v="2"/>
    <x v="2"/>
    <s v="Pésimo servicio al cliente de la asesora del taller de Cedritos"/>
    <m/>
    <m/>
    <s v="Cedritos"/>
    <m/>
    <m/>
  </r>
  <r>
    <d v="2025-12-19T00:00:00"/>
    <x v="1"/>
    <x v="3"/>
    <s v="DIEGO FELIPE"/>
    <s v="HERNANDEZ VEGA"/>
    <n v="573102095718"/>
    <n v="75596"/>
    <x v="0"/>
    <x v="0"/>
    <s v="Excelente servicio, puntualidad y atención al cliente"/>
    <s v="Inicio"/>
    <m/>
    <s v="Calle 95"/>
    <m/>
    <m/>
  </r>
  <r>
    <d v="2025-12-19T00:00:00"/>
    <x v="1"/>
    <x v="3"/>
    <s v="HUGO"/>
    <s v="SALAZAR CASTILLO"/>
    <n v="573108586719"/>
    <n v="75795"/>
    <x v="0"/>
    <x v="0"/>
    <s v="Excelente"/>
    <s v="Inicio"/>
    <m/>
    <s v="Calle 94"/>
    <m/>
    <m/>
  </r>
  <r>
    <d v="2025-12-19T00:00:00"/>
    <x v="1"/>
    <x v="3"/>
    <s v="FABRICIO"/>
    <s v="CAMARGO"/>
    <n v="573184757293"/>
    <n v="75912"/>
    <x v="0"/>
    <x v="0"/>
    <s v="Regular. La patineta fallo mucho el primer año"/>
    <s v="Inicio"/>
    <m/>
    <s v="Javeriana"/>
    <m/>
    <m/>
  </r>
  <r>
    <d v="2025-12-19T00:00:00"/>
    <x v="1"/>
    <x v="3"/>
    <s v="NICOLÁS FELIPE"/>
    <s v="GUTIÉRREZ CASTRO"/>
    <n v="573188593079"/>
    <n v="75625"/>
    <x v="2"/>
    <x v="0"/>
    <s v="Le colocaron a ultima hora la placa a la moto, quedando pegando con el guardabarros trasero, la limpieza de la moped, no se empidecia que fue de manera produnda, sinceramente se ve que la despacharon rapido y no siento que fuera profundo el mantenimiento oportuno de la misma."/>
    <m/>
    <m/>
    <s v="Av chile"/>
    <m/>
    <m/>
  </r>
  <r>
    <d v="2025-12-19T00:00:00"/>
    <x v="1"/>
    <x v="3"/>
    <s v="SANTIAGO"/>
    <s v="VASQUEZ RODRIGUEZ"/>
    <n v="573192476047"/>
    <n v="71920"/>
    <x v="0"/>
    <x v="1"/>
    <s v="Creo que la atención puede ser mejor y más especializada."/>
    <m/>
    <m/>
    <s v="Chico"/>
    <m/>
    <m/>
  </r>
  <r>
    <d v="2025-12-18T00:00:00"/>
    <x v="1"/>
    <x v="3"/>
    <s v="JUAN CARLOS"/>
    <s v="GALINDO HERRERA"/>
    <n v="573142408265"/>
    <n v="75837"/>
    <x v="0"/>
    <x v="0"/>
    <s v="Buen servicio y de buena calidad"/>
    <s v="Inicio"/>
    <m/>
    <s v="Calle 72 #25-10"/>
    <m/>
    <m/>
  </r>
  <r>
    <d v="2025-12-18T00:00:00"/>
    <x v="1"/>
    <x v="3"/>
    <s v="PALOMA PRISCILA"/>
    <s v="RUBIO FRANCO"/>
    <n v="573144864303"/>
    <n v="74909"/>
    <x v="0"/>
    <x v="0"/>
    <s v="En general todo bien, lo único es que aún no le ponen la luz trasera a la patineta por falta de repuestos"/>
    <s v="Inicio"/>
    <m/>
    <s v="Chico"/>
    <m/>
    <m/>
  </r>
  <r>
    <d v="2025-12-18T00:00:00"/>
    <x v="1"/>
    <x v="3"/>
    <s v="SINDY PAOLA"/>
    <s v="CAPERA RODRIGUEZ"/>
    <n v="573132066919"/>
    <n v="75386"/>
    <x v="0"/>
    <x v="0"/>
    <m/>
    <s v="Inicio"/>
    <m/>
    <s v="Chico"/>
    <m/>
    <m/>
  </r>
  <r>
    <d v="2025-12-18T00:00:00"/>
    <x v="1"/>
    <x v="3"/>
    <s v="SARA"/>
    <s v="SAENZ MUÑOS"/>
    <n v="573133582264"/>
    <n v="75748"/>
    <x v="0"/>
    <x v="0"/>
    <s v="Excelente servicio"/>
    <s v="Inicio"/>
    <m/>
    <s v="Taller Chico"/>
    <m/>
    <m/>
  </r>
  <r>
    <d v="2025-12-18T00:00:00"/>
    <x v="1"/>
    <x v="3"/>
    <s v="DAVID YASHAR"/>
    <s v="RUIZ BEJARANO"/>
    <n v="573108964397"/>
    <n v="75335"/>
    <x v="1"/>
    <x v="0"/>
    <m/>
    <m/>
    <m/>
    <s v="Av chile"/>
    <m/>
    <m/>
  </r>
  <r>
    <d v="2025-12-18T00:00:00"/>
    <x v="1"/>
    <x v="3"/>
    <s v="CIRO EDUARDO"/>
    <s v="PINZON PEREZ"/>
    <n v="573003666360"/>
    <n v="74192"/>
    <x v="0"/>
    <x v="0"/>
    <s v="Por ahora todo perfecto"/>
    <s v="Inicio"/>
    <m/>
    <s v="Cedritos"/>
    <m/>
    <m/>
  </r>
  <r>
    <d v="2025-12-18T00:00:00"/>
    <x v="1"/>
    <x v="3"/>
    <s v="JUAN CAMILO"/>
    <s v="MARTINEZ BAQUERO"/>
    <n v="573133763634"/>
    <n v="75717"/>
    <x v="2"/>
    <x v="0"/>
    <s v="La patineta no salió pq no se hizo el ajuste correcto perdí tiempo al venir por ellas y resulta que se demora 4horas mas"/>
    <m/>
    <s v="Paola prieto"/>
    <s v="Javeriana"/>
    <m/>
    <m/>
  </r>
  <r>
    <d v="2025-12-18T00:00:00"/>
    <x v="1"/>
    <x v="3"/>
    <s v="JAIKSON CAMILO"/>
    <s v="TORRES CASTAÑEDA"/>
    <n v="573209970513"/>
    <n v="73950"/>
    <x v="0"/>
    <x v="0"/>
    <s v="Me ha parecido muy buena la atencion como el servicio que prestan"/>
    <s v="Inicio"/>
    <m/>
    <s v="Taller chico y taller av chile"/>
    <m/>
    <m/>
  </r>
  <r>
    <d v="2025-12-18T00:00:00"/>
    <x v="1"/>
    <x v="3"/>
    <s v="MARIA JIMENA"/>
    <s v="PEÑA RODRIGUEZ"/>
    <n v="573138982794"/>
    <n v="75581"/>
    <x v="0"/>
    <x v="0"/>
    <s v="A sido muy buena"/>
    <s v="Inicio"/>
    <m/>
    <s v="Cedritos"/>
    <m/>
    <m/>
  </r>
  <r>
    <d v="2025-12-18T00:00:00"/>
    <x v="1"/>
    <x v="3"/>
    <s v="JUAN CAMILO"/>
    <s v="SALGADO"/>
    <n v="573132926577"/>
    <n v="75738"/>
    <x v="0"/>
    <x v="0"/>
    <s v="Muy rápido el mantenimiento"/>
    <s v="Inicio"/>
    <m/>
    <s v="."/>
    <m/>
    <m/>
  </r>
  <r>
    <d v="2025-12-18T00:00:00"/>
    <x v="1"/>
    <x v="3"/>
    <s v="JOSE DANIEL"/>
    <s v="GONZALEZ CALVO"/>
    <n v="573159288942"/>
    <n v="75584"/>
    <x v="0"/>
    <x v="0"/>
    <s v="Buen servicio"/>
    <s v="Inicio"/>
    <m/>
    <s v="Javeriana"/>
    <m/>
    <m/>
  </r>
  <r>
    <d v="2025-12-18T00:00:00"/>
    <x v="1"/>
    <x v="3"/>
    <s v="OSCAR"/>
    <s v="PALACIO ECHEVERRY"/>
    <n v="573102094828"/>
    <n v="75495"/>
    <x v="0"/>
    <x v="0"/>
    <s v="Buen  servicio"/>
    <s v="Inicio"/>
    <m/>
    <s v="Javeriana"/>
    <m/>
    <m/>
  </r>
  <r>
    <d v="2025-12-18T00:00:00"/>
    <x v="1"/>
    <x v="3"/>
    <s v="JUAN PABLO"/>
    <s v="FRANCO RODRIGUEZ"/>
    <n v="573008863675"/>
    <n v="75536"/>
    <x v="2"/>
    <x v="1"/>
    <s v="Me entregaron la patineta inicialmente con repuestos que no eran nuevos. La actitud de la persona del taller no es la mejor"/>
    <s v="Clic"/>
    <m/>
    <s v="."/>
    <m/>
    <m/>
  </r>
  <r>
    <d v="2025-12-18T00:00:00"/>
    <x v="1"/>
    <x v="3"/>
    <s v="KAROL GISSELL"/>
    <s v="CARRILLO OBESO"/>
    <n v="573006586484"/>
    <n v="75520"/>
    <x v="0"/>
    <x v="0"/>
    <s v="Buen servicio al cliente"/>
    <s v="Inicio"/>
    <m/>
    <s v="En el de la avenida las vegas en Medellín"/>
    <m/>
    <m/>
  </r>
  <r>
    <d v="2025-12-17T00:00:00"/>
    <x v="1"/>
    <x v="3"/>
    <s v="ANDRES DAVID"/>
    <s v="ALVAREZ ROJAS"/>
    <n v="573106049330"/>
    <n v="75665"/>
    <x v="3"/>
    <x v="0"/>
    <m/>
    <s v="Inicio"/>
    <m/>
    <s v="."/>
    <m/>
    <m/>
  </r>
  <r>
    <d v="2025-12-17T00:00:00"/>
    <x v="1"/>
    <x v="3"/>
    <s v="JORGE  ARMANDO"/>
    <s v="QUIROZ"/>
    <n v="573214131513"/>
    <n v="75804"/>
    <x v="3"/>
    <x v="0"/>
    <s v="Excelente servicio excelente producto muy satisfecho con mi patineta muchas gracias"/>
    <s v="Inicio"/>
    <m/>
    <s v="Cedritos"/>
    <m/>
    <m/>
  </r>
  <r>
    <d v="2025-12-17T00:00:00"/>
    <x v="1"/>
    <x v="3"/>
    <s v="LIZETH ROCIO"/>
    <s v="FONSECA PARRA"/>
    <n v="573168257520"/>
    <n v="73771"/>
    <x v="3"/>
    <x v="0"/>
    <s v="buen servicio"/>
    <s v="Inicio"/>
    <m/>
    <s v="Si"/>
    <m/>
    <m/>
  </r>
  <r>
    <d v="2025-12-17T00:00:00"/>
    <x v="1"/>
    <x v="3"/>
    <s v="ANDERSON DARWIN"/>
    <s v="AGUILAR VILLA"/>
    <n v="573002426066"/>
    <n v="75521"/>
    <x v="3"/>
    <x v="0"/>
    <s v="La marca es buena y me ha salido muy bien"/>
    <s v="Inicio"/>
    <m/>
    <s v="Minca electrica poblado"/>
    <m/>
    <m/>
  </r>
  <r>
    <d v="2025-12-17T00:00:00"/>
    <x v="1"/>
    <x v="3"/>
    <s v="KATERINE"/>
    <s v="AGUDELO RUIZ"/>
    <n v="573195434844"/>
    <n v="75131"/>
    <x v="3"/>
    <x v="0"/>
    <s v="Excelente servicio mandé a hacer el mantenimiento, me dejaron la patineta como nueva... Espero puedan ampliarse y tener más talleres... Me explicaron de la mejor manera qué cambios hicieron Y qué repuestos necesitaba, siempre me reciben con una sonrisa y eso es lo mejor... La calidez, gracias."/>
    <s v="Inicio"/>
    <m/>
    <s v="El taller de Medellín por clínica las Vegas"/>
    <m/>
    <m/>
  </r>
  <r>
    <d v="2025-12-17T00:00:00"/>
    <x v="1"/>
    <x v="3"/>
    <s v="ANDRES"/>
    <s v="ARIAS"/>
    <n v="573219439424"/>
    <n v="75503"/>
    <x v="3"/>
    <x v="0"/>
    <s v="Muy buena atención"/>
    <s v="Inicio"/>
    <m/>
    <s v="Cedritos"/>
    <m/>
    <m/>
  </r>
  <r>
    <d v="2025-12-17T00:00:00"/>
    <x v="1"/>
    <x v="3"/>
    <s v="MANUEL"/>
    <s v="MENDOZA"/>
    <n v="573004252031"/>
    <n v="74643"/>
    <x v="3"/>
    <x v="0"/>
    <s v="Buen manejo de los tiempos, buenos trabajos y buenas soluciones"/>
    <s v="Inicio"/>
    <m/>
    <s v="Taller Minca avenida chile"/>
    <m/>
    <m/>
  </r>
  <r>
    <d v="2025-12-17T00:00:00"/>
    <x v="1"/>
    <x v="3"/>
    <s v="JONATHAN"/>
    <s v="TOVAR ROMERO"/>
    <n v="573192514012"/>
    <n v="75610"/>
    <x v="3"/>
    <x v="0"/>
    <s v="Muy buena atención. La patineta quedó como nueva. Muchas gracias"/>
    <s v="Inicio"/>
    <m/>
    <s v="Javeriana"/>
    <m/>
    <m/>
  </r>
  <r>
    <d v="2025-12-17T00:00:00"/>
    <x v="1"/>
    <x v="3"/>
    <s v="SARA LUCIA"/>
    <s v="CRUZ CRUZ"/>
    <n v="573142146918"/>
    <n v="74898"/>
    <x v="4"/>
    <x v="1"/>
    <s v="Es la peor marca de patinetas NO QUERIA HACER ARREGLO DE MOTOR POR AGUA"/>
    <m/>
    <m/>
    <s v="Chico"/>
    <m/>
    <m/>
  </r>
  <r>
    <d v="2025-12-17T00:00:00"/>
    <x v="1"/>
    <x v="3"/>
    <s v="TRACTOPARTS SAS"/>
    <s v="TRACTOPARTS SAS"/>
    <n v="573134999416"/>
    <n v="75600"/>
    <x v="3"/>
    <x v="0"/>
    <s v="Buena"/>
    <s v="Inicio"/>
    <m/>
    <s v="Chico"/>
    <m/>
    <m/>
  </r>
  <r>
    <d v="2025-12-17T00:00:00"/>
    <x v="1"/>
    <x v="3"/>
    <s v="MAICOL STIVEN"/>
    <s v="TOVAR JURADO"/>
    <n v="573213359784"/>
    <n v="75051"/>
    <x v="2"/>
    <x v="1"/>
    <s v="El puente del canal de whatsapp con los jefes del taller no están sirviendo, los tiempo de entregan tratándose de prioridad tampoco los tienen en cuenta, el servicio de los asesores no es de la mejor si uno les realiza una observación o queja"/>
    <m/>
    <m/>
    <s v="Chico"/>
    <m/>
    <m/>
  </r>
  <r>
    <d v="2025-12-17T00:00:00"/>
    <x v="1"/>
    <x v="3"/>
    <s v="CARLOS MAURICIO"/>
    <s v="LOPEZ MEDINA"/>
    <n v="573213698295"/>
    <n v="75734"/>
    <x v="3"/>
    <x v="0"/>
    <s v="Súper buena atención"/>
    <s v="Inicio"/>
    <m/>
    <s v="Chicó"/>
    <m/>
    <m/>
  </r>
  <r>
    <d v="2025-12-17T00:00:00"/>
    <x v="1"/>
    <x v="3"/>
    <s v="DANIEL ERNESTO"/>
    <s v="ZAMBRANO HUERTAS"/>
    <n v="573204084575"/>
    <n v="75541"/>
    <x v="3"/>
    <x v="0"/>
    <s v="Muy bacano"/>
    <s v="Inicio"/>
    <m/>
    <s v="Javeriana"/>
    <m/>
    <m/>
  </r>
  <r>
    <d v="2025-12-17T00:00:00"/>
    <x v="1"/>
    <x v="3"/>
    <s v="JOSE MIGUEL"/>
    <s v="MARTINEZ PERALTA"/>
    <n v="573105722092"/>
    <n v="75489"/>
    <x v="3"/>
    <x v="0"/>
    <s v="La atención fue muy buena"/>
    <s v="Inicio"/>
    <m/>
    <s v="Cedritos"/>
    <m/>
    <m/>
  </r>
  <r>
    <d v="2025-12-17T00:00:00"/>
    <x v="1"/>
    <x v="3"/>
    <s v="JHONATAN"/>
    <s v="GUITIERREZ LADINO"/>
    <n v="573112526111"/>
    <n v="74903"/>
    <x v="3"/>
    <x v="0"/>
    <s v="Buena atención y muy rápido"/>
    <s v="Inicio"/>
    <m/>
    <s v="Cedritos"/>
    <m/>
    <m/>
  </r>
  <r>
    <d v="2025-12-17T00:00:00"/>
    <x v="1"/>
    <x v="3"/>
    <s v="RICARDO DE JESUS"/>
    <s v="AGUDELO ARIAS"/>
    <n v="573017038454"/>
    <n v="75782"/>
    <x v="3"/>
    <x v="0"/>
    <s v="Excelente"/>
    <s v="Inicio"/>
    <m/>
    <s v="Medellín"/>
    <m/>
    <m/>
  </r>
  <r>
    <d v="2025-12-17T00:00:00"/>
    <x v="1"/>
    <x v="3"/>
    <s v="MOCHILA DIGITAL MEDIA"/>
    <s v="SAS"/>
    <n v="573107544788"/>
    <n v="75538"/>
    <x v="3"/>
    <x v="0"/>
    <s v="Todo muy sencillo en el proceso de dejar la parienta y muy rápido el servicio."/>
    <s v="Inicio"/>
    <m/>
    <s v="Avenida chile"/>
    <m/>
    <m/>
  </r>
  <r>
    <d v="2025-12-17T00:00:00"/>
    <x v="1"/>
    <x v="3"/>
    <s v="ALEJANDRA"/>
    <s v="MEDINA GONSALEZ"/>
    <n v="573122470066"/>
    <n v="74987"/>
    <x v="3"/>
    <x v="0"/>
    <s v="Muy ágil el proceso, me encantó"/>
    <s v="Inicio"/>
    <m/>
    <s v="Javeriana"/>
    <m/>
    <m/>
  </r>
  <r>
    <d v="2025-12-17T00:00:00"/>
    <x v="1"/>
    <x v="3"/>
    <s v="DANIEL"/>
    <s v="GUERRERO ANDRADE"/>
    <n v="573005278980"/>
    <n v="75217"/>
    <x v="3"/>
    <x v="2"/>
    <m/>
    <m/>
    <m/>
    <s v="Chico"/>
    <m/>
    <m/>
  </r>
  <r>
    <d v="2025-12-16T00:00:00"/>
    <x v="1"/>
    <x v="3"/>
    <s v="JUAN CARLOS"/>
    <s v="ROA CAICEDO"/>
    <n v="573102530581"/>
    <n v="75388"/>
    <x v="3"/>
    <x v="0"/>
    <s v="Excelente servicio jamas dejemos de cambiar son los mejores"/>
    <s v="Inicio"/>
    <m/>
    <s v="JAVERIANA"/>
    <m/>
    <m/>
  </r>
  <r>
    <d v="2025-12-16T00:00:00"/>
    <x v="1"/>
    <x v="3"/>
    <s v="OLEGARIO"/>
    <s v="MEDINA"/>
    <n v="573153497479"/>
    <n v="75291"/>
    <x v="2"/>
    <x v="1"/>
    <s v="El taller es muy pequeño para la cantidad de clientes que van a buscar un servicio por eso la atención aunque lo quieren hacer bien resulta incómodo."/>
    <m/>
    <s v="Angie Montoya"/>
    <s v="Cedritos"/>
    <m/>
    <m/>
  </r>
  <r>
    <d v="2025-12-16T00:00:00"/>
    <x v="1"/>
    <x v="3"/>
    <s v="JOSE DAVID"/>
    <s v="VARGAS PIRAJAN"/>
    <n v="573138725855"/>
    <n v="75445"/>
    <x v="3"/>
    <x v="0"/>
    <s v="Es un excelente taller se encuentran los repuestos y piensas en el momento preciso y la mecánica de las patineta es grandiosas queda como recién comprada"/>
    <s v="Inicio"/>
    <m/>
    <s v="Chico"/>
    <m/>
    <m/>
  </r>
  <r>
    <d v="2025-12-16T00:00:00"/>
    <x v="1"/>
    <x v="3"/>
    <s v="KATERINE PAOLA"/>
    <s v="BOHORQUEZ AGUIRRE"/>
    <n v="573153536178"/>
    <n v="75356"/>
    <x v="3"/>
    <x v="0"/>
    <m/>
    <s v="Inicio"/>
    <m/>
    <s v="Cedritos"/>
    <m/>
    <m/>
  </r>
  <r>
    <d v="2025-12-16T00:00:00"/>
    <x v="1"/>
    <x v="3"/>
    <s v="RODRIGO ANDRES"/>
    <s v="GARCIA MUÑOZ"/>
    <n v="573014304656"/>
    <n v="75544"/>
    <x v="3"/>
    <x v="0"/>
    <s v="Muy colaboradores y atentos a los requerimientos"/>
    <s v="Inicio"/>
    <m/>
    <s v="Medellin"/>
    <m/>
    <m/>
  </r>
  <r>
    <d v="2025-12-16T00:00:00"/>
    <x v="1"/>
    <x v="3"/>
    <s v="SERGIO EDUARDO"/>
    <s v="LARA MUNEVAR"/>
    <n v="573208615190"/>
    <n v="75508"/>
    <x v="3"/>
    <x v="0"/>
    <s v="Una buena atención y un mantenimiento de buena calfad"/>
    <s v="Inicio"/>
    <m/>
    <s v="Avenida Chile"/>
    <m/>
    <m/>
  </r>
  <r>
    <d v="2025-12-16T00:00:00"/>
    <x v="1"/>
    <x v="3"/>
    <s v="IBETH MILENA"/>
    <s v="CONDE MARTÍNEZ"/>
    <n v="573135211639"/>
    <n v="75744"/>
    <x v="3"/>
    <x v="0"/>
    <s v="Hasta el momento muy contenta con la marca y la atención ha sido super buena"/>
    <s v="Inicio"/>
    <m/>
    <s v="Las vegas"/>
    <m/>
    <m/>
  </r>
  <r>
    <d v="2025-12-16T00:00:00"/>
    <x v="1"/>
    <x v="3"/>
    <s v="DIANA CAROLINA"/>
    <s v="RODRIGUEZ PEREZ"/>
    <n v="573192106387"/>
    <n v="75426"/>
    <x v="3"/>
    <x v="0"/>
    <s v="Me encantó el servicio, rápido, súper detallado, me encantó que todo llega por correo. Agradezco mucho el servicio!!"/>
    <s v="Inicio"/>
    <m/>
    <s v="Avenida chile"/>
    <m/>
    <m/>
  </r>
  <r>
    <d v="2025-12-16T00:00:00"/>
    <x v="1"/>
    <x v="3"/>
    <s v="PAOLA"/>
    <s v="BOHORQUEZ MARTINEZ"/>
    <n v="573005615528"/>
    <n v="75466"/>
    <x v="3"/>
    <x v="0"/>
    <s v="Me gusto la atención y toda la comunicación por WhatsApp, es muy sencillo el proceso"/>
    <s v="Inicio"/>
    <m/>
    <s v="Cedritos"/>
    <m/>
    <m/>
  </r>
  <r>
    <d v="2025-12-16T00:00:00"/>
    <x v="1"/>
    <x v="3"/>
    <s v="ILP CONSTRUCCIONES LTDA"/>
    <s v="ILP CONSTRUCCIONES LTDA"/>
    <n v="573124321862"/>
    <n v="75294"/>
    <x v="3"/>
    <x v="0"/>
    <s v="Atención respetuosa, colaborativa e información precisa y oportuna"/>
    <s v="Inicio"/>
    <m/>
    <s v="Av. 19 Calle 142"/>
    <m/>
    <m/>
  </r>
  <r>
    <d v="2025-12-16T00:00:00"/>
    <x v="1"/>
    <x v="3"/>
    <s v="ALVARO IVAN"/>
    <s v="PARRA ALBARRACIN"/>
    <n v="573202080328"/>
    <n v="75502"/>
    <x v="3"/>
    <x v="0"/>
    <s v="excelente servicio"/>
    <s v="Inicio"/>
    <m/>
    <s v="Javeriana"/>
    <m/>
    <m/>
  </r>
  <r>
    <d v="2025-12-15T00:00:00"/>
    <x v="1"/>
    <x v="3"/>
    <s v="JHON STEBAN"/>
    <s v="SALCEDO RAMIREZ"/>
    <n v="573142904547"/>
    <n v="75288"/>
    <x v="3"/>
    <x v="0"/>
    <s v="Me encantaría que a la mopped de 350w Minca city le mejoraran las direccionales"/>
    <s v="Inicio"/>
    <m/>
    <s v="Show room avenida chile"/>
    <m/>
    <m/>
  </r>
  <r>
    <d v="2025-12-15T00:00:00"/>
    <x v="1"/>
    <x v="3"/>
    <s v="ANDRES"/>
    <s v="PASTRANA TORRES"/>
    <n v="573002124308"/>
    <n v="75634"/>
    <x v="3"/>
    <x v="0"/>
    <s v="TODO BN👍"/>
    <s v="Inicio"/>
    <m/>
    <s v="CALLE 72"/>
    <m/>
    <m/>
  </r>
  <r>
    <d v="2025-12-15T00:00:00"/>
    <x v="1"/>
    <x v="3"/>
    <s v="LORENZO SANCHEZ"/>
    <s v="CALA"/>
    <n v="573167574529"/>
    <n v="75615"/>
    <x v="3"/>
    <x v="0"/>
    <s v="Excelente servicio. Todo el trabajo impecable. Muchas gracias"/>
    <s v="Inicio"/>
    <m/>
    <s v="Chico"/>
    <m/>
    <m/>
  </r>
  <r>
    <d v="2025-12-15T00:00:00"/>
    <x v="1"/>
    <x v="3"/>
    <s v="GERMAN DAVID"/>
    <s v="RINCON SEMA"/>
    <n v="573233954267"/>
    <n v="75402"/>
    <x v="4"/>
    <x v="1"/>
    <m/>
    <m/>
    <m/>
    <s v="chico"/>
    <m/>
    <m/>
  </r>
  <r>
    <d v="2025-12-15T00:00:00"/>
    <x v="1"/>
    <x v="3"/>
    <s v="DAVID"/>
    <s v="RODRIGUEZ PAEZ"/>
    <n v="573008085190"/>
    <n v="74884"/>
    <x v="3"/>
    <x v="0"/>
    <s v="Muy buena"/>
    <s v="Inicio"/>
    <m/>
    <s v="Chico"/>
    <m/>
    <m/>
  </r>
  <r>
    <d v="2025-12-15T00:00:00"/>
    <x v="1"/>
    <x v="3"/>
    <s v="CLAUDIA JOHANNA"/>
    <s v="PRECIADO MUÑOZ"/>
    <n v="573505275618"/>
    <n v="74601"/>
    <x v="2"/>
    <x v="0"/>
    <s v="La calidad no se ajusta al precio, ni a la expectativa que tenía con la marcar"/>
    <m/>
    <m/>
    <s v="Callle 72"/>
    <m/>
    <m/>
  </r>
  <r>
    <d v="2025-12-15T00:00:00"/>
    <x v="1"/>
    <x v="3"/>
    <s v="CLARA INES"/>
    <s v="IDARRAGA JIMENEZ"/>
    <n v="573103138457"/>
    <n v="75248"/>
    <x v="3"/>
    <x v="0"/>
    <s v="Buen servicio y rápido"/>
    <s v="Inicio"/>
    <m/>
    <s v="Cedritos"/>
    <m/>
    <m/>
  </r>
  <r>
    <d v="2025-12-15T00:00:00"/>
    <x v="1"/>
    <x v="3"/>
    <s v="JUAN KAMILO"/>
    <s v="PEREZ RICCI"/>
    <n v="573212714896"/>
    <n v="74068"/>
    <x v="3"/>
    <x v="0"/>
    <s v="Gracias por todo el acompañamientos. Sería bueno habilitar una opción de “pago en línea” de la cotización que se genere y de “recogida en showroom” para cuando el taller ya haya cerrado"/>
    <s v="Inicio"/>
    <m/>
    <s v="Cedritos"/>
    <m/>
    <m/>
  </r>
  <r>
    <d v="2025-12-15T00:00:00"/>
    <x v="1"/>
    <x v="3"/>
    <s v="JOSE LUIS"/>
    <s v="MONTAÑEZ"/>
    <n v="573143705709"/>
    <n v="74472"/>
    <x v="3"/>
    <x v="0"/>
    <s v="Tiene sus detallitos me a molestado mucho la patineta por la autonomia"/>
    <s v="Inicio"/>
    <m/>
    <s v="Av chile"/>
    <m/>
    <m/>
  </r>
  <r>
    <d v="2025-12-15T00:00:00"/>
    <x v="1"/>
    <x v="3"/>
    <s v="FELIPE"/>
    <s v="MORALES FONSECA"/>
    <n v="573143376516"/>
    <n v="75371"/>
    <x v="3"/>
    <x v="0"/>
    <s v="Buen servicio"/>
    <s v="Inicio"/>
    <m/>
    <s v="Cedritos"/>
    <m/>
    <m/>
  </r>
  <r>
    <d v="2025-12-15T00:00:00"/>
    <x v="1"/>
    <x v="3"/>
    <s v="SANDRA MILENA"/>
    <s v="OCAÑO REYES"/>
    <n v="573223034327"/>
    <n v="75318"/>
    <x v="3"/>
    <x v="0"/>
    <s v="Tengo una duda? El taller de la Javeriana recibe moped para cualquier mantenimiento"/>
    <s v="Inicio"/>
    <m/>
    <s v="Taller avenida chile"/>
    <m/>
    <m/>
  </r>
  <r>
    <d v="2025-12-15T00:00:00"/>
    <x v="1"/>
    <x v="3"/>
    <s v="DAVID LEONARDO"/>
    <s v="REYES NAVARRO"/>
    <n v="573117348530"/>
    <n v="75120"/>
    <x v="3"/>
    <x v="0"/>
    <s v="Me gustó mucho como quedó la patineta, se nota que son cuidados con los detalles."/>
    <s v="Inicio"/>
    <m/>
    <s v="Cedritos"/>
    <m/>
    <m/>
  </r>
  <r>
    <d v="2025-12-13T00:00:00"/>
    <x v="1"/>
    <x v="4"/>
    <s v="SERGIO"/>
    <s v="MORENO TABARES"/>
    <n v="573143089129"/>
    <n v="75358"/>
    <x v="3"/>
    <x v="0"/>
    <s v="Buen servicio"/>
    <s v="Inicio"/>
    <m/>
    <s v="Avenida chille"/>
    <m/>
    <m/>
  </r>
  <r>
    <d v="2025-12-13T00:00:00"/>
    <x v="1"/>
    <x v="4"/>
    <s v="IVAN DARIO"/>
    <s v="ARANGO DIAZ"/>
    <n v="573228304536"/>
    <n v="75391"/>
    <x v="2"/>
    <x v="0"/>
    <s v="Sugerencia; claridad al ofrecer el producto y el alcance de cada servicio. _x000a__x000a_Experiencia; no es buena, no recomiendo la marca CAMBIO DE LLANTA"/>
    <m/>
    <m/>
    <s v="Chico"/>
    <m/>
    <m/>
  </r>
  <r>
    <d v="2025-12-13T00:00:00"/>
    <x v="1"/>
    <x v="4"/>
    <s v="EVELYN BRIGITTE"/>
    <s v="ABRIL RIOS"/>
    <n v="573102942949"/>
    <n v="75524"/>
    <x v="3"/>
    <x v="0"/>
    <s v="Excelente servicio"/>
    <s v="Inicio"/>
    <s v="Paola prieto"/>
    <s v="Javeriana"/>
    <m/>
    <m/>
  </r>
  <r>
    <d v="2025-12-13T00:00:00"/>
    <x v="1"/>
    <x v="4"/>
    <s v="CAMILA"/>
    <s v="FRANCO"/>
    <n v="573134854710"/>
    <n v="75280"/>
    <x v="3"/>
    <x v="0"/>
    <s v="Buena"/>
    <s v="Inicio"/>
    <m/>
    <s v="Cedritos"/>
    <m/>
    <m/>
  </r>
  <r>
    <d v="2025-12-13T00:00:00"/>
    <x v="1"/>
    <x v="4"/>
    <s v="DENISE VANESA"/>
    <s v="OJEDA MONTAÑEZ"/>
    <n v="573223774901"/>
    <n v="75427"/>
    <x v="3"/>
    <x v="2"/>
    <s v="Los técnicos trabajan espectacular pero la persona de la recepción fue demasiado apática y displicente además no brindan ningun tipo de información sin antes decir que todo tiene un valor que nos informemos y luego preguntemos"/>
    <m/>
    <m/>
    <s v="Cedritos"/>
    <m/>
    <m/>
  </r>
  <r>
    <d v="2025-12-13T00:00:00"/>
    <x v="1"/>
    <x v="4"/>
    <s v="PAULA VIVIANA"/>
    <s v="GORDO MALAGON"/>
    <n v="573195125125"/>
    <n v="75070"/>
    <x v="3"/>
    <x v="0"/>
    <s v="Muy buen servicio"/>
    <s v="Inicio"/>
    <m/>
    <s v="Cedritos"/>
    <m/>
    <m/>
  </r>
  <r>
    <d v="2025-12-13T00:00:00"/>
    <x v="1"/>
    <x v="4"/>
    <s v="TOMAS SANTIAGO"/>
    <s v="LANCHEROS FRESNEDA"/>
    <n v="573137713239"/>
    <n v="73585"/>
    <x v="3"/>
    <x v="0"/>
    <s v="En general, la atención al cliente fue buena, lo único malo fue que se demoraron aproximadamente 3 semanas en enviarme la patineta a mi domicilio, teniendo en cuenta que no podía pasar por ella al taller"/>
    <s v="Inicio"/>
    <m/>
    <s v="Medellín, Las Vegas"/>
    <m/>
    <m/>
  </r>
  <r>
    <d v="2025-12-13T00:00:00"/>
    <x v="1"/>
    <x v="4"/>
    <s v="JOSE"/>
    <s v="RODRIGUEZ GUTIERREZ"/>
    <n v="573185437733"/>
    <n v="75255"/>
    <x v="3"/>
    <x v="0"/>
    <s v="Excelente"/>
    <s v="Inicio"/>
    <m/>
    <s v="Javeriana"/>
    <m/>
    <m/>
  </r>
  <r>
    <d v="2025-12-13T00:00:00"/>
    <x v="1"/>
    <x v="4"/>
    <s v="DANIELA"/>
    <s v="ESCALANTE LOZANO"/>
    <n v="573183799555"/>
    <n v="75078"/>
    <x v="3"/>
    <x v="0"/>
    <s v="El servicio fue excelente, el personal 10/10"/>
    <s v="Inicio"/>
    <m/>
    <s v="Javeriana"/>
    <m/>
    <m/>
  </r>
  <r>
    <d v="2025-12-12T00:00:00"/>
    <x v="1"/>
    <x v="4"/>
    <s v="MYRIAM ALICIA"/>
    <s v="PALACINO GARCIA"/>
    <n v="573138328763"/>
    <n v="75337"/>
    <x v="3"/>
    <x v="0"/>
    <s v="Todos son muy amables!"/>
    <s v="Inicio"/>
    <m/>
    <s v="Chico"/>
    <m/>
    <m/>
  </r>
  <r>
    <d v="2025-12-12T00:00:00"/>
    <x v="1"/>
    <x v="4"/>
    <s v="SEBASTIAN GUILLERMO"/>
    <s v="SUAREZ LOZADA"/>
    <n v="573108776229"/>
    <n v="75086"/>
    <x v="3"/>
    <x v="0"/>
    <s v="Buen asesoramiento, la patineta quedó increíble, salió como nueva, súper recomendado 🔥🔥"/>
    <s v="Inicio"/>
    <s v="Paola prieto"/>
    <s v="Javeriana"/>
    <m/>
    <m/>
  </r>
  <r>
    <d v="2025-12-12T00:00:00"/>
    <x v="1"/>
    <x v="4"/>
    <s v="ANDRES"/>
    <s v="DIAZ PINTO"/>
    <n v="573102990301"/>
    <n v="75118"/>
    <x v="3"/>
    <x v="0"/>
    <s v="Me ha parecido una patineta excelente y el servicio de mantenimiento fue muy bueno, quedo como nueva, muchas gracias!"/>
    <s v="Inicio"/>
    <m/>
    <s v="Chicó"/>
    <m/>
    <m/>
  </r>
  <r>
    <d v="2025-12-12T00:00:00"/>
    <x v="1"/>
    <x v="4"/>
    <s v="LUIS ALBERTO"/>
    <s v="BELTRAN URREGO"/>
    <n v="573058798748"/>
    <n v="72928"/>
    <x v="4"/>
    <x v="2"/>
    <s v="Mucha demora y creo que abusan de los mantenimientos en repuestos y en todo por sus valores de precio ARREGLO DE MOTOR"/>
    <m/>
    <m/>
    <s v="Chapinero"/>
    <m/>
    <m/>
  </r>
  <r>
    <d v="2025-12-12T00:00:00"/>
    <x v="1"/>
    <x v="4"/>
    <s v="LUISA FERNANDA"/>
    <s v="RAMIREZ CIENDUA"/>
    <n v="573157517702"/>
    <n v="73930"/>
    <x v="3"/>
    <x v="0"/>
    <s v="Excelente servicio de todo el personal"/>
    <s v="Inicio"/>
    <m/>
    <s v="Chico"/>
    <m/>
    <m/>
  </r>
  <r>
    <d v="2025-12-12T00:00:00"/>
    <x v="1"/>
    <x v="4"/>
    <s v="JUAN DAVID"/>
    <s v="FAJARDO"/>
    <n v="573124956683"/>
    <n v="75169"/>
    <x v="3"/>
    <x v="0"/>
    <s v="Gran servicio"/>
    <s v="Inicio"/>
    <m/>
    <s v="Chico"/>
    <m/>
    <m/>
  </r>
  <r>
    <d v="2025-12-12T00:00:00"/>
    <x v="1"/>
    <x v="4"/>
    <s v="CARLOS ANDRES"/>
    <s v="PEREZ OSORIO"/>
    <n v="573134262302"/>
    <n v="75354"/>
    <x v="3"/>
    <x v="0"/>
    <s v="Buena atención y servicio con el ajuste de frenos"/>
    <s v="Inicio"/>
    <m/>
    <s v="Chico"/>
    <m/>
    <m/>
  </r>
  <r>
    <d v="2025-12-11T00:00:00"/>
    <x v="1"/>
    <x v="4"/>
    <s v="JUAN PABLO"/>
    <s v="RODRIGUEZ"/>
    <n v="573178245329"/>
    <n v="75380"/>
    <x v="3"/>
    <x v="0"/>
    <s v="No me querían recibir la patineta que por congestión, sin embargo después de insistir logré que me ayudaran con la despinchada"/>
    <s v="Inicio"/>
    <m/>
    <s v="Cedritos"/>
    <m/>
    <m/>
  </r>
  <r>
    <d v="2025-12-11T00:00:00"/>
    <x v="1"/>
    <x v="4"/>
    <s v="DIANA"/>
    <s v="DE DIOS RAMOS"/>
    <n v="573123138808"/>
    <n v="75186"/>
    <x v="3"/>
    <x v="0"/>
    <s v="Muy buen servicio"/>
    <s v="Inicio"/>
    <m/>
    <s v="Calle 72"/>
    <m/>
    <m/>
  </r>
  <r>
    <d v="2025-12-11T00:00:00"/>
    <x v="1"/>
    <x v="4"/>
    <s v="MAURICIO"/>
    <s v="GONZALEZ PARRA"/>
    <n v="573157267369"/>
    <n v="74426"/>
    <x v="3"/>
    <x v="0"/>
    <s v="Llevo más de 2 años con la patineta y siempre me han atendido diligentemente en ese taller... nunca he llevado la_x000a_Patineta a otro sitio!!!"/>
    <s v="Inicio"/>
    <m/>
    <s v="Calle 94"/>
    <m/>
    <m/>
  </r>
  <r>
    <d v="2025-12-11T00:00:00"/>
    <x v="1"/>
    <x v="4"/>
    <s v="DANIEL ESTEBAN"/>
    <s v="VEGA BOLIVAR"/>
    <n v="573208872284"/>
    <n v="75174"/>
    <x v="3"/>
    <x v="0"/>
    <s v="Buena, muy rápida la minca 2400 muy buen medio de transporte para no ir en Transmilenio"/>
    <s v="Inicio"/>
    <m/>
    <s v="Taller javeriana en la calle 45"/>
    <m/>
    <m/>
  </r>
  <r>
    <d v="2025-12-11T00:00:00"/>
    <x v="1"/>
    <x v="4"/>
    <s v="JOSE RODRIGO"/>
    <s v="VALCARCEL VELA"/>
    <n v="573115146747"/>
    <n v="75015"/>
    <x v="3"/>
    <x v="0"/>
    <s v="Desde que compre mi patineta el mantenimiento preventivo hasta las despinchadas y las  veces que he usado el servicio tecnico de minca me ha ido muy bien y me ha parecido adecuado."/>
    <s v="Inicio"/>
    <m/>
    <s v="."/>
    <m/>
    <m/>
  </r>
  <r>
    <d v="2025-12-11T00:00:00"/>
    <x v="1"/>
    <x v="4"/>
    <s v="SANDRA MILENA"/>
    <s v="SALAZAR WHITE"/>
    <n v="573124341652"/>
    <n v="73640"/>
    <x v="3"/>
    <x v="0"/>
    <s v="Rapidez y calidad 🌈🌺"/>
    <s v="Inicio"/>
    <m/>
    <s v="Chico"/>
    <m/>
    <m/>
  </r>
  <r>
    <d v="2025-12-11T00:00:00"/>
    <x v="1"/>
    <x v="4"/>
    <s v="LEONARDO"/>
    <s v="TORRES"/>
    <n v="573108097127"/>
    <n v="75104"/>
    <x v="3"/>
    <x v="0"/>
    <s v="Excelente servicio"/>
    <s v="Inicio"/>
    <m/>
    <s v="Calle 72"/>
    <m/>
    <m/>
  </r>
  <r>
    <d v="2025-12-11T00:00:00"/>
    <x v="1"/>
    <x v="4"/>
    <s v="JORGE FERNEY"/>
    <s v="CUBIDES ANTOLINEZ"/>
    <n v="573108580280"/>
    <n v="75344"/>
    <x v="3"/>
    <x v="0"/>
    <s v="Angie tiene una memoria prodigiosa, siempre es muy atenta y amable en la atención, recepción y entrega, y los técnicos igualmente son receptivos y ágiles en el servicio."/>
    <s v="Inicio"/>
    <m/>
    <s v="Chicó"/>
    <m/>
    <m/>
  </r>
  <r>
    <d v="2025-12-11T00:00:00"/>
    <x v="1"/>
    <x v="4"/>
    <s v="SERGIO"/>
    <s v="BARRERA ARIAS"/>
    <n v="573204568073"/>
    <n v="75162"/>
    <x v="3"/>
    <x v="0"/>
    <s v="Excelente"/>
    <s v="Inicio"/>
    <m/>
    <s v="Javeriana"/>
    <m/>
    <m/>
  </r>
  <r>
    <d v="2025-12-11T00:00:00"/>
    <x v="1"/>
    <x v="4"/>
    <s v="SERGIO"/>
    <s v="BARRERA ARIAS"/>
    <n v="573204568073"/>
    <n v="75162"/>
    <x v="3"/>
    <x v="2"/>
    <s v="Excelente"/>
    <s v="Clic"/>
    <m/>
    <s v="Javeriana"/>
    <m/>
    <m/>
  </r>
  <r>
    <d v="2025-12-11T00:00:00"/>
    <x v="1"/>
    <x v="4"/>
    <s v="KEINER"/>
    <s v="IBARGUER"/>
    <n v="573027425811"/>
    <n v="75179"/>
    <x v="3"/>
    <x v="0"/>
    <s v="Fue una experiencia muy chévere, por q me fue mucho mejor de lo esperaba, todo fue rápido y me sentí muy accesorado"/>
    <s v="Inicio"/>
    <m/>
    <s v="En el taller de la javeriana"/>
    <m/>
    <m/>
  </r>
  <r>
    <d v="2025-12-11T00:00:00"/>
    <x v="1"/>
    <x v="4"/>
    <s v="LUIS ALEJANDRO"/>
    <s v="PEREZ ALVAREZ"/>
    <n v="573113696791"/>
    <n v="74747"/>
    <x v="3"/>
    <x v="0"/>
    <s v="Me encanta mi patineta, el servicio ha sido excelente siempre 👌🏻"/>
    <s v="Inicio"/>
    <m/>
    <s v="Cedritos"/>
    <m/>
    <m/>
  </r>
  <r>
    <d v="2025-12-10T00:00:00"/>
    <x v="1"/>
    <x v="4"/>
    <s v="MIGUEL ANGEL"/>
    <s v="HERNANDEZ GUITIERREZ"/>
    <n v="573015067883"/>
    <n v="75195"/>
    <x v="3"/>
    <x v="0"/>
    <s v="Buenos pero les falta en atención al cliente"/>
    <s v="Inicio"/>
    <m/>
    <s v="Las vegas"/>
    <m/>
    <m/>
  </r>
  <r>
    <d v="2025-12-10T00:00:00"/>
    <x v="1"/>
    <x v="4"/>
    <s v="JONATTAN"/>
    <s v="QUINTERO CORREDOR"/>
    <n v="573166942049"/>
    <n v="75180"/>
    <x v="3"/>
    <x v="0"/>
    <s v="Fueron muy rápidos en todo el servicio"/>
    <s v="Inicio"/>
    <m/>
    <s v="Av chile"/>
    <m/>
    <m/>
  </r>
  <r>
    <d v="2025-12-10T00:00:00"/>
    <x v="1"/>
    <x v="4"/>
    <s v="JORGE GUILLERMO"/>
    <s v="GONZALEZ PORTILLA"/>
    <n v="573208737637"/>
    <n v="73868"/>
    <x v="2"/>
    <x v="0"/>
    <s v="Está excelente mantenimiento y entrega perfecta Pero un punto demora mucho casi 2 semanas"/>
    <m/>
    <s v="Jorge González"/>
    <s v="Gracias excelente Pero un poco demora Pero bien"/>
    <m/>
    <m/>
  </r>
  <r>
    <d v="2025-12-10T00:00:00"/>
    <x v="1"/>
    <x v="4"/>
    <s v="JHOL FRAN"/>
    <s v="SALAS ARDILA"/>
    <n v="573222550324"/>
    <n v="74894"/>
    <x v="3"/>
    <x v="0"/>
    <s v="Que se demoran mucho tiempo en entregarla"/>
    <s v="Inicio"/>
    <m/>
    <s v="Cedritos"/>
    <m/>
    <m/>
  </r>
  <r>
    <d v="2025-12-10T00:00:00"/>
    <x v="1"/>
    <x v="4"/>
    <s v="CAMILO"/>
    <s v="PALACIOS DIAZ"/>
    <n v="573162838965"/>
    <n v="75088"/>
    <x v="3"/>
    <x v="0"/>
    <s v="Hasta el momento todo muy bien. El costo de los accesorios un poco alto. Me gustaría que la bateria de la ats700 tuviera mas independencia."/>
    <s v="Inicio"/>
    <m/>
    <s v="Chicó"/>
    <m/>
    <m/>
  </r>
  <r>
    <d v="2025-12-10T00:00:00"/>
    <x v="1"/>
    <x v="4"/>
    <s v="CRISTIAN"/>
    <s v="MELECIO CARDONA"/>
    <n v="573153372736"/>
    <n v="75156"/>
    <x v="3"/>
    <x v="0"/>
    <m/>
    <s v="Inicio"/>
    <m/>
    <s v="."/>
    <m/>
    <m/>
  </r>
  <r>
    <d v="2025-12-10T00:00:00"/>
    <x v="1"/>
    <x v="4"/>
    <s v="PEDRO PABLO"/>
    <s v="SUAREZ RODRIGUEZ"/>
    <n v="573213851114"/>
    <n v="74905"/>
    <x v="3"/>
    <x v="0"/>
    <s v="Bueno el servicio"/>
    <s v="Inicio"/>
    <m/>
    <s v="En el siete de agosto"/>
    <m/>
    <m/>
  </r>
  <r>
    <d v="2025-12-10T00:00:00"/>
    <x v="1"/>
    <x v="4"/>
    <s v="JUAN SEBASTIÁN"/>
    <s v="CORTES MONTOYA"/>
    <n v="573052540046"/>
    <n v="74992"/>
    <x v="3"/>
    <x v="0"/>
    <s v="Buena atención"/>
    <s v="Inicio"/>
    <m/>
    <s v="Medellín"/>
    <m/>
    <m/>
  </r>
  <r>
    <d v="2025-12-10T00:00:00"/>
    <x v="1"/>
    <x v="4"/>
    <s v="JORGE NICOLAS"/>
    <s v="PRADA RODRIGUEZ"/>
    <n v="573508337349"/>
    <n v="74094"/>
    <x v="3"/>
    <x v="0"/>
    <s v="Lo mejor en scooter"/>
    <s v="Inicio"/>
    <m/>
    <s v="Cedritos"/>
    <m/>
    <m/>
  </r>
  <r>
    <d v="2025-12-10T00:00:00"/>
    <x v="1"/>
    <x v="4"/>
    <s v="OBER"/>
    <s v="DUQUE"/>
    <n v="573136459888"/>
    <n v="74046"/>
    <x v="3"/>
    <x v="1"/>
    <s v="Tal vez considerar la mejora de la página que autoriza las órdenes, suele ser un poco confusa."/>
    <m/>
    <m/>
    <s v="Taller Chicó"/>
    <m/>
    <m/>
  </r>
  <r>
    <d v="2025-12-10T00:00:00"/>
    <x v="1"/>
    <x v="4"/>
    <s v="ALEJANDRA"/>
    <s v="VILLEGAS"/>
    <n v="573105604671"/>
    <n v="73396"/>
    <x v="3"/>
    <x v="0"/>
    <s v="Amo mi patineta, pero he tenido muchos inconvenientes tecnicos que me han hecho gastar mucho dinero. Además la atención que recibi en Chico no fue la mejor"/>
    <s v="Inicio"/>
    <m/>
    <s v="Cedritos"/>
    <m/>
    <m/>
  </r>
  <r>
    <d v="2025-12-09T00:00:00"/>
    <x v="1"/>
    <x v="4"/>
    <s v="JUAN DIEGO"/>
    <s v="OROZCO MONROY"/>
    <n v="573025448493"/>
    <n v="75061"/>
    <x v="3"/>
    <x v="2"/>
    <s v="Fui con mi city a cambiar la llanta trasera por un pinchazo,  me dicen que no me pueden atender hasta el martes y que tampoco puedo dejar la bicicleta. Pregunto si puedo comprar la llanta y que la instalen en un montallantas, a lo que responden que no se puede pues se pierde la garantía..._x000a__x000a_3 días el vehículo inmovilizado por un cambio de llanta que no debería tardar más de 20 minutos. Y la imagen de marca por el suelo con ese tipo de actitud por parte de los asesores."/>
    <s v="Inicio"/>
    <s v="Jesús Muñoz"/>
    <s v="Cedritos"/>
    <m/>
    <m/>
  </r>
  <r>
    <d v="2025-12-09T00:00:00"/>
    <x v="1"/>
    <x v="4"/>
    <s v="LAURA XIMENA"/>
    <s v="CORTES VARON"/>
    <n v="573166947859"/>
    <n v="74971"/>
    <x v="2"/>
    <x v="0"/>
    <s v="La verdad, no me da tranquilidad que no sepan por qué se dio una falla en una patineta nueva con dos días de uso. Le pregunté a la asesora del taller y no supo decirme por qué se desconfiguró. Use la patineta de regreso a mi casa y la velocidad no está igual que cuando recién la recibí. Se supone que alcanza 55 km y no pasó de los 40 en race. Dejo esto por escrito para que sepan que debo volver a llevarla"/>
    <m/>
    <m/>
    <n v="45"/>
    <m/>
    <m/>
  </r>
  <r>
    <d v="2025-12-09T00:00:00"/>
    <x v="1"/>
    <x v="4"/>
    <s v="BERNARDO"/>
    <s v="MACHADO AREVALO"/>
    <n v="573213774628"/>
    <n v="75005"/>
    <x v="3"/>
    <x v="0"/>
    <m/>
    <s v="Inicio"/>
    <m/>
    <s v="Cedritos"/>
    <m/>
    <m/>
  </r>
  <r>
    <d v="2025-12-09T00:00:00"/>
    <x v="1"/>
    <x v="4"/>
    <s v="ANDREA CAROLINA"/>
    <s v="ASCENCIO"/>
    <n v="573012515681"/>
    <n v="75187"/>
    <x v="3"/>
    <x v="0"/>
    <s v="Como siempre el servicio es rapido eficiente y bueno"/>
    <s v="Inicio"/>
    <m/>
    <s v="Av chile"/>
    <m/>
    <m/>
  </r>
  <r>
    <d v="2025-12-09T00:00:00"/>
    <x v="1"/>
    <x v="4"/>
    <s v="JULIAN ANDRES"/>
    <s v="CASTRO ROJAS"/>
    <n v="573058129599"/>
    <n v="75123"/>
    <x v="3"/>
    <x v="0"/>
    <m/>
    <s v="Inicio"/>
    <m/>
    <s v="."/>
    <m/>
    <m/>
  </r>
  <r>
    <d v="2025-12-09T00:00:00"/>
    <x v="1"/>
    <x v="4"/>
    <s v="MARIA JULIANA"/>
    <s v="TAMAYO LOMDOÑO"/>
    <n v="573203488678"/>
    <n v="74887"/>
    <x v="3"/>
    <x v="0"/>
    <s v="Muy ágil y buen servicio"/>
    <s v="Inicio"/>
    <m/>
    <s v="Chico"/>
    <m/>
    <m/>
  </r>
  <r>
    <d v="2025-12-09T00:00:00"/>
    <x v="1"/>
    <x v="4"/>
    <s v="CAMILO ANDRES"/>
    <s v="BEDOYA SUAREZ"/>
    <n v="573228549831"/>
    <n v="74348"/>
    <x v="4"/>
    <x v="2"/>
    <s v="No escofican el costo del mantenimiento antes de que ingrese al taller y una vez sale la suspensión suena peor de como había ingresado, mala experiencia en el taller"/>
    <m/>
    <m/>
    <s v="Chico"/>
    <m/>
    <m/>
  </r>
  <r>
    <d v="2025-12-09T00:00:00"/>
    <x v="1"/>
    <x v="4"/>
    <s v="GUILLERMO ALEXANDER"/>
    <s v="MUJICA RODRIGUEZ"/>
    <n v="573209249120"/>
    <n v="75065"/>
    <x v="3"/>
    <x v="0"/>
    <s v="Más inventario de repuestos por ejemplo guarda barros"/>
    <s v="Inicio"/>
    <m/>
    <s v="Cedritos"/>
    <m/>
    <m/>
  </r>
  <r>
    <d v="2025-12-09T00:00:00"/>
    <x v="1"/>
    <x v="4"/>
    <s v="GHEORGE IVAN"/>
    <s v="DIMOFTACHE VARGAS"/>
    <n v="573115367422"/>
    <n v="75117"/>
    <x v="3"/>
    <x v="0"/>
    <s v="La patineta presentó un defecto en la llanta sellomatic original. No contaban con el repuesto por lo que se colocó neumático mientras llega el repuesto y se instala, todo cubierto por la garantía de acuerdo con lo indicado en el taller. Por favor agradeceria me informen cuando cuenten con el repuesto muchas gracias"/>
    <s v="Inicio"/>
    <m/>
    <s v="Avenida Chile"/>
    <m/>
    <m/>
  </r>
  <r>
    <d v="2025-12-09T00:00:00"/>
    <x v="1"/>
    <x v="4"/>
    <s v="JULIO"/>
    <s v="LEMOINE"/>
    <n v="573202314898"/>
    <n v="75140"/>
    <x v="3"/>
    <x v="0"/>
    <s v="Muy agradecido siempre. Muchas gracias por hacer el arreglo tan rapido"/>
    <s v="Inicio"/>
    <m/>
    <s v="Calle 95"/>
    <m/>
    <m/>
  </r>
  <r>
    <d v="2025-12-09T00:00:00"/>
    <x v="1"/>
    <x v="4"/>
    <s v="JHON FREDY"/>
    <s v="BETANCOURT MARTIN"/>
    <n v="573112794157"/>
    <n v="74699"/>
    <x v="3"/>
    <x v="0"/>
    <s v="Todo fue muy claro desde el principio, se tomo el tiempo establecido y la entrega también fue rápida"/>
    <s v="Inicio"/>
    <m/>
    <s v="Avda Chile"/>
    <m/>
    <m/>
  </r>
  <r>
    <d v="2025-12-09T00:00:00"/>
    <x v="1"/>
    <x v="4"/>
    <s v="FRANCISCO JAVIER"/>
    <s v="OBANDO DE CRUZ"/>
    <n v="573013374762"/>
    <n v="74543"/>
    <x v="2"/>
    <x v="1"/>
    <s v="a los pocos kms de andar en la minca note inestabilidad, ya llegando a la casa note que parece frenada por el disco, por un ruido que hace.. tengo que volverla a llevar"/>
    <m/>
    <m/>
    <s v="cedritos"/>
    <m/>
    <m/>
  </r>
  <r>
    <d v="2025-12-09T00:00:00"/>
    <x v="1"/>
    <x v="4"/>
    <s v="YARA MELISSA"/>
    <s v="AMADO"/>
    <n v="573107691298"/>
    <n v="74734"/>
    <x v="3"/>
    <x v="0"/>
    <s v="Bien, la señorita Paola del punto Javeriana es súper amable y atenta, siempre llevo la patineta allá. Lo único a mejorar es que a veces se demoran mucho con la entrega de la patineta, pero creo que es porque hay mucha demanda. Igual gracias jeje 😌"/>
    <s v="Inicio"/>
    <m/>
    <s v="Javeriana"/>
    <m/>
    <m/>
  </r>
  <r>
    <d v="2025-12-06T00:00:00"/>
    <x v="1"/>
    <x v="5"/>
    <s v="RONALD FABIAN"/>
    <s v="SALCEDO HAMON"/>
    <n v="573242710061"/>
    <n v="74367"/>
    <x v="4"/>
    <x v="2"/>
    <s v="Atención pésima"/>
    <m/>
    <m/>
    <s v="Javeriana"/>
    <m/>
    <m/>
  </r>
  <r>
    <d v="2025-12-06T00:00:00"/>
    <x v="1"/>
    <x v="5"/>
    <s v="CHRISTIAN FERNANDO"/>
    <s v="OTERO GUZMAN"/>
    <n v="573012180190"/>
    <n v="74817"/>
    <x v="3"/>
    <x v="0"/>
    <m/>
    <s v="Inicio"/>
    <m/>
    <s v="Cedritos"/>
    <m/>
    <m/>
  </r>
  <r>
    <d v="2025-12-06T00:00:00"/>
    <x v="1"/>
    <x v="5"/>
    <s v="CHRISTIAN FERNANDO"/>
    <s v="OTERO GUZMAN"/>
    <n v="573012180190"/>
    <n v="74817"/>
    <x v="3"/>
    <x v="0"/>
    <s v="Ya lo escribí"/>
    <s v="Inicio"/>
    <m/>
    <s v="Cedritos"/>
    <m/>
    <m/>
  </r>
  <r>
    <d v="2025-12-06T00:00:00"/>
    <x v="1"/>
    <x v="5"/>
    <s v="LORENA"/>
    <s v="PRIETO"/>
    <n v="573133685611"/>
    <n v="72613"/>
    <x v="3"/>
    <x v="0"/>
    <s v="Buena marca"/>
    <s v="Inicio"/>
    <m/>
    <s v="Av chile"/>
    <m/>
    <m/>
  </r>
  <r>
    <d v="2025-12-06T00:00:00"/>
    <x v="1"/>
    <x v="5"/>
    <s v="OSCAR FERNANDO"/>
    <s v="MANJARRES PASTRAN"/>
    <n v="573124820685"/>
    <n v="75048"/>
    <x v="3"/>
    <x v="0"/>
    <s v="Excelente servicio, muy oportunos"/>
    <s v="Inicio"/>
    <m/>
    <s v="javeriana"/>
    <m/>
    <m/>
  </r>
  <r>
    <d v="2025-12-06T00:00:00"/>
    <x v="1"/>
    <x v="5"/>
    <s v="JULIAN ANDRES"/>
    <s v="NUÑEZ CABALLERO"/>
    <n v="573159942700"/>
    <n v="74849"/>
    <x v="3"/>
    <x v="0"/>
    <s v="deben calcular mejor los tiempos, pues hubo un atraso de un día y fue evidente que el trabajo empezó hasta un día después de haber recibido la patineta"/>
    <s v="Inicio"/>
    <m/>
    <s v="chicó"/>
    <m/>
    <m/>
  </r>
  <r>
    <d v="2025-12-06T00:00:00"/>
    <x v="1"/>
    <x v="5"/>
    <s v="JUAN CARLOS"/>
    <s v="GOMEZ FUENTES"/>
    <n v="573007278248"/>
    <n v="74902"/>
    <x v="3"/>
    <x v="0"/>
    <s v="La patineta es muy buena, lo que me parece negativo son los tiempos de respuesta y la demora en los mantenimientos"/>
    <s v="Inicio"/>
    <m/>
    <s v="Avda Chile"/>
    <m/>
    <m/>
  </r>
  <r>
    <d v="2025-12-06T00:00:00"/>
    <x v="1"/>
    <x v="5"/>
    <s v="LAURA CAMILA"/>
    <s v="MAÑOSCA PEREZ"/>
    <n v="573103104243"/>
    <n v="73864"/>
    <x v="3"/>
    <x v="0"/>
    <s v="Mejorar los tiempos en cuanto a la verificación de novedades iniciales,debido a que se demoró como una semana en informar lo que tenía; de resto cuando se realizó el arreglo fue rápido. Gracias"/>
    <s v="Inicio"/>
    <m/>
    <s v="Taller de la 72 avenida chile"/>
    <m/>
    <m/>
  </r>
  <r>
    <d v="2025-12-06T00:00:00"/>
    <x v="1"/>
    <x v="5"/>
    <s v="LUIS FELIPE"/>
    <s v="SAENZ  AVILA"/>
    <n v="573016197123"/>
    <n v="73646"/>
    <x v="4"/>
    <x v="2"/>
    <s v="Llevo con esta vez 3 veces, la ida a el taller por motivo eléctrico, en esta última ocasión me dijeron que se demoraría 3 días la revisión, como pueden ver el historial de ingreso fue el 18 de noviembre y hasta hoy me la devolvieron 3 semana para hacer un proceso que me dijeron que se demoraría 3 días....tengo una gran preocupación y ansiedad ya que la calidad no ha sido la mejor, es mi medio de transporte y por el historial en cualquier momento me va a dejar sin poder llegar a mi destino"/>
    <m/>
    <m/>
    <s v="Cedritos"/>
    <m/>
    <m/>
  </r>
  <r>
    <d v="2025-12-06T00:00:00"/>
    <x v="1"/>
    <x v="5"/>
    <s v="MAURICIO TOVAR"/>
    <s v="VARGAS"/>
    <n v="573152574660"/>
    <n v="74682"/>
    <x v="3"/>
    <x v="0"/>
    <s v="Todo bien."/>
    <s v="Inicio"/>
    <m/>
    <s v="Chico"/>
    <m/>
    <m/>
  </r>
  <r>
    <d v="2025-12-06T00:00:00"/>
    <x v="1"/>
    <x v="5"/>
    <s v="JHONATHAN DAVID"/>
    <s v="GUTIERREZ RAMIREZ"/>
    <n v="573173932317"/>
    <n v="74564"/>
    <x v="3"/>
    <x v="0"/>
    <s v="Me pareció muy rápido el mantenimiento, buen trabajo"/>
    <s v="Inicio"/>
    <m/>
    <s v="Chico"/>
    <m/>
    <m/>
  </r>
  <r>
    <d v="2025-12-06T00:00:00"/>
    <x v="1"/>
    <x v="5"/>
    <s v="JOHN ALEXANDER"/>
    <s v="ROSAS CARDENAS"/>
    <n v="573152933853"/>
    <n v="74622"/>
    <x v="3"/>
    <x v="0"/>
    <s v="Buena"/>
    <s v="Inicio"/>
    <m/>
    <s v="."/>
    <m/>
    <m/>
  </r>
  <r>
    <d v="2025-12-06T00:00:00"/>
    <x v="1"/>
    <x v="5"/>
    <s v="JONATHAN SLIM"/>
    <s v="MORA COLINA"/>
    <n v="573133405488"/>
    <n v="74319"/>
    <x v="4"/>
    <x v="2"/>
    <s v="Muy desordenados en general, el tema de las aprobaciones de servicio nadie lo entiende, son demorados, entregan incompleto, no respetan el tiempo de los clientes"/>
    <m/>
    <m/>
    <n v="95"/>
    <m/>
    <m/>
  </r>
  <r>
    <d v="2025-12-06T00:00:00"/>
    <x v="1"/>
    <x v="5"/>
    <s v="CAMILO"/>
    <s v="VARGAS AHUMADA"/>
    <n v="573205443707"/>
    <n v="74978"/>
    <x v="3"/>
    <x v="0"/>
    <s v="Creo q pueden mejorar con las expectativas de tiempos, y cumplir"/>
    <s v="Inicio"/>
    <m/>
    <s v="Chico"/>
    <m/>
    <m/>
  </r>
  <r>
    <d v="2025-12-05T00:00:00"/>
    <x v="1"/>
    <x v="5"/>
    <s v="LUIS FERNANDO"/>
    <s v="GUARIN CORREDOR"/>
    <n v="573213271654"/>
    <n v="75009"/>
    <x v="3"/>
    <x v="0"/>
    <s v="Muchas Gracias la Patineta quedó Super"/>
    <s v="Inicio"/>
    <m/>
    <s v="Av Chile"/>
    <m/>
    <m/>
  </r>
  <r>
    <d v="2025-12-05T00:00:00"/>
    <x v="1"/>
    <x v="5"/>
    <s v="SANTIAGO ANDRES"/>
    <s v="GONZALEZ SARMIENTO"/>
    <n v="573154633368"/>
    <n v="74997"/>
    <x v="3"/>
    <x v="0"/>
    <s v="todo estuvo perfecto"/>
    <s v="Inicio"/>
    <m/>
    <s v="chico"/>
    <m/>
    <m/>
  </r>
  <r>
    <d v="2025-12-05T00:00:00"/>
    <x v="1"/>
    <x v="5"/>
    <s v="MARÍA PAULA"/>
    <s v="GALLEGO PASTOR"/>
    <n v="573508296000"/>
    <n v="74958"/>
    <x v="3"/>
    <x v="0"/>
    <s v="El  servicio al cliente del chat es pésimo, no me contestaron en 2 días"/>
    <s v="Inicio"/>
    <m/>
    <s v="Av chile"/>
    <m/>
    <m/>
  </r>
  <r>
    <d v="2025-12-05T00:00:00"/>
    <x v="1"/>
    <x v="5"/>
    <s v="JACOBO"/>
    <s v="GONTOVNIK CYBUL"/>
    <n v="573164544584"/>
    <n v="74323"/>
    <x v="3"/>
    <x v="0"/>
    <s v="Fue facil y rapido. Solo no se porque exigen factura de donde la compre y eso demoro todo porque fue un regalo y no la tenia a la mano"/>
    <s v="Inicio"/>
    <m/>
    <n v="95"/>
    <m/>
    <m/>
  </r>
  <r>
    <d v="2025-12-05T00:00:00"/>
    <x v="1"/>
    <x v="5"/>
    <s v="MANUEL ESCOBAR"/>
    <s v="ESPINOSA"/>
    <n v="573145838199"/>
    <n v="75022"/>
    <x v="3"/>
    <x v="0"/>
    <s v="Todo muy bien"/>
    <s v="Inicio"/>
    <m/>
    <s v="Cambio de acelerador"/>
    <m/>
    <m/>
  </r>
  <r>
    <d v="2025-12-05T00:00:00"/>
    <x v="1"/>
    <x v="5"/>
    <s v="JOHNATTAN MICHELLE"/>
    <s v="PERTUZ GONZALEZ"/>
    <n v="573022345280"/>
    <n v="74961"/>
    <x v="3"/>
    <x v="0"/>
    <m/>
    <s v="Inicio"/>
    <m/>
    <s v="Cedritos"/>
    <m/>
    <m/>
  </r>
  <r>
    <d v="2025-12-05T00:00:00"/>
    <x v="1"/>
    <x v="5"/>
    <s v="JOHNATTAN MICHELLE"/>
    <s v="PERTUZ GONZALEZ"/>
    <n v="573022345280"/>
    <n v="74961"/>
    <x v="3"/>
    <x v="2"/>
    <s v="La atención de las personas encargadas es pésima y no dejan ver lo que uno va a pagar"/>
    <s v="Inicio"/>
    <m/>
    <s v="Cedritos"/>
    <m/>
    <m/>
  </r>
  <r>
    <d v="2025-12-05T00:00:00"/>
    <x v="1"/>
    <x v="5"/>
    <s v="MARIANO"/>
    <s v="CASTRO ALARCON"/>
    <n v="573222219159"/>
    <n v="74270"/>
    <x v="2"/>
    <x v="1"/>
    <m/>
    <m/>
    <m/>
    <s v="Javeriana"/>
    <m/>
    <m/>
  </r>
  <r>
    <d v="2025-12-05T00:00:00"/>
    <x v="1"/>
    <x v="5"/>
    <s v="DANIEL"/>
    <s v="SALAZAR"/>
    <n v="573168712374"/>
    <n v="74917"/>
    <x v="3"/>
    <x v="1"/>
    <s v="El servicio fue muy bueno, la amabilidad de la asesora tiene oportunidades de mejora"/>
    <m/>
    <m/>
    <s v="Javerians"/>
    <m/>
    <m/>
  </r>
  <r>
    <d v="2025-12-05T00:00:00"/>
    <x v="1"/>
    <x v="5"/>
    <s v="WILFRED EDUARDO"/>
    <s v="MANRIQUE"/>
    <n v="573233104796"/>
    <n v="74296"/>
    <x v="3"/>
    <x v="0"/>
    <s v="Buena atención en los talleres, pero hay que revisar el tema de la atención en la línea whasapp y telefónica ya que al parecer hay teléfono rotó de atención al usuario con los talleres...."/>
    <s v="Inicio"/>
    <s v="Paola prieto"/>
    <s v="Javeriana"/>
    <m/>
    <m/>
  </r>
  <r>
    <d v="2025-12-05T00:00:00"/>
    <x v="1"/>
    <x v="5"/>
    <s v="CESAR DAVID"/>
    <s v="PEÑALOSA SUESCUN"/>
    <n v="573124215460"/>
    <n v="74651"/>
    <x v="3"/>
    <x v="0"/>
    <s v="En general muy bien,personal atento y colaboradores"/>
    <s v="Inicio"/>
    <m/>
    <s v="Avenida Chile"/>
    <m/>
    <m/>
  </r>
  <r>
    <d v="2025-12-05T00:00:00"/>
    <x v="1"/>
    <x v="5"/>
    <s v="CLAUDIA MARCELA"/>
    <s v="MARTINEZ RAMIREZ"/>
    <n v="573012392677"/>
    <n v="74728"/>
    <x v="3"/>
    <x v="0"/>
    <s v="Súper es la atención del personal"/>
    <s v="Inicio"/>
    <m/>
    <s v="Av Chile"/>
    <m/>
    <m/>
  </r>
  <r>
    <d v="2025-12-05T00:00:00"/>
    <x v="1"/>
    <x v="5"/>
    <s v="GERSSON ANDRÉS"/>
    <s v="ARIAS SANDOVAL"/>
    <n v="573013389499"/>
    <n v="72046"/>
    <x v="3"/>
    <x v="0"/>
    <s v="Tiene mucho por mejorar, los tiempos de reparacion son mug extensos"/>
    <s v="Inicio"/>
    <m/>
    <n v="95"/>
    <m/>
    <m/>
  </r>
  <r>
    <d v="2025-12-05T00:00:00"/>
    <x v="1"/>
    <x v="5"/>
    <s v="ALVARO"/>
    <s v="DIAZ"/>
    <n v="573135467090"/>
    <n v="74664"/>
    <x v="3"/>
    <x v="0"/>
    <s v="Agradable y profesional."/>
    <s v="Inicio"/>
    <m/>
    <s v="Chico"/>
    <m/>
    <m/>
  </r>
  <r>
    <d v="2025-12-05T00:00:00"/>
    <x v="1"/>
    <x v="5"/>
    <s v="ALEJANDRO"/>
    <s v="PARRADO DI DOMINICO"/>
    <n v="573186064342"/>
    <n v="72129"/>
    <x v="3"/>
    <x v="0"/>
    <s v="La atención es buena y el arreglo también, pero el proceso fue muy demorado, hasta que no fui personalmente a preguntar el proceso no avanzó como debería"/>
    <s v="Inicio"/>
    <m/>
    <s v="Javeriana"/>
    <m/>
    <m/>
  </r>
  <r>
    <d v="2025-12-05T00:00:00"/>
    <x v="1"/>
    <x v="5"/>
    <s v="CHRISTIAN EDUARDO"/>
    <s v="DUEÑAS FORERO"/>
    <n v="573168973159"/>
    <n v="74612"/>
    <x v="3"/>
    <x v="0"/>
    <s v="El servicio es muy fácil de usar, reservar para el mantenimientos en general el servicio es muy bueno"/>
    <s v="Inicio"/>
    <m/>
    <s v="Avenida Chile"/>
    <m/>
    <m/>
  </r>
  <r>
    <d v="2025-12-05T00:00:00"/>
    <x v="1"/>
    <x v="5"/>
    <s v="CAMILO ALEJANDRO"/>
    <s v="LESMES"/>
    <n v="573132892309"/>
    <n v="74346"/>
    <x v="3"/>
    <x v="0"/>
    <s v="Estuve genial y buen trabajo"/>
    <s v="Inicio"/>
    <m/>
    <s v="Av chile"/>
    <m/>
    <m/>
  </r>
  <r>
    <d v="2025-12-03T00:00:00"/>
    <x v="1"/>
    <x v="5"/>
    <s v="HENRY RAFAEL"/>
    <s v="ALVAREZ PEROZO"/>
    <n v="573228078000"/>
    <n v="73897"/>
    <x v="2"/>
    <x v="0"/>
    <s v="Exelente atención del taller y asesores pero algo retrasado en las reparaciones y no se resolvió un problema en la patineta pero de resto todo exelente"/>
    <m/>
    <s v="Las vegas"/>
    <m/>
    <m/>
    <m/>
  </r>
  <r>
    <d v="2025-12-03T00:00:00"/>
    <x v="1"/>
    <x v="5"/>
    <s v="CAMILO EDUARDO"/>
    <s v="ABELLA COMBITA"/>
    <n v="573167901256"/>
    <n v="74504"/>
    <x v="3"/>
    <x v="0"/>
    <s v="N/A"/>
    <s v="Inicio"/>
    <s v="JAVERIANA"/>
    <m/>
    <m/>
    <m/>
  </r>
  <r>
    <d v="2025-12-03T00:00:00"/>
    <x v="1"/>
    <x v="5"/>
    <s v="PAULA VANESSA"/>
    <s v="MERLANO VALVERDE"/>
    <n v="573195647795"/>
    <n v="74814"/>
    <x v="3"/>
    <x v="0"/>
    <s v="Buena"/>
    <s v="Inicio"/>
    <s v="Cedritos"/>
    <m/>
    <m/>
    <m/>
  </r>
  <r>
    <d v="2025-12-03T00:00:00"/>
    <x v="1"/>
    <x v="5"/>
    <s v="ÁNGEL DAVID"/>
    <s v="GONZALEZ RODRIGUEZ"/>
    <n v="573150591080"/>
    <n v="74727"/>
    <x v="2"/>
    <x v="1"/>
    <s v="Atienden un poquito de mala gana pero bien"/>
    <m/>
    <s v="."/>
    <m/>
    <m/>
    <m/>
  </r>
  <r>
    <d v="2025-12-03T00:00:00"/>
    <x v="1"/>
    <x v="5"/>
    <s v="KAROL TATIANA"/>
    <s v="VIRGÜEZ ORTIZ"/>
    <n v="573134572495"/>
    <n v="74613"/>
    <x v="3"/>
    <x v="0"/>
    <m/>
    <s v="Inicio"/>
    <s v="Chicó"/>
    <m/>
    <m/>
    <m/>
  </r>
  <r>
    <d v="2025-12-03T00:00:00"/>
    <x v="1"/>
    <x v="5"/>
    <s v="JORGE LUIS"/>
    <s v="HERRERA BURGOS"/>
    <n v="573204688348"/>
    <n v="74638"/>
    <x v="3"/>
    <x v="0"/>
    <s v="Todo muy bueno buen servicio y lo indispensable como lo quería"/>
    <s v="Inicio"/>
    <s v="Chico"/>
    <m/>
    <m/>
    <m/>
  </r>
  <r>
    <d v="2025-12-03T00:00:00"/>
    <x v="1"/>
    <x v="5"/>
    <s v="MARIA ANGELA"/>
    <s v="ARRIETA FUENTES"/>
    <n v="573185565018"/>
    <n v="74863"/>
    <x v="3"/>
    <x v="0"/>
    <s v="Muy rápido, muy profesionales"/>
    <s v="Inicio"/>
    <n v="95"/>
    <m/>
    <m/>
    <m/>
  </r>
  <r>
    <d v="2025-12-03T00:00:00"/>
    <x v="1"/>
    <x v="5"/>
    <s v="MARÍA FERNANDA"/>
    <s v="CAMARGO"/>
    <n v="573023684987"/>
    <n v="74557"/>
    <x v="3"/>
    <x v="0"/>
    <s v="Mejoraría un poco la forma en la que se ofrecen los demás servicios adicionales, creo que es importante para el cliente saber el aproximado de valor final"/>
    <s v="Inicio"/>
    <s v="Minca Chico"/>
    <m/>
    <m/>
    <m/>
  </r>
  <r>
    <d v="2025-12-03T00:00:00"/>
    <x v="1"/>
    <x v="5"/>
    <s v="CARLOS FELIPE"/>
    <s v="FONTALVO MAYUSA"/>
    <n v="573146058268"/>
    <n v="74603"/>
    <x v="3"/>
    <x v="0"/>
    <s v="Buen servico , atención rápida y buena seguimiento"/>
    <s v="Inicio"/>
    <s v="Chico"/>
    <m/>
    <m/>
    <m/>
  </r>
  <r>
    <d v="2025-12-03T00:00:00"/>
    <x v="1"/>
    <x v="5"/>
    <s v="DARLY"/>
    <s v="SILVA DIAZ"/>
    <n v="573118127008"/>
    <n v="74597"/>
    <x v="3"/>
    <x v="0"/>
    <s v="Excelente atención"/>
    <s v="Inicio"/>
    <s v="Minca Electric Showroom Avenida Chile"/>
    <m/>
    <m/>
    <m/>
  </r>
  <r>
    <d v="2025-12-03T00:00:00"/>
    <x v="1"/>
    <x v="5"/>
    <s v="DC COMERCIALSAS"/>
    <s v="DC COMERCIALSAS"/>
    <n v="573014015679"/>
    <n v="73355"/>
    <x v="3"/>
    <x v="0"/>
    <m/>
    <s v="Inicio"/>
    <s v="."/>
    <m/>
    <m/>
    <m/>
  </r>
  <r>
    <d v="2025-12-03T00:00:00"/>
    <x v="1"/>
    <x v="5"/>
    <s v="SANTIAGO ANDRES"/>
    <s v="GONZALEZ SARMIENTO"/>
    <n v="573154633368"/>
    <n v="74661"/>
    <x v="3"/>
    <x v="0"/>
    <s v="La patineta aun continua con fallas en los frenos, el viernes la vuelvo a llevar para validar si es cuestion de uso de la guaya o si deben realizar otros arreglos._x000a_pero tienen un buen servicio"/>
    <s v="Inicio"/>
    <s v="Chico"/>
    <m/>
    <m/>
    <m/>
  </r>
  <r>
    <d v="2025-12-02T00:00:00"/>
    <x v="1"/>
    <x v="5"/>
    <s v="LUIS"/>
    <s v="TIQUE CHILATRA"/>
    <n v="573028479391"/>
    <n v="74542"/>
    <x v="3"/>
    <x v="0"/>
    <s v="Pues que no sé si es cuestión por el mantenimiento o que sé le olvidó limpiar venía con grasa en el chasis dé resto todo bien"/>
    <s v="Inicio"/>
    <s v="Cedrito"/>
    <m/>
    <m/>
    <m/>
  </r>
  <r>
    <d v="2025-12-02T00:00:00"/>
    <x v="1"/>
    <x v="5"/>
    <s v="JULIANA"/>
    <s v="OJEDA  GONZALEZ"/>
    <n v="573043779673"/>
    <n v="74692"/>
    <x v="3"/>
    <x v="0"/>
    <s v="Con respecto a la marca me siento respaldada_x000a__x000a_ lo único fue que me tocó tomar garantía porque los frenos de mi moped en la parte delantera empezaron a sonar igual que como cuando la llevé a revisión_x000a__x000a_Y la cadena de los pedales se soltó"/>
    <s v="Inicio"/>
    <s v="En calle 72 y en calle 140 (garantía)"/>
    <m/>
    <m/>
    <m/>
  </r>
  <r>
    <d v="2025-12-02T00:00:00"/>
    <x v="1"/>
    <x v="5"/>
    <s v="VANNESA"/>
    <s v="MANRIQUE"/>
    <n v="573125220039"/>
    <n v="73019"/>
    <x v="3"/>
    <x v="0"/>
    <m/>
    <s v="Inicio"/>
    <s v="JAVERIANA"/>
    <m/>
    <m/>
    <m/>
  </r>
  <r>
    <d v="2025-12-02T00:00:00"/>
    <x v="1"/>
    <x v="5"/>
    <s v="VANNESA"/>
    <s v="MANRIQUE"/>
    <n v="573125220039"/>
    <n v="73019"/>
    <x v="3"/>
    <x v="0"/>
    <s v="Minca es una marca que realmente destaca por su calidad y diseño. Sus productos combinan estética moderna con funcionalidad, y eso hace que cada pieza sea práctica y visualmente atractiva. Además, la durabilidad y el buen rendimiento que ofrecen generan mucha confianza. Personalmente, me encanta porque se nota el cuidado en los detalles y la búsqueda constante de innovación."/>
    <s v="Inicio"/>
    <s v="JAVERIANA"/>
    <m/>
    <m/>
    <m/>
  </r>
  <r>
    <d v="2025-12-02T00:00:00"/>
    <x v="1"/>
    <x v="5"/>
    <s v="YHOE SEBASTIAN"/>
    <s v="CONTRERAS BURGOS"/>
    <n v="573155273244"/>
    <n v="74127"/>
    <x v="3"/>
    <x v="0"/>
    <s v="Unos crack, excelente trabajo me agradó"/>
    <s v="Inicio"/>
    <s v="JAVERIANA"/>
    <m/>
    <m/>
    <m/>
  </r>
  <r>
    <d v="2025-12-02T00:00:00"/>
    <x v="1"/>
    <x v="5"/>
    <s v="JUAN CAMILO"/>
    <s v="HERNANDEZ PACHECO"/>
    <n v="573168859112"/>
    <n v="74697"/>
    <x v="2"/>
    <x v="0"/>
    <s v="Aveces tienen mala calidad de los productos"/>
    <m/>
    <s v="Chico"/>
    <m/>
    <m/>
    <m/>
  </r>
  <r>
    <d v="2025-12-02T00:00:00"/>
    <x v="1"/>
    <x v="5"/>
    <s v="RUBEN DARIO"/>
    <s v="SUAREZ ROJAS"/>
    <n v="573133826993"/>
    <n v="74614"/>
    <x v="3"/>
    <x v="0"/>
    <s v="Excelente, use la patineta de vuelta a la casa y todo funcionó de manera correcta, gracias."/>
    <s v="Inicio"/>
    <s v="JAVERIANA"/>
    <m/>
    <m/>
    <m/>
  </r>
  <r>
    <d v="2025-12-02T00:00:00"/>
    <x v="1"/>
    <x v="5"/>
    <s v="JOSE ALEXANDER"/>
    <s v="TORRES ALVARADO"/>
    <n v="573123429020"/>
    <n v="72714"/>
    <x v="4"/>
    <x v="1"/>
    <s v="El proceso de pos muy malo, quieren cambiar todas las partes por nuevas y no hacen arreglos sencillos en los mantenimientos, lleve un cargador por que me salio malo y la.respuesta es que debia comprar uno nuevo, al recibirlo hasta roto me lo entregaron"/>
    <m/>
    <s v="Cedritos"/>
    <m/>
    <m/>
    <m/>
  </r>
  <r>
    <d v="2025-12-02T00:00:00"/>
    <x v="1"/>
    <x v="5"/>
    <s v="JOSMAN AUGUSTO"/>
    <s v="VÁSQUEZ LEON"/>
    <n v="573246835620"/>
    <n v="74570"/>
    <x v="3"/>
    <x v="0"/>
    <s v="Todo bien"/>
    <s v="Inicio"/>
    <s v="Chico"/>
    <m/>
    <m/>
    <m/>
  </r>
  <r>
    <d v="2025-12-02T00:00:00"/>
    <x v="1"/>
    <x v="5"/>
    <s v="DIEGO MAURICIO"/>
    <s v="RODRIGUEZ NIETO"/>
    <n v="573113261258"/>
    <n v="74758"/>
    <x v="3"/>
    <x v="0"/>
    <s v="Excelente servicio, siempre vengo a ese taller _x000a_Primero por cercanía y lo mejor una excelente atención"/>
    <s v="Inicio"/>
    <s v="En el de la 72"/>
    <m/>
    <m/>
    <m/>
  </r>
  <r>
    <d v="2025-12-02T00:00:00"/>
    <x v="1"/>
    <x v="5"/>
    <s v="ALFONSO JUNIOR"/>
    <s v="PEREZ AMARIS"/>
    <n v="573209941994"/>
    <n v="74508"/>
    <x v="3"/>
    <x v="0"/>
    <m/>
    <s v="Inicio"/>
    <s v="En el de la javeriana"/>
    <m/>
    <m/>
    <m/>
  </r>
  <r>
    <d v="2025-12-02T00:00:00"/>
    <x v="1"/>
    <x v="5"/>
    <s v="JUAN MANUEL"/>
    <s v="TORRES AYALA"/>
    <n v="573132663692"/>
    <n v="74586"/>
    <x v="3"/>
    <x v="0"/>
    <s v="Buen servicio, el local es muy bueno. Lo único es que es difícil el acceso y el parqueo. A veces es difícil la logística para llevar la patineta y recogerla."/>
    <s v="Inicio"/>
    <s v="Las vegas"/>
    <m/>
    <m/>
    <m/>
  </r>
  <r>
    <d v="2025-12-01T00:00:00"/>
    <x v="1"/>
    <x v="5"/>
    <s v="ALEJANDRO"/>
    <s v="GARCIA RUIZ"/>
    <n v="573118299491"/>
    <n v="74358"/>
    <x v="4"/>
    <x v="0"/>
    <s v="Pésima patineta, desde el día 1 en garantía. Y no arreglan, voy a interponer una PQR"/>
    <m/>
    <s v="Taller avenida chile"/>
    <m/>
    <m/>
    <m/>
  </r>
  <r>
    <d v="2025-12-01T00:00:00"/>
    <x v="1"/>
    <x v="5"/>
    <s v="MANUELA"/>
    <s v="BERNAL CUNDI"/>
    <n v="573112548595"/>
    <n v="73703"/>
    <x v="4"/>
    <x v="2"/>
    <s v="Muy mala actitud y comunicacion, se comprometieron con muchas cosas que no cumplieron perjudicamndome. Todos los dias me decian que en la tarde me enviaban el informe y asi me tuvieron varios dias, hasta que no fui al lugar personalmente no me dieron razon. Luego dicen que no cargarla en unos meses por viaje es mal uso. Dijeron que ellos me ayudaban a recoger la moped y tampoco"/>
    <m/>
    <s v="Chico"/>
    <m/>
    <m/>
    <m/>
  </r>
  <r>
    <d v="2025-12-01T00:00:00"/>
    <x v="1"/>
    <x v="5"/>
    <s v="SANTIAGO"/>
    <s v="SILVA CUBILLOS"/>
    <n v="573202267067"/>
    <n v="73826"/>
    <x v="3"/>
    <x v="0"/>
    <s v="Me ah gustado mucho la patineta desde que la tengo solo pediría que mejorarán el servicio respecto a repuestos por que es un modelo nuevo pero no tienen repuestos"/>
    <s v="Inicio"/>
    <s v="Chico"/>
    <m/>
    <m/>
    <m/>
  </r>
  <r>
    <d v="2025-12-01T00:00:00"/>
    <x v="1"/>
    <x v="5"/>
    <s v="EDWIM"/>
    <s v="ORTIZ MARTINEZ"/>
    <n v="573015123953"/>
    <n v="74518"/>
    <x v="2"/>
    <x v="0"/>
    <s v="Quedo con el mismo ruido por la que la lleve."/>
    <m/>
    <s v="Chico"/>
    <m/>
    <m/>
    <m/>
  </r>
  <r>
    <d v="2025-12-01T00:00:00"/>
    <x v="1"/>
    <x v="5"/>
    <s v="HELBERT DAVID"/>
    <s v="VELASCO VARON"/>
    <n v="573142633123"/>
    <n v="74018"/>
    <x v="3"/>
    <x v="0"/>
    <s v="Buena calidad del producto"/>
    <s v="Inicio"/>
    <s v="Avenida Chile"/>
    <m/>
    <m/>
    <m/>
  </r>
  <r>
    <d v="2025-12-01T00:00:00"/>
    <x v="1"/>
    <x v="5"/>
    <s v="IDELSON JOSE"/>
    <s v="SOJO DIAZ"/>
    <n v="573168682748"/>
    <n v="73356"/>
    <x v="3"/>
    <x v="0"/>
    <s v="Me parece una marca que se preocupa por la calidad de servicio al cliente y eso se valora un montón"/>
    <s v="Inicio"/>
    <s v="Taller chicó"/>
    <m/>
    <m/>
    <m/>
  </r>
  <r>
    <d v="2025-12-01T00:00:00"/>
    <x v="1"/>
    <x v="5"/>
    <s v="EDWIN ALEJANDRO"/>
    <s v="RÍOS COLLAZOS"/>
    <n v="573208121701"/>
    <n v="73894"/>
    <x v="4"/>
    <x v="2"/>
    <s v="Muy mala experiencia.  Deje lanpatineta 10 días.  Y salio peor"/>
    <m/>
    <s v="Av chile"/>
    <m/>
    <m/>
    <m/>
  </r>
  <r>
    <d v="2025-12-01T00:00:00"/>
    <x v="1"/>
    <x v="5"/>
    <s v="CAMILO MAURICIO"/>
    <s v="ESPARZA VELASCO"/>
    <n v="573015224263"/>
    <n v="74416"/>
    <x v="3"/>
    <x v="0"/>
    <s v="Excelente servicio"/>
    <s v="Inicio"/>
    <s v="Cerditos"/>
    <m/>
    <m/>
    <m/>
  </r>
  <r>
    <d v="2025-12-01T00:00:00"/>
    <x v="1"/>
    <x v="5"/>
    <s v="JUAN CARLOS"/>
    <s v="CARDONA GARCIA"/>
    <n v="573046249638"/>
    <n v="74687"/>
    <x v="3"/>
    <x v="0"/>
    <s v="Hola buenos días estoy muy contento feliz refeliz con la marca les deseo a todo el equipo de mica una feliz navid y próspero año nuevo.🥳🥳🥳♥️👌🏻✌🏻🤠🇨🇴"/>
    <s v="Inicio"/>
    <s v="Las Vegas Medellín"/>
    <m/>
    <m/>
    <m/>
  </r>
  <r>
    <d v="2025-12-01T00:00:00"/>
    <x v="1"/>
    <x v="5"/>
    <s v="JAVIER HERNANDO"/>
    <s v="BELTRAN"/>
    <n v="573118496130"/>
    <n v="70279"/>
    <x v="3"/>
    <x v="0"/>
    <s v="En los aspectos de Recepción y trabajo no tengo queja, en servicio al cliente pésimo, tardaron 2 meses para entregar la patineta, nunca me contactaron cad vez que escribía la respuesta es que en uno o dos días estaría lista"/>
    <s v="Inicio"/>
    <s v="JAVERIANA"/>
    <m/>
    <m/>
    <m/>
  </r>
  <r>
    <d v="2025-12-01T00:00:00"/>
    <x v="1"/>
    <x v="5"/>
    <s v="RAMIRO ANDRÉS"/>
    <s v="SÁNCHEZ CHÁVEZ"/>
    <n v="573204331695"/>
    <n v="74567"/>
    <x v="3"/>
    <x v="0"/>
    <s v="El mantenimiento fue mas rápido de lo que esperaba, la patineta está ajustada y funcional hasta el momento"/>
    <s v="Inicio"/>
    <s v="JAVERIANA"/>
    <m/>
    <m/>
    <m/>
  </r>
  <r>
    <d v="2025-12-01T00:00:00"/>
    <x v="1"/>
    <x v="5"/>
    <s v="GREGORIO"/>
    <s v="ENRIQUE"/>
    <n v="573219992928"/>
    <n v="74662"/>
    <x v="3"/>
    <x v="0"/>
    <m/>
    <s v="Inicio"/>
    <s v="."/>
    <m/>
    <m/>
    <m/>
  </r>
  <r>
    <d v="2025-12-01T00:00:00"/>
    <x v="1"/>
    <x v="5"/>
    <s v="JOHANA"/>
    <s v="SABOGAL GAITAN"/>
    <n v="573134097666"/>
    <n v="74437"/>
    <x v="3"/>
    <x v="0"/>
    <s v="El servicio técnico ofrece en primera instancia mucha diligencia y seriedad. Profesionalismo y precisión._x000a__x000a_Son diligentes con el diagnóstico y rápidos en o respuesta._x000a__x000a_En realidad el servicio técnico es muy serio y rápido _x000a__x000a_Muy agradecida"/>
    <s v="Inicio"/>
    <s v="Avenida Chile"/>
    <m/>
    <m/>
    <m/>
  </r>
  <r>
    <d v="2025-11-29T00:00:00"/>
    <x v="2"/>
    <x v="6"/>
    <s v="LEONARDO"/>
    <s v="RAMIREZ VARGAS"/>
    <n v="573504163975"/>
    <n v="73140"/>
    <x v="3"/>
    <x v="0"/>
    <m/>
    <s v="Inicio"/>
    <n v="134"/>
    <m/>
    <m/>
    <m/>
  </r>
  <r>
    <d v="2025-11-29T00:00:00"/>
    <x v="2"/>
    <x v="6"/>
    <s v="ALBERTO NICOLAS"/>
    <s v="PARRA ACERO"/>
    <n v="573004274481"/>
    <n v="73911"/>
    <x v="2"/>
    <x v="0"/>
    <s v="Al momento de ingresar la patineta por temas electrónicos (no prende) les indique que necesitaba urgente el trabajo, lastimosamente no fue así se tardó más de 8 días y los canales para aprobar la realización de los ajustes ni funcionaba, me tocó comunicarme con otra tienda para recibir ayuda, me voy preocupado al no saber realmente que daño tuvo la patineta ya que he tenido los cuidados necesarios y realizado los mantenimientos respectivos, no llevo mucho con ella y ya van dos ingresos por fallas en la batería, se apaga de un momento a otro y no reacciona cargando, me siento muy decepcionado y desilusionado de haber comprado la nueva patineta, tuve una 500w y nunca me pasó esto, deja mucho que hablar de una marca que consideraba de calidad, pondré en prueba de aquí en adelante sino realmente uda fallaron como marca, fabricantes y comercializadores"/>
    <s v="Inicio"/>
    <s v="Sede 72"/>
    <m/>
    <m/>
    <m/>
  </r>
  <r>
    <d v="2025-11-29T00:00:00"/>
    <x v="2"/>
    <x v="6"/>
    <s v="DANIEL"/>
    <s v="CEREJO"/>
    <n v="573006043326"/>
    <n v="74598"/>
    <x v="2"/>
    <x v="1"/>
    <s v="Deberian unificar el servicio y decisiones en todos sus talleres. He tenido información y actitudes bastante diferentes por parte de los vendedores y tecnicos. _x000a__x000a_Espero que me reconozcan por garantia la manija del freno delantero que en un total de 1.100km apenas esta presentando fuga y no debo asumir el costo del repuesto."/>
    <m/>
    <s v="Cedritos"/>
    <m/>
    <m/>
    <m/>
  </r>
  <r>
    <d v="2025-11-29T00:00:00"/>
    <x v="2"/>
    <x v="6"/>
    <s v="JULIAN FELIPE"/>
    <s v="SARMIENTO GARCIA"/>
    <n v="573102183537"/>
    <n v="74600"/>
    <x v="3"/>
    <x v="1"/>
    <s v="Deberían tener un stock de todos los repuestos, en este caso me tocó optar por una llanta maciza porque no tenían sellomatic"/>
    <m/>
    <s v="Cedritos"/>
    <m/>
    <m/>
    <m/>
  </r>
  <r>
    <d v="2025-11-29T00:00:00"/>
    <x v="2"/>
    <x v="6"/>
    <s v="JUAN PABLO"/>
    <s v="FRANCO RODRIGUEZ"/>
    <n v="573008863675"/>
    <n v="72861"/>
    <x v="3"/>
    <x v="0"/>
    <m/>
    <s v="Inicio"/>
    <s v="Las vegas"/>
    <m/>
    <m/>
    <m/>
  </r>
  <r>
    <d v="2025-11-29T00:00:00"/>
    <x v="2"/>
    <x v="6"/>
    <s v="NARENN DARYANIF"/>
    <s v="MUÑOZ CORREDOR"/>
    <n v="573023962294"/>
    <n v="74282"/>
    <x v="3"/>
    <x v="0"/>
    <s v="La atención al cliente en el taller mejor DEMACIADO eso es muy bueno y adicionalmente uno se siente más como en casa"/>
    <s v="Inicio"/>
    <s v="Empezamos en el taller de la 72"/>
    <m/>
    <m/>
    <m/>
  </r>
  <r>
    <d v="2025-11-29T00:00:00"/>
    <x v="2"/>
    <x v="6"/>
    <s v="JACKSON SAIR"/>
    <s v="FINO LOPEZ"/>
    <n v="573222387832"/>
    <n v="74582"/>
    <x v="2"/>
    <x v="1"/>
    <s v="El detalle del guardabarro, me parece que se daña muy seguido , para mi minca 2.400 ATS"/>
    <m/>
    <s v="Chico"/>
    <s v="...."/>
    <s v="2025-12-01T11:21:10-05:00"/>
    <m/>
  </r>
  <r>
    <d v="2025-11-29T00:00:00"/>
    <x v="2"/>
    <x v="6"/>
    <s v="SANTIAGO EDUARDO"/>
    <s v="SEGURA MEJIA"/>
    <n v="573102396277"/>
    <n v="74406"/>
    <x v="3"/>
    <x v="0"/>
    <s v="Buena"/>
    <s v="Inicio"/>
    <s v="Cedritos"/>
    <m/>
    <m/>
    <m/>
  </r>
  <r>
    <d v="2025-11-29T00:00:00"/>
    <x v="2"/>
    <x v="6"/>
    <s v="ELIZABETH"/>
    <s v="CERMEÑO DIAZ"/>
    <n v="573158433295"/>
    <n v="74161"/>
    <x v="3"/>
    <x v="0"/>
    <s v="Excelente atención y compromiso 👍🏻"/>
    <s v="Inicio"/>
    <s v="Sede Cedritos"/>
    <m/>
    <m/>
    <m/>
  </r>
  <r>
    <d v="2025-11-29T00:00:00"/>
    <x v="2"/>
    <x v="6"/>
    <s v="ANDREA CAROLINA"/>
    <s v="APONTE GONZALEZ"/>
    <n v="573246864434"/>
    <n v="74342"/>
    <x v="3"/>
    <x v="0"/>
    <s v="Excelente"/>
    <s v="Inicio"/>
    <s v="Av chile"/>
    <m/>
    <m/>
    <m/>
  </r>
  <r>
    <d v="2025-11-28T00:00:00"/>
    <x v="2"/>
    <x v="6"/>
    <s v="ELIECER DAVID"/>
    <s v="GOMEZ VILLAMIL"/>
    <n v="573164964457"/>
    <n v="74512"/>
    <x v="3"/>
    <x v="0"/>
    <s v="Amabilidad y buen servicio"/>
    <s v="Inicio"/>
    <s v="Las vegas"/>
    <m/>
    <m/>
    <m/>
  </r>
  <r>
    <d v="2025-11-28T00:00:00"/>
    <x v="2"/>
    <x v="6"/>
    <s v="SEBASTIAN"/>
    <s v="CABALLERO MATEUS"/>
    <n v="573118185276"/>
    <n v="74119"/>
    <x v="3"/>
    <x v="0"/>
    <s v="Todo muy bien"/>
    <s v="Inicio"/>
    <s v="Chico"/>
    <m/>
    <m/>
    <m/>
  </r>
  <r>
    <d v="2025-11-28T00:00:00"/>
    <x v="2"/>
    <x v="6"/>
    <s v="OBANDO ALFONSO"/>
    <s v="CHAYANNE HANID"/>
    <n v="573107087512"/>
    <n v="73855"/>
    <x v="3"/>
    <x v="0"/>
    <s v="Yo opinó que se demoraron mucho con la patineta adicional deberían de haber más talleres hacia el sur"/>
    <s v="Inicio"/>
    <s v="Chico"/>
    <m/>
    <m/>
    <m/>
  </r>
  <r>
    <d v="2025-11-28T00:00:00"/>
    <x v="2"/>
    <x v="6"/>
    <m/>
    <m/>
    <n v="573213931468"/>
    <m/>
    <x v="3"/>
    <x v="0"/>
    <s v="Muy bueno"/>
    <s v="Inicio"/>
    <s v="Cedritos"/>
    <m/>
    <m/>
    <m/>
  </r>
  <r>
    <d v="2025-11-28T00:00:00"/>
    <x v="2"/>
    <x v="6"/>
    <m/>
    <m/>
    <n v="573114418400"/>
    <m/>
    <x v="3"/>
    <x v="0"/>
    <s v="Todo super"/>
    <s v="Inicio"/>
    <s v="Chico"/>
    <m/>
    <m/>
    <m/>
  </r>
  <r>
    <d v="2025-11-28T00:00:00"/>
    <x v="2"/>
    <x v="6"/>
    <s v="HAROLD EDUARDO"/>
    <s v="CASTRO GONZALEZ"/>
    <n v="573115372146"/>
    <n v="74473"/>
    <x v="3"/>
    <x v="0"/>
    <s v="Siempre han Sido muy diligentes y atentos, llevo 2 años y medio con la marca y siempre han Sido diligentes y dispuestos a ayudar"/>
    <s v="Inicio"/>
    <s v="Chico"/>
    <m/>
    <m/>
    <m/>
  </r>
  <r>
    <d v="2025-11-28T00:00:00"/>
    <x v="2"/>
    <x v="6"/>
    <s v="JUAN DIEGO"/>
    <s v="VARGAS AGUIRRE"/>
    <n v="573133100392"/>
    <n v="74441"/>
    <x v="3"/>
    <x v="0"/>
    <s v="Para ser la primera vez que la llevo al taller, me pareció muy bueno el servicio. Quizás tener en stock repuestos para no tener que esperar tanto tiempo para cambiar un accesorio"/>
    <s v="Inicio"/>
    <s v="Chicó"/>
    <m/>
    <m/>
    <m/>
  </r>
  <r>
    <d v="2025-11-28T00:00:00"/>
    <x v="2"/>
    <x v="6"/>
    <s v="DENIS VINCE"/>
    <s v="LARA MONTEALEGRE"/>
    <n v="573124102967"/>
    <n v="74421"/>
    <x v="2"/>
    <x v="0"/>
    <s v="El servicio tarda demasiado lleve mi scooter a las 9 por un despinche y no tuve respuesta o información si no hasta las 4 de la tarde por un despinche"/>
    <m/>
    <s v="Cll 72"/>
    <m/>
    <m/>
    <m/>
  </r>
  <r>
    <d v="2025-11-27T00:00:00"/>
    <x v="2"/>
    <x v="6"/>
    <s v="WILLIAN DAVID"/>
    <s v="CORRO DE LA HOZ"/>
    <n v="573043815710"/>
    <n v="73913"/>
    <x v="3"/>
    <x v="0"/>
    <s v="Buena atención"/>
    <s v="Inicio"/>
    <s v="."/>
    <m/>
    <m/>
    <m/>
  </r>
  <r>
    <d v="2025-11-27T00:00:00"/>
    <x v="2"/>
    <x v="6"/>
    <s v="WILLIAM ANDRES"/>
    <s v="ANGARITA TORRES"/>
    <n v="573212002120"/>
    <n v="74030"/>
    <x v="3"/>
    <x v="0"/>
    <s v="Debería demorarse menos tiempo en los arreglos"/>
    <s v="Inicio"/>
    <s v="Javeriana"/>
    <m/>
    <m/>
    <m/>
  </r>
  <r>
    <d v="2025-11-27T00:00:00"/>
    <x v="2"/>
    <x v="6"/>
    <s v="JUAN CARLOS"/>
    <s v="SAYAGO CAMACHO"/>
    <n v="573222303600"/>
    <n v="73999"/>
    <x v="3"/>
    <x v="0"/>
    <s v="Excelente"/>
    <s v="Inicio"/>
    <s v="."/>
    <m/>
    <m/>
    <m/>
  </r>
  <r>
    <d v="2025-11-27T00:00:00"/>
    <x v="2"/>
    <x v="6"/>
    <s v="JEFFERSON"/>
    <s v="SANDOVAL RUIZ"/>
    <n v="573102107296"/>
    <n v="74243"/>
    <x v="2"/>
    <x v="0"/>
    <m/>
    <m/>
    <s v="Chile"/>
    <m/>
    <m/>
    <m/>
  </r>
  <r>
    <d v="2025-11-27T00:00:00"/>
    <x v="2"/>
    <x v="6"/>
    <s v="CRISTIAN ARBEY"/>
    <s v="HERRERA PARRA"/>
    <n v="573203965297"/>
    <n v="74460"/>
    <x v="3"/>
    <x v="0"/>
    <s v="Excelente"/>
    <s v="Inicio"/>
    <s v="Avenida chile"/>
    <m/>
    <m/>
    <m/>
  </r>
  <r>
    <d v="2025-11-27T00:00:00"/>
    <x v="2"/>
    <x v="6"/>
    <s v="DANIEL"/>
    <s v="PRADA MORENO"/>
    <n v="573183898276"/>
    <n v="74404"/>
    <x v="3"/>
    <x v="0"/>
    <s v="Me encanta la marca y el buen servicio un prestan, cuando la llevo para cambio de neumáticos me la entregan limpia y con algunos ajustes . Eso es maravilloso 👏"/>
    <s v="Inicio"/>
    <s v="Chico"/>
    <m/>
    <m/>
    <m/>
  </r>
  <r>
    <d v="2025-11-27T00:00:00"/>
    <x v="2"/>
    <x v="6"/>
    <s v="SANTIAGO ROBLES"/>
    <s v="AYALA"/>
    <n v="573133807881"/>
    <n v="74117"/>
    <x v="4"/>
    <x v="0"/>
    <m/>
    <m/>
    <s v="Taller Chicó"/>
    <m/>
    <m/>
    <m/>
  </r>
  <r>
    <d v="2025-11-27T00:00:00"/>
    <x v="2"/>
    <x v="6"/>
    <m/>
    <m/>
    <n v="573213931468"/>
    <m/>
    <x v="3"/>
    <x v="0"/>
    <s v="Prueba"/>
    <s v="Inicio"/>
    <s v="Cedritos"/>
    <m/>
    <m/>
    <m/>
  </r>
  <r>
    <d v="2025-11-27T00:00:00"/>
    <x v="2"/>
    <x v="6"/>
    <m/>
    <m/>
    <n v="573213931468"/>
    <m/>
    <x v="3"/>
    <x v="2"/>
    <s v="Prueba"/>
    <s v="Clic"/>
    <s v="Cedritos"/>
    <m/>
    <m/>
    <m/>
  </r>
  <r>
    <d v="2025-11-27T00:00:00"/>
    <x v="2"/>
    <x v="6"/>
    <s v="ANDRES"/>
    <s v="SARMIENTO"/>
    <n v="573103772411"/>
    <n v="73943"/>
    <x v="4"/>
    <x v="3"/>
    <m/>
    <m/>
    <s v="Regular"/>
    <m/>
    <m/>
    <m/>
  </r>
  <r>
    <d v="2025-11-27T00:00:00"/>
    <x v="2"/>
    <x v="6"/>
    <s v="JULIAN"/>
    <s v="VISCANO"/>
    <n v="573115135655"/>
    <n v="74392"/>
    <x v="3"/>
    <x v="0"/>
    <s v="Excelente atención por parte de PAOLA, atenta a los detalles técnicos por los cuales va uno, un servicio al cliente EXCELENTE, realmente queda uno satisfecho como cliente."/>
    <s v="Inicio"/>
    <s v="Javeriana"/>
    <m/>
    <m/>
    <m/>
  </r>
  <r>
    <d v="2025-11-27T00:00:00"/>
    <x v="2"/>
    <x v="6"/>
    <m/>
    <m/>
    <n v="573213931468"/>
    <m/>
    <x v="3"/>
    <x v="0"/>
    <s v="Muy bueno todo"/>
    <s v="Inicio"/>
    <s v="Chico"/>
    <m/>
    <m/>
    <m/>
  </r>
  <r>
    <d v="2025-11-27T00:00:00"/>
    <x v="2"/>
    <x v="6"/>
    <s v="VALENTINA"/>
    <s v="AYALA QUINCHE"/>
    <n v="573194527981"/>
    <n v="74263"/>
    <x v="3"/>
    <x v="0"/>
    <s v="Excelente"/>
    <s v="Inicio"/>
    <s v="Cedritos"/>
    <m/>
    <m/>
    <m/>
  </r>
  <r>
    <d v="2025-11-26T00:00:00"/>
    <x v="2"/>
    <x v="6"/>
    <s v="SERGIO EDUARDO"/>
    <s v="GUALDRON PORTELA"/>
    <n v="573213229692"/>
    <n v="74361"/>
    <x v="3"/>
    <x v="0"/>
    <s v="A veces los tiempo de espera son extensos, sin embargo un muy buen trabajo, César del taller de Cedritos, es una calidad de persona y siempre está muy dispuesto con todo."/>
    <m/>
    <m/>
    <m/>
    <m/>
    <m/>
  </r>
  <r>
    <d v="2025-11-26T00:00:00"/>
    <x v="2"/>
    <x v="6"/>
    <s v="LAURA MILENA"/>
    <s v="SUAREZ CALLE"/>
    <n v="573112895775"/>
    <n v="73977"/>
    <x v="3"/>
    <x v="0"/>
    <s v="Me gustó mucho la atención y las explicaciones que me brindo el señor de mantenimiento muchas gracias"/>
    <m/>
    <m/>
    <m/>
    <m/>
    <m/>
  </r>
  <r>
    <d v="2025-11-26T00:00:00"/>
    <x v="2"/>
    <x v="6"/>
    <s v="OSCAR SEBASTIAN"/>
    <s v="PUENTES AREVALO"/>
    <n v="573016135249"/>
    <n v="74320"/>
    <x v="4"/>
    <x v="2"/>
    <s v="Me hicieron esperar mucho tiempo por un repuesto. Me indicaron que la patineta ya estaba y cuando llegué no estaba bien reparada."/>
    <s v="CEDRITOS GUARDABARROS STOP M"/>
    <m/>
    <m/>
    <m/>
    <m/>
  </r>
  <r>
    <d v="2025-11-26T00:00:00"/>
    <x v="2"/>
    <x v="6"/>
    <s v="AMADO"/>
    <s v="GOMEZ FUENTES"/>
    <n v="573205576871"/>
    <n v="70564"/>
    <x v="3"/>
    <x v="0"/>
    <s v="Excelente"/>
    <m/>
    <m/>
    <m/>
    <m/>
    <m/>
  </r>
  <r>
    <d v="2025-11-26T00:00:00"/>
    <x v="2"/>
    <x v="6"/>
    <s v="JULIAN ANDRES"/>
    <s v="CASTRO ROJAS"/>
    <n v="573058129599"/>
    <n v="74287"/>
    <x v="3"/>
    <x v="0"/>
    <m/>
    <m/>
    <m/>
    <m/>
    <m/>
    <m/>
  </r>
  <r>
    <d v="2025-11-26T00:00:00"/>
    <x v="2"/>
    <x v="6"/>
    <s v="ALEJANDRO"/>
    <s v="VARGAS"/>
    <n v="573104829710"/>
    <n v="73816"/>
    <x v="3"/>
    <x v="0"/>
    <s v="Mejorar el servicio del chat, me dijieron una cosa y en el taller hicieron otra."/>
    <m/>
    <m/>
    <m/>
    <m/>
    <m/>
  </r>
  <r>
    <d v="2025-11-26T00:00:00"/>
    <x v="2"/>
    <x v="6"/>
    <s v="KENICKIE"/>
    <s v="VALDEZ"/>
    <n v="573008993083"/>
    <n v="73967"/>
    <x v="3"/>
    <x v="0"/>
    <s v="Excelente servicio"/>
    <m/>
    <m/>
    <m/>
    <m/>
    <m/>
  </r>
  <r>
    <d v="2025-11-26T00:00:00"/>
    <x v="2"/>
    <x v="6"/>
    <s v="NICOLAS"/>
    <s v="VALDERRAMA CARDENAS"/>
    <n v="573024740205"/>
    <n v="74062"/>
    <x v="3"/>
    <x v="0"/>
    <s v="Todo funciona muy bien, me siento a gusto con el servicio, pero sería bueno acercar los talleres a otras zonas"/>
    <m/>
    <m/>
    <m/>
    <m/>
    <m/>
  </r>
  <r>
    <d v="2025-11-26T00:00:00"/>
    <x v="2"/>
    <x v="6"/>
    <s v="JULIAN ANDRES"/>
    <s v="GARCIA ZAPATA"/>
    <n v="573002808562"/>
    <n v="73683"/>
    <x v="3"/>
    <x v="0"/>
    <s v="Gracias por el servicio"/>
    <m/>
    <m/>
    <m/>
    <m/>
    <m/>
  </r>
  <r>
    <d v="2025-11-26T00:00:00"/>
    <x v="2"/>
    <x v="6"/>
    <s v="JANETH ESPERANZA"/>
    <s v="BARBOSA GARCIA"/>
    <n v="573103093673"/>
    <n v="74166"/>
    <x v="3"/>
    <x v="0"/>
    <s v="Siempre atentos con la solicitud y frente al tiempo de entrega no he tenido inconveniente alguno, simplemente un servicio a la altura"/>
    <m/>
    <m/>
    <m/>
    <m/>
    <m/>
  </r>
  <r>
    <d v="2025-11-26T00:00:00"/>
    <x v="2"/>
    <x v="6"/>
    <s v="WILMER ZAHID"/>
    <s v="MATEUS ROJAS"/>
    <n v="573186961187"/>
    <n v="72801"/>
    <x v="3"/>
    <x v="0"/>
    <s v="En general es una marca confiable y con excelente servicio y soporte"/>
    <m/>
    <m/>
    <m/>
    <m/>
    <m/>
  </r>
  <r>
    <d v="2025-11-26T00:00:00"/>
    <x v="2"/>
    <x v="6"/>
    <s v="DAYRON EDUARDO"/>
    <s v="RAMÍREZ GARZON"/>
    <n v="573132108384"/>
    <n v="73886"/>
    <x v="3"/>
    <x v="0"/>
    <s v="Fue un muy buen servicio, rápido y claro en el proceso"/>
    <m/>
    <m/>
    <m/>
    <m/>
    <m/>
  </r>
  <r>
    <d v="2025-11-26T00:00:00"/>
    <x v="2"/>
    <x v="6"/>
    <s v="DANIEL ESTEBAN"/>
    <s v="VEGA BOLIVAR"/>
    <n v="573208872284"/>
    <n v="74171"/>
    <x v="3"/>
    <x v="0"/>
    <s v="Dar al final en la entrega de la patineta junto con ella un diagnóstico impreso donde diga que tenía la patineta y que le hicieron para tener un checkin en la patineta sobre que hay que cambiar o que hay que tener en cuenta para el próximo mantenimiento o revisión."/>
    <m/>
    <m/>
    <m/>
    <m/>
    <m/>
  </r>
  <r>
    <d v="2025-11-25T00:00:00"/>
    <x v="2"/>
    <x v="6"/>
    <s v="ANDRES"/>
    <s v="PASTRANA TORRES"/>
    <n v="573002124308"/>
    <n v="74265"/>
    <x v="3"/>
    <x v="0"/>
    <s v="TODO BN👍"/>
    <m/>
    <m/>
    <m/>
    <m/>
    <m/>
  </r>
  <r>
    <d v="2025-11-25T00:00:00"/>
    <x v="2"/>
    <x v="6"/>
    <s v="LEIDY"/>
    <s v="GUAYACAN FUQUENE"/>
    <n v="573003382721"/>
    <n v="73942"/>
    <x v="3"/>
    <x v="0"/>
    <s v="Como sugerencia me gustaría que el tiempo mantenimiento no sea de 3 días ya que es mi medio de transporte"/>
    <m/>
    <m/>
    <m/>
    <m/>
    <m/>
  </r>
  <r>
    <d v="2025-11-25T00:00:00"/>
    <x v="2"/>
    <x v="6"/>
    <s v="JOSELO"/>
    <s v="PRADA MOREO"/>
    <n v="573125553244"/>
    <n v="73510"/>
    <x v="3"/>
    <x v="0"/>
    <s v="El mantenimiento fue rápido, óptimo y de calidad"/>
    <m/>
    <m/>
    <m/>
    <m/>
    <m/>
  </r>
  <r>
    <d v="2025-11-25T00:00:00"/>
    <x v="2"/>
    <x v="6"/>
    <s v="MANUEL"/>
    <s v="GONZALEZ"/>
    <n v="573133072404"/>
    <n v="73512"/>
    <x v="3"/>
    <x v="0"/>
    <s v="La atencion siempre buena. Pero un poco disconforme con la patineta que parece ser muy delicada. La bateria con problemas. Y no la cambian. Sino que la arreglan. Lo que espero a futuro no sea que deba pagar por una nueva que no tiene ni un año y ya con problemas serios. _x000a_Que aconsejan que no se moje ( en bogota!). Tiene amortiguadores. Pero no se puede mover mucho y hay que evitar desniveles porque puede afectar a la bateria. Hay patinetas mas economicas que son &quot;todo terreno&quot; y sin mantenimiento ni nada me han durado una eternidad. Esta le hago todos los mantenimientos. Le compre todos los productos. Y asi y todo es una princesita para usarla."/>
    <s v="CHICO ARREGLO DE BATRERIA"/>
    <m/>
    <m/>
    <m/>
    <m/>
  </r>
  <r>
    <d v="2025-11-25T00:00:00"/>
    <x v="2"/>
    <x v="6"/>
    <s v="CRISTIAN"/>
    <s v="MARTINEZ MARIN"/>
    <n v="573059286332"/>
    <n v="73836"/>
    <x v="3"/>
    <x v="0"/>
    <s v="Muy buena la experiencia"/>
    <m/>
    <m/>
    <m/>
    <m/>
    <m/>
  </r>
  <r>
    <d v="2025-11-25T00:00:00"/>
    <x v="2"/>
    <x v="6"/>
    <s v="JULIO CESAR"/>
    <s v="AMAYA MENDEZ"/>
    <n v="573124473427"/>
    <n v="74217"/>
    <x v="3"/>
    <x v="0"/>
    <s v="Amables y ágiles"/>
    <m/>
    <m/>
    <m/>
    <m/>
    <m/>
  </r>
  <r>
    <d v="2025-11-25T00:00:00"/>
    <x v="2"/>
    <x v="6"/>
    <s v="ANDRES CAMILO"/>
    <s v="LOPEZ GOMEZ"/>
    <n v="573212851475"/>
    <n v="74138"/>
    <x v="3"/>
    <x v="0"/>
    <s v="Una buena marca ahorrando extrictamente para comprarme la 2400 versión 2026"/>
    <m/>
    <m/>
    <m/>
    <m/>
    <m/>
  </r>
  <r>
    <d v="2025-11-25T00:00:00"/>
    <x v="2"/>
    <x v="6"/>
    <s v="SEBASTIAN"/>
    <s v="LOMBANA"/>
    <n v="573013379284"/>
    <n v="73918"/>
    <x v="3"/>
    <x v="0"/>
    <m/>
    <m/>
    <m/>
    <m/>
    <m/>
    <m/>
  </r>
  <r>
    <d v="2025-11-25T00:00:00"/>
    <x v="2"/>
    <x v="6"/>
    <s v="SANDRA MILENA"/>
    <s v="HENAO CASTRILLON"/>
    <n v="573115542389"/>
    <n v="73526"/>
    <x v="3"/>
    <x v="1"/>
    <s v="La marca es buena, solo que hemos tenido un problema para cambiar la factura a nombre de mi hijo, el es que la usa. no ha sido fácil el trámite, de resto el equipo ha salido bueno"/>
    <m/>
    <m/>
    <m/>
    <m/>
    <m/>
  </r>
  <r>
    <d v="2025-11-25T00:00:00"/>
    <x v="2"/>
    <x v="6"/>
    <s v="DAVID LEONARDO"/>
    <s v="MOLINA FELIPE"/>
    <n v="573214205004"/>
    <n v="73178"/>
    <x v="4"/>
    <x v="0"/>
    <s v="He tenido mucha decepción. Ha estado más en el taller que en uso. La calidad de las llantas es mala, la calidad de guarda barros es mala, el pito tuvo daños también. La experiencia ha sido pésima porque es desgastante para el usuario llevar tantas veces al taller una patineta técnicamente nueva._x000a__x000a_Además el diseño de los comandos no es el mejor, el botón de pito y direccionales es difícil accionarlo. Las direccionales no son muy visibles cuando hay mucha luz por lo que es riesgoso para el usuario pues otros vehículos no alcanzan a ver la direccional."/>
    <s v="AV CHILE GUARDABARROS RROTO"/>
    <m/>
    <m/>
    <m/>
    <m/>
  </r>
  <r>
    <d v="2025-11-25T00:00:00"/>
    <x v="2"/>
    <x v="6"/>
    <s v="OSCAR RICARDO"/>
    <s v="MATEUS"/>
    <n v="573208291176"/>
    <n v="73700"/>
    <x v="3"/>
    <x v="0"/>
    <m/>
    <m/>
    <m/>
    <m/>
    <m/>
    <m/>
  </r>
  <r>
    <d v="2025-11-25T00:00:00"/>
    <x v="2"/>
    <x v="6"/>
    <s v="CAMILO ANDRES"/>
    <s v="MELO MORENO"/>
    <n v="573014003207"/>
    <n v="73340"/>
    <x v="3"/>
    <x v="0"/>
    <s v="El servicio de minca siempre es muy bueno"/>
    <m/>
    <m/>
    <m/>
    <m/>
    <m/>
  </r>
  <r>
    <d v="2025-11-25T00:00:00"/>
    <x v="2"/>
    <x v="6"/>
    <s v="NILSON"/>
    <s v="URIBE"/>
    <n v="573002358795"/>
    <n v="74210"/>
    <x v="3"/>
    <x v="0"/>
    <s v="Mucha amabilidad y cordialidad"/>
    <m/>
    <m/>
    <m/>
    <m/>
    <m/>
  </r>
  <r>
    <d v="2025-11-25T00:00:00"/>
    <x v="2"/>
    <x v="6"/>
    <s v="ANDRES FELIPE"/>
    <s v="VELANDIA BONILLA"/>
    <n v="573193959185"/>
    <n v="73879"/>
    <x v="3"/>
    <x v="0"/>
    <s v="Excelente servicio al cliente por parte de Paola, y entrega del scooter en tiempo acordado"/>
    <m/>
    <m/>
    <m/>
    <m/>
    <m/>
  </r>
  <r>
    <d v="2025-11-25T00:00:00"/>
    <x v="2"/>
    <x v="6"/>
    <s v="DAMARIS MCNAMARA"/>
    <s v="GUTEMBERG"/>
    <n v="573008033835"/>
    <n v="72822"/>
    <x v="2"/>
    <x v="0"/>
    <s v="Experiencia de compra buena, experiencia en taller mala, no dan garantía de los arreglos, y es muy caro los arreglos"/>
    <s v="AV CHILE ARREGLO DE BATERIA MODELO 2022"/>
    <m/>
    <m/>
    <m/>
    <m/>
  </r>
  <r>
    <d v="2025-11-25T00:00:00"/>
    <x v="2"/>
    <x v="6"/>
    <s v="ASTRID"/>
    <s v="ANAYA CORPAS"/>
    <n v="573187947502"/>
    <n v="73955"/>
    <x v="3"/>
    <x v="0"/>
    <s v="La comunicación es clara y oportuna, falta tal vez Aclarar lo que se encontró deficiente"/>
    <m/>
    <m/>
    <m/>
    <m/>
    <m/>
  </r>
  <r>
    <d v="2025-11-25T00:00:00"/>
    <x v="2"/>
    <x v="6"/>
    <s v="CRISTIAN DAVID"/>
    <s v="ROMANI BARRIOS"/>
    <n v="573023639976"/>
    <n v="74237"/>
    <x v="3"/>
    <x v="0"/>
    <s v="Gracias por su atención"/>
    <m/>
    <m/>
    <m/>
    <m/>
    <m/>
  </r>
  <r>
    <d v="2025-11-25T00:00:00"/>
    <x v="2"/>
    <x v="6"/>
    <s v="SANDRA CAROLINA"/>
    <s v="DAVID"/>
    <n v="573112888672"/>
    <n v="73933"/>
    <x v="3"/>
    <x v="0"/>
    <s v="Muy buen servicio"/>
    <m/>
    <m/>
    <m/>
    <m/>
    <m/>
  </r>
  <r>
    <d v="2025-11-25T00:00:00"/>
    <x v="2"/>
    <x v="6"/>
    <s v="MATEO"/>
    <s v="CORTEZ MAYORGA"/>
    <n v="573214281143"/>
    <n v="73873"/>
    <x v="3"/>
    <x v="0"/>
    <s v="Excelente marca"/>
    <m/>
    <m/>
    <m/>
    <m/>
    <m/>
  </r>
  <r>
    <d v="2025-11-25T00:00:00"/>
    <x v="2"/>
    <x v="6"/>
    <s v="ELI JOHANA"/>
    <s v="CORDOBA"/>
    <n v="573208968291"/>
    <n v="73419"/>
    <x v="3"/>
    <x v="0"/>
    <s v="Sería bueno que pasaran sede en el sur y Soacha"/>
    <m/>
    <m/>
    <m/>
    <m/>
    <m/>
  </r>
  <r>
    <d v="2025-11-25T00:00:00"/>
    <x v="2"/>
    <x v="6"/>
    <s v="CRISTIAN DARIO"/>
    <s v="ARCE RUIZ"/>
    <n v="573204540742"/>
    <n v="73617"/>
    <x v="3"/>
    <x v="0"/>
    <s v="Me tardé mucho en comunicarme con un asesor a través de whats app cuando quería conocer el estado del proceso, casi que no me contestan"/>
    <m/>
    <m/>
    <m/>
    <m/>
    <m/>
  </r>
  <r>
    <d v="2025-11-25T00:00:00"/>
    <x v="2"/>
    <x v="6"/>
    <s v="NICOLAS FELIPE"/>
    <s v="NAVA AVILA"/>
    <n v="573118411848"/>
    <n v="73643"/>
    <x v="4"/>
    <x v="0"/>
    <s v="Tuve una muy mala experiencia frente a la primera revisión eléctrica que le hicieron, puesto que me entregaron la patineta y la falla persistió. Eso significó que el arreglo que le hicieron a la patineta (cambio de socket) no correspondía al fallo inicial y, por tanto, no dio la autonomía para la que está preparada y me tocó llegar caminando a mi casa. Además que tuve que volverla a llevar al servicio técnico y, aunque se me indicó que me darían prelación, no fue así y me dijeron mentiras frente a las fechas que me la entregarían. También estuve intentando contactarlo por Instagram pero la atención allí fue peor."/>
    <s v="JAVERIANA FALLAD E CONTROLADOR"/>
    <m/>
    <m/>
    <m/>
    <m/>
  </r>
  <r>
    <d v="2025-11-25T00:00:00"/>
    <x v="2"/>
    <x v="6"/>
    <s v="JUAN PABLO"/>
    <s v="HERRERA MORALEZ"/>
    <n v="573168241052"/>
    <n v="74202"/>
    <x v="3"/>
    <x v="0"/>
    <s v="Estoy fascinado con mi Mimca800w.  El personal de taller de calle 72 es fantástico"/>
    <m/>
    <m/>
    <m/>
    <m/>
    <m/>
  </r>
  <r>
    <d v="2025-11-25T00:00:00"/>
    <x v="2"/>
    <x v="6"/>
    <s v="JUAN SEBASTIAN"/>
    <s v="CHACON FORERO"/>
    <n v="573173910793"/>
    <n v="74012"/>
    <x v="2"/>
    <x v="0"/>
    <s v="Pues la verdad no ha sido muy buena ya que al principio la información donde se compró no fue clara, esto se lo hicimos saber a la personas que nos atendió en el taller, la llevamos para un mantenimiento en el cual no se le hizo nada solo un ajuste de frenos que era lo que tenía principalmente, la verdad siento que en el Momento que la reciben deberían decirle a uno solo es esto y entregarla de una vez ya que solo nos purgaron los frenos y cobran el mantenimiento completo."/>
    <s v="JAVERIAMA"/>
    <m/>
    <m/>
    <m/>
    <m/>
  </r>
  <r>
    <d v="2025-11-25T00:00:00"/>
    <x v="2"/>
    <x v="6"/>
    <s v="HOLMAN FERNEY"/>
    <s v="RINCON VARGAS"/>
    <n v="573147464012"/>
    <n v="73891"/>
    <x v="2"/>
    <x v="1"/>
    <s v="No me fue solucionada la falla y se demora el servicio"/>
    <s v="CEDRITOS CAMBIO DE RODAMIENTOS, INGRESO EL 20 Y SE FINALIZO EL 21"/>
    <m/>
    <m/>
    <m/>
    <m/>
  </r>
  <r>
    <d v="2025-11-25T00:00:00"/>
    <x v="2"/>
    <x v="6"/>
    <s v="NESTOR"/>
    <s v="RICO"/>
    <n v="573143687401"/>
    <n v="73536"/>
    <x v="2"/>
    <x v="2"/>
    <m/>
    <m/>
    <m/>
    <m/>
    <m/>
    <m/>
  </r>
  <r>
    <d v="2025-11-25T00:00:00"/>
    <x v="2"/>
    <x v="6"/>
    <s v="JOSUE DAVID"/>
    <s v="NOVOA CASTILLO"/>
    <n v="573132055758"/>
    <n v="73802"/>
    <x v="3"/>
    <x v="0"/>
    <s v="La patineta tiene un error de diseño, al no tener guarda barro en la llanta delantera todo el barro salpica al conductor y a la misma patineta, quedando muy sucia ya que salpica por todo lado, pensé que ofrecerían una solución en el taller, pero me dijeron que debo buscar por otro lado ya que no tienen solución para eso. Me gustaría que como marca ofrecieran unos guardabarros diseñados especialmente para la patineta, para no tener que dejar mi patineta en manos de un tercero."/>
    <s v="AV CHILE"/>
    <m/>
    <m/>
    <m/>
    <m/>
  </r>
  <r>
    <d v="2025-11-24T00:00:00"/>
    <x v="2"/>
    <x v="6"/>
    <s v="JUAN SEBASTIAN"/>
    <s v="PALACIOS GOMEZ"/>
    <n v="573114789373"/>
    <n v="73964"/>
    <x v="3"/>
    <x v="0"/>
    <s v="Muy buen servicio post venta _x000a_Calidad en el mantenimiento _x000a_Precios justos y accesibles"/>
    <m/>
    <m/>
    <m/>
    <m/>
    <m/>
  </r>
  <r>
    <d v="2025-11-24T00:00:00"/>
    <x v="2"/>
    <x v="6"/>
    <s v="JOHANNA"/>
    <s v="PARRA LEON"/>
    <n v="573204825863"/>
    <n v="74143"/>
    <x v="3"/>
    <x v="0"/>
    <s v="Muchas gracias ☺️"/>
    <m/>
    <m/>
    <m/>
    <m/>
    <m/>
  </r>
  <r>
    <d v="2025-11-24T00:00:00"/>
    <x v="2"/>
    <x v="6"/>
    <s v="JOSE HERNANDO"/>
    <s v="GARCIA"/>
    <n v="573022905350"/>
    <n v="73749"/>
    <x v="3"/>
    <x v="0"/>
    <s v="Me encantó el trato , el profesionalismo y el carisma de todo el personal de la cede chico … sería bueno que todos los talleres fueran así … tuvimos una súper mala experiencia con el taller de Cedritos así que si todos los talleres fueran tan eficaces como el de chico , abrían clientes más felices"/>
    <m/>
    <m/>
    <m/>
    <m/>
    <m/>
  </r>
  <r>
    <d v="2025-11-24T00:00:00"/>
    <x v="2"/>
    <x v="6"/>
    <s v="LUISA FERNANDA"/>
    <s v="GUILLEN"/>
    <n v="573208338089"/>
    <n v="73811"/>
    <x v="3"/>
    <x v="0"/>
    <s v="Excelente producto y excelente servicio"/>
    <m/>
    <m/>
    <m/>
    <m/>
    <m/>
  </r>
  <r>
    <d v="2025-11-24T00:00:00"/>
    <x v="2"/>
    <x v="6"/>
    <s v="ANDRES MAURICIO"/>
    <s v="CARVAJAL REINOSO"/>
    <n v="573112617625"/>
    <n v="73514"/>
    <x v="3"/>
    <x v="0"/>
    <s v="Buena atención, buen servicio, rápida solución en los mantenimientos"/>
    <m/>
    <m/>
    <m/>
    <m/>
    <m/>
  </r>
  <r>
    <d v="2025-11-24T00:00:00"/>
    <x v="2"/>
    <x v="6"/>
    <s v="CAMILO"/>
    <s v="LAVERDE"/>
    <n v="573003198451"/>
    <n v="73851"/>
    <x v="3"/>
    <x v="0"/>
    <s v="Muy buena atención"/>
    <m/>
    <m/>
    <m/>
    <m/>
    <m/>
  </r>
  <r>
    <d v="2025-11-24T00:00:00"/>
    <x v="2"/>
    <x v="6"/>
    <s v="ANDRES FELIPE"/>
    <s v="CORTES ARIAS"/>
    <n v="573046387282"/>
    <n v="73937"/>
    <x v="3"/>
    <x v="0"/>
    <s v="Excelente servicio"/>
    <m/>
    <m/>
    <m/>
    <m/>
    <m/>
  </r>
  <r>
    <d v="2025-11-24T00:00:00"/>
    <x v="2"/>
    <x v="6"/>
    <s v="FERNANDO"/>
    <s v="RESTREPO POLO"/>
    <n v="573123642388"/>
    <n v="73393"/>
    <x v="3"/>
    <x v="0"/>
    <s v="La marca Minca, me parece genial llevo año y medio con mi patineta y me ha parecido espectacular."/>
    <m/>
    <m/>
    <m/>
    <m/>
    <m/>
  </r>
  <r>
    <d v="2025-11-24T00:00:00"/>
    <x v="2"/>
    <x v="6"/>
    <s v="DANIEL ANDRES"/>
    <s v="PEDREROS GUERRA"/>
    <n v="573107633195"/>
    <n v="74130"/>
    <x v="3"/>
    <x v="0"/>
    <m/>
    <m/>
    <m/>
    <m/>
    <m/>
    <m/>
  </r>
  <r>
    <d v="2025-11-24T00:00:00"/>
    <x v="2"/>
    <x v="6"/>
    <s v="DANIEL ANDRES"/>
    <s v="PEDREROS GUERRA"/>
    <n v="573107633195"/>
    <n v="74130"/>
    <x v="3"/>
    <x v="0"/>
    <s v="Excelente servicio, muy atentos con las necesidades"/>
    <m/>
    <m/>
    <m/>
    <m/>
    <m/>
  </r>
  <r>
    <d v="2025-11-24T00:00:00"/>
    <x v="2"/>
    <x v="6"/>
    <s v="ANDRES"/>
    <s v="GAMEZ"/>
    <n v="573138589185"/>
    <n v="73858"/>
    <x v="3"/>
    <x v="0"/>
    <m/>
    <m/>
    <m/>
    <m/>
    <m/>
    <m/>
  </r>
  <r>
    <d v="2025-11-24T00:00:00"/>
    <x v="2"/>
    <x v="6"/>
    <s v="JONATHAN CAMILO"/>
    <s v="CUBIDES"/>
    <n v="573163234584"/>
    <n v="73616"/>
    <x v="2"/>
    <x v="0"/>
    <s v="Les falta hacer las cosas con mejor calidad y no solo hacer por hacer"/>
    <s v="AV CHILE, CAMBIO DE LLANTA"/>
    <m/>
    <m/>
    <m/>
    <m/>
  </r>
  <r>
    <d v="2025-11-24T00:00:00"/>
    <x v="2"/>
    <x v="6"/>
    <s v="DAVID"/>
    <s v="CASTRO  ARGUELLO"/>
    <n v="573222312587"/>
    <n v="73814"/>
    <x v="3"/>
    <x v="0"/>
    <s v="Los canales como whatsapp y demás son lentos y no dan la información completa."/>
    <m/>
    <m/>
    <m/>
    <m/>
    <m/>
  </r>
  <r>
    <d v="2025-11-24T00:00:00"/>
    <x v="2"/>
    <x v="6"/>
    <s v="JAIME EDUARDO"/>
    <s v="HERNANDEZ MEDINA"/>
    <n v="573213550182"/>
    <n v="74114"/>
    <x v="2"/>
    <x v="1"/>
    <s v="La verdad muy decepcionado con la nueva ATS 2400W, el pliegue es super incomodo y se parte con facilidad, sumado a eso, los botones del controlador se caen con facilidad, y el no tener guardabarros al frente es fatal"/>
    <s v="JAVERIANA CAMBIO DE CINTA DE SEGURIDAD"/>
    <m/>
    <m/>
    <m/>
    <m/>
  </r>
  <r>
    <d v="2025-11-24T00:00:00"/>
    <x v="2"/>
    <x v="6"/>
    <s v="DIEGO"/>
    <s v="NIÑO"/>
    <n v="573108088069"/>
    <n v="73712"/>
    <x v="3"/>
    <x v="0"/>
    <s v="Muy eficiente el servicio"/>
    <m/>
    <m/>
    <m/>
    <m/>
    <m/>
  </r>
  <r>
    <d v="2025-11-24T00:00:00"/>
    <x v="2"/>
    <x v="6"/>
    <s v="ALEJANDRO"/>
    <s v="MARCELO"/>
    <n v="573202323926"/>
    <n v="73579"/>
    <x v="3"/>
    <x v="0"/>
    <s v="El servicio es muy bueno y todas las recomendaciones que hacen es para que el vehículo siempre esté 10/10 y eso se agradece"/>
    <m/>
    <m/>
    <m/>
    <m/>
    <m/>
  </r>
  <r>
    <d v="2025-11-22T00:00:00"/>
    <x v="2"/>
    <x v="7"/>
    <s v="DIEGO FERNANDO SIERRA SUAREZ"/>
    <s v="NA"/>
    <n v="573002092565"/>
    <n v="73748"/>
    <x v="3"/>
    <x v="0"/>
    <s v="Buena atención, excelente disposición del personal del taller y precios cómodos"/>
    <m/>
    <m/>
    <m/>
    <m/>
    <m/>
  </r>
  <r>
    <d v="2025-11-22T00:00:00"/>
    <x v="2"/>
    <x v="7"/>
    <s v="JOHAN FABIAN"/>
    <s v="MOLINA RAMIREZ"/>
    <n v="573165187152"/>
    <n v="73241"/>
    <x v="3"/>
    <x v="1"/>
    <s v="Pésimo servicio postventa, nadie responde el WhatsApp y difícilmente la línea de servicio al cliente, se demoraron 11 días realizando el mantenimiento"/>
    <s v="JAVERIANA, INTERVENIDA EL 12 AUTORIZO EL 18"/>
    <m/>
    <m/>
    <m/>
    <m/>
  </r>
  <r>
    <d v="2025-11-22T00:00:00"/>
    <x v="2"/>
    <x v="7"/>
    <s v="CARLOS DAVID"/>
    <s v="BRAVO ROLDAN"/>
    <n v="573107770723"/>
    <n v="74184"/>
    <x v="3"/>
    <x v="0"/>
    <s v="Buen servicios"/>
    <m/>
    <m/>
    <m/>
    <m/>
    <m/>
  </r>
  <r>
    <d v="2025-11-22T00:00:00"/>
    <x v="2"/>
    <x v="7"/>
    <s v="HUGO"/>
    <s v="PRIETO"/>
    <n v="573112236262"/>
    <n v="73734"/>
    <x v="3"/>
    <x v="0"/>
    <s v="Fue muy rapido y diligente. Tenia un problema con mi Scooter y fue solucionado muy rapido"/>
    <m/>
    <m/>
    <m/>
    <m/>
    <m/>
  </r>
  <r>
    <d v="2025-11-22T00:00:00"/>
    <x v="2"/>
    <x v="7"/>
    <s v="ANGIE JULIETH"/>
    <s v="RODRIGUEZ RONCANCIO"/>
    <n v="573045488208"/>
    <n v="73191"/>
    <x v="3"/>
    <x v="0"/>
    <m/>
    <m/>
    <m/>
    <m/>
    <m/>
    <m/>
  </r>
  <r>
    <d v="2025-11-22T00:00:00"/>
    <x v="2"/>
    <x v="7"/>
    <s v="ANGIE JULIETH"/>
    <s v="RODRIGUEZ RONCANCIO"/>
    <n v="573045488208"/>
    <n v="73191"/>
    <x v="3"/>
    <x v="0"/>
    <s v="Muy buena atención y servicio técnico eficiente"/>
    <m/>
    <m/>
    <m/>
    <m/>
    <m/>
  </r>
  <r>
    <d v="2025-11-22T00:00:00"/>
    <x v="2"/>
    <x v="7"/>
    <s v="FRANCISCO JAVIER"/>
    <s v="HERRERA MORALES"/>
    <n v="573164658445"/>
    <n v="72763"/>
    <x v="3"/>
    <x v="0"/>
    <s v="MINCA lo mejor en Scooter, atención y servicio 100% garantizado"/>
    <m/>
    <m/>
    <m/>
    <m/>
    <m/>
  </r>
  <r>
    <d v="2025-11-21T00:00:00"/>
    <x v="2"/>
    <x v="7"/>
    <s v="OSCAR EDUARDO"/>
    <s v="RAMOS RODRIGUEZ"/>
    <n v="573007096924"/>
    <n v="73550"/>
    <x v="3"/>
    <x v="0"/>
    <m/>
    <m/>
    <m/>
    <m/>
    <m/>
    <m/>
  </r>
  <r>
    <d v="2025-11-21T00:00:00"/>
    <x v="2"/>
    <x v="7"/>
    <s v="TATIANA"/>
    <s v="BERMUDEZ CESPEDES"/>
    <n v="573057057772"/>
    <n v="73704"/>
    <x v="3"/>
    <x v="0"/>
    <s v="Considero que fueron rápidos y amables en el servicio prestado"/>
    <m/>
    <m/>
    <m/>
    <m/>
    <m/>
  </r>
  <r>
    <d v="2025-11-21T00:00:00"/>
    <x v="2"/>
    <x v="7"/>
    <s v="ALVARO"/>
    <s v="BERNAL LOZADA"/>
    <n v="573194103861"/>
    <n v="73644"/>
    <x v="3"/>
    <x v="0"/>
    <s v="El servicio de venta y pos-venta es de los mejores. Son atentos y puntuales y en mi primer servicio de mantenimiento preventivo lo realizaron en tiempo récord. Los recomiendo totalmente"/>
    <m/>
    <m/>
    <m/>
    <m/>
    <m/>
  </r>
  <r>
    <d v="2025-11-21T00:00:00"/>
    <x v="2"/>
    <x v="7"/>
    <s v="MELVA ERYKA"/>
    <s v="VEGA PINTO"/>
    <n v="573217263513"/>
    <n v="73915"/>
    <x v="3"/>
    <x v="0"/>
    <s v="Justa"/>
    <m/>
    <m/>
    <m/>
    <m/>
    <m/>
  </r>
  <r>
    <d v="2025-11-21T00:00:00"/>
    <x v="2"/>
    <x v="7"/>
    <s v="MARIA FERNANDA"/>
    <s v="PEREZ VELANDIA"/>
    <n v="573232350705"/>
    <n v="73592"/>
    <x v="3"/>
    <x v="0"/>
    <m/>
    <m/>
    <m/>
    <m/>
    <m/>
    <m/>
  </r>
  <r>
    <d v="2025-11-21T00:00:00"/>
    <x v="2"/>
    <x v="7"/>
    <s v="JORGE EDUARDO"/>
    <s v="CEPEDA PRADA"/>
    <n v="573502300103"/>
    <n v="73960"/>
    <x v="2"/>
    <x v="0"/>
    <s v="Me ha tocado llevar en varias ocasiones mi patineta por regular calidad y atención además he gastado mucha plata en mantenimientos y repuestos. También en transportes adicionales por que me ha dejado varado en 6 ocasiones y el gasto en los días que no he tenido la patinena la verdad en ocasiones me gusta tenerla pero si me ha salido muy cara con las situaciones presentadas anteriormente"/>
    <s v="CEDRITOS"/>
    <m/>
    <m/>
    <m/>
    <m/>
  </r>
  <r>
    <d v="2025-11-21T00:00:00"/>
    <x v="2"/>
    <x v="7"/>
    <s v="JUAN PABLO"/>
    <s v="VILLEGAS RINCON"/>
    <n v="573008048074"/>
    <n v="73476"/>
    <x v="3"/>
    <x v="0"/>
    <s v="Me encanta el taller chico, siempre tiene buenos turnos de reserva y son muy rápidos, la atención es increíble!"/>
    <m/>
    <m/>
    <m/>
    <m/>
    <m/>
  </r>
  <r>
    <d v="2025-11-21T00:00:00"/>
    <x v="2"/>
    <x v="7"/>
    <s v="MARIA LORENA"/>
    <s v="RODRIGUEZ RAMIREZ"/>
    <n v="573234000573"/>
    <n v="73047"/>
    <x v="3"/>
    <x v="0"/>
    <s v="Mejorar los tiempos de entrega, ya que están demorados en ello"/>
    <m/>
    <m/>
    <m/>
    <m/>
    <m/>
  </r>
  <r>
    <d v="2025-11-21T00:00:00"/>
    <x v="2"/>
    <x v="7"/>
    <s v="FELIPE"/>
    <s v="MORALES FONSECA"/>
    <n v="573143376516"/>
    <n v="73799"/>
    <x v="3"/>
    <x v="0"/>
    <s v="Buena atención y coherencia con el servicio prestado"/>
    <m/>
    <m/>
    <m/>
    <m/>
    <m/>
  </r>
  <r>
    <d v="2025-11-21T00:00:00"/>
    <x v="2"/>
    <x v="7"/>
    <s v="JORGE ALBERTO"/>
    <s v="RODRIGUEZ SANTANA"/>
    <n v="573153400123"/>
    <n v="73250"/>
    <x v="2"/>
    <x v="1"/>
    <s v="Lleve mi patineta por el tema del controlador, la batería estaba en perfectas condiciones, después de que la saqué del taller la batería falló y no me dieron una explicación convincente. Igual me tocó pagar el arreglo. Se debería mejorar en ese sentido inspeccionar cuando se deje una patineta que funciona y que no, porque se convierte en una palabra contra la otra. Muchas gracias"/>
    <s v="CHICO CAMBIO EL CONTROLADOR EL 14 DE OCTUBRE "/>
    <m/>
    <m/>
    <m/>
    <m/>
  </r>
  <r>
    <d v="2025-11-21T00:00:00"/>
    <x v="2"/>
    <x v="7"/>
    <s v="JAIRO ALBERTO"/>
    <s v="SANTOS ROMERO"/>
    <n v="573002391078"/>
    <n v="73896"/>
    <x v="3"/>
    <x v="0"/>
    <s v="La respuesta del taller siempre es rapida y oportuna, hacen recomendaciones sobre el uso y los arreglos necesarios, es un muy buen servicio"/>
    <m/>
    <m/>
    <m/>
    <m/>
    <m/>
  </r>
  <r>
    <d v="2025-11-21T00:00:00"/>
    <x v="2"/>
    <x v="7"/>
    <s v="DIEGO ANDRES"/>
    <s v="CARDENAS ARIAS"/>
    <n v="573114596080"/>
    <n v="73695"/>
    <x v="3"/>
    <x v="0"/>
    <s v="Buena la maraca pero me parece que deben traer mas componentes y partes para la patineta"/>
    <m/>
    <m/>
    <m/>
    <m/>
    <m/>
  </r>
  <r>
    <d v="2025-11-21T00:00:00"/>
    <x v="2"/>
    <x v="7"/>
    <s v="JOHAN ESTIVEN"/>
    <s v="SANABRIA LEAL"/>
    <n v="573022264153"/>
    <n v="73923"/>
    <x v="3"/>
    <x v="0"/>
    <s v="Los guarda barros traseros de las ATS se parten muy fácil"/>
    <m/>
    <m/>
    <m/>
    <m/>
    <m/>
  </r>
  <r>
    <d v="2025-11-21T00:00:00"/>
    <x v="2"/>
    <x v="7"/>
    <s v="JUAN ARGOTE"/>
    <s v="PEREZ"/>
    <n v="573123507007"/>
    <n v="73726"/>
    <x v="3"/>
    <x v="0"/>
    <s v="La única nota que quiero dejar es que por favor avisen a los clientes de que las moped no se cargan. Llegue confiado y no retrase min llegada al trabajo porque estaba casi sin batería. Es importante que lo aclaren. Gracias."/>
    <m/>
    <m/>
    <m/>
    <m/>
    <m/>
  </r>
  <r>
    <d v="2025-11-21T00:00:00"/>
    <x v="2"/>
    <x v="7"/>
    <s v="ANDRES FABIAN"/>
    <s v="CASTRO GARCIA"/>
    <n v="573107914325"/>
    <n v="73780"/>
    <x v="3"/>
    <x v="0"/>
    <s v="Hasta ahora me ha ido muy bien, la patineta no me ha puesto problema y la atención post venta ha sido muy buena"/>
    <m/>
    <m/>
    <m/>
    <m/>
    <m/>
  </r>
  <r>
    <d v="2025-11-21T00:00:00"/>
    <x v="2"/>
    <x v="7"/>
    <s v="PASCUAL RAUL"/>
    <s v="JIMENEZ VARGAS"/>
    <n v="573235831451"/>
    <n v="73567"/>
    <x v="3"/>
    <x v="0"/>
    <s v="La atención fue buena y agradezco la lavada. Solo revisaría porque uno pude cita para entregarla, pero no se sabe cuando la devuelven. Es raro. En mi opinión deberia pedir cita para un día y recibirla de vuelta ese mismo día y si no hay capacidad se acaban las citas y se pude pide otra. Es raro dejarla una semana"/>
    <s v="AV CHILE"/>
    <m/>
    <m/>
    <m/>
    <m/>
  </r>
  <r>
    <d v="2025-11-20T00:00:00"/>
    <x v="2"/>
    <x v="7"/>
    <s v="JULIAN DAVID"/>
    <s v="GONZALEZ VENEGAS"/>
    <n v="573005700566"/>
    <n v="73489"/>
    <x v="3"/>
    <x v="0"/>
    <s v="Todo sin sobre saltos. Lo único es que intenté llevar la patineta un par de veces entre semana y debido a mi horario de trabajo llegaba pasadas las 5pm, por lo que sería bueno poder ingresar la patineta a mantenimiento el día sábado"/>
    <m/>
    <m/>
    <m/>
    <m/>
    <m/>
  </r>
  <r>
    <d v="2025-11-20T00:00:00"/>
    <x v="2"/>
    <x v="7"/>
    <s v="AL EMPACAR"/>
    <s v="S.A.S"/>
    <n v="573103414375"/>
    <n v="73795"/>
    <x v="3"/>
    <x v="0"/>
    <s v="Gracias por la encuesta, recomiendo revisar bien antes de entregar la patineta en aras de no tener q volver por arreglos que supuestamente quedaron bien, me percaté de daños posteriores a la entrega y eso implica desplazamientos innecesarios"/>
    <m/>
    <m/>
    <m/>
    <m/>
    <m/>
  </r>
  <r>
    <d v="2025-11-20T00:00:00"/>
    <x v="2"/>
    <x v="7"/>
    <s v="CARLOS EDUARDO"/>
    <s v="PRIETO VALERIO"/>
    <n v="573158759555"/>
    <n v="73406"/>
    <x v="2"/>
    <x v="0"/>
    <s v="Los mantenimientos son caros y superficiales. Después del primero a la semana la patineta sonaba como una matraca... No la aceitaron. El mantenimiento de garantía del carro cuesta 120 pesos por km y el de uds 217..."/>
    <m/>
    <m/>
    <m/>
    <m/>
    <m/>
  </r>
  <r>
    <d v="2025-11-20T00:00:00"/>
    <x v="2"/>
    <x v="7"/>
    <s v="ROSA YOLIMA"/>
    <s v="ACOSTA FANDIÑO"/>
    <n v="573138851936"/>
    <n v="73681"/>
    <x v="3"/>
    <x v="0"/>
    <s v="Fueron muy amables, eficientes y me siento total mente complacida con el servicio, muchas gracias."/>
    <m/>
    <m/>
    <m/>
    <m/>
    <m/>
  </r>
  <r>
    <d v="2025-11-20T00:00:00"/>
    <x v="2"/>
    <x v="7"/>
    <s v="CARLOS"/>
    <s v="RIVERA"/>
    <n v="573003053827"/>
    <n v="73498"/>
    <x v="3"/>
    <x v="0"/>
    <s v="Bueno"/>
    <m/>
    <m/>
    <m/>
    <m/>
    <m/>
  </r>
  <r>
    <d v="2025-11-20T00:00:00"/>
    <x v="2"/>
    <x v="7"/>
    <s v="ANDREA GISSEL"/>
    <s v="GOMEZ MOGOLLON"/>
    <n v="573017347145"/>
    <n v="73547"/>
    <x v="3"/>
    <x v="0"/>
    <m/>
    <m/>
    <m/>
    <m/>
    <m/>
    <m/>
  </r>
  <r>
    <d v="2025-11-20T00:00:00"/>
    <x v="2"/>
    <x v="7"/>
    <s v="EDUIN ENRIQUE"/>
    <s v="RUIZ CORDERO"/>
    <n v="573011171956"/>
    <n v="73830"/>
    <x v="3"/>
    <x v="0"/>
    <s v="Exelente servicio bueno confiable y eficaz"/>
    <m/>
    <m/>
    <m/>
    <m/>
    <m/>
  </r>
  <r>
    <d v="2025-11-20T00:00:00"/>
    <x v="2"/>
    <x v="7"/>
    <s v="ESTEBAN"/>
    <s v="ARENAS"/>
    <n v="573184167057"/>
    <n v="73208"/>
    <x v="3"/>
    <x v="1"/>
    <s v="Recomendaría ampliar el horario del taller para la comodidad de quienes tenemos como única opción de llevar o recoger los vehículos después de la jornada laboral"/>
    <m/>
    <m/>
    <m/>
    <m/>
    <m/>
  </r>
  <r>
    <d v="2025-11-20T00:00:00"/>
    <x v="2"/>
    <x v="7"/>
    <s v="ALEXANDER"/>
    <s v="CASTAÑEDA MORALES"/>
    <n v="573134301888"/>
    <n v="73288"/>
    <x v="3"/>
    <x v="0"/>
    <s v="El servicio en general es bueno. Lo único que recomendaría sería que extendieran el horario hasta las 8:00pm ya que para muchos nos queda difícil llevarla a taller por los horarios de trabajo"/>
    <m/>
    <m/>
    <m/>
    <m/>
    <m/>
  </r>
  <r>
    <d v="2025-11-20T00:00:00"/>
    <x v="2"/>
    <x v="7"/>
    <s v="SERGIO ANDRES"/>
    <s v="GARZON FERNANDEZ"/>
    <n v="573027364930"/>
    <n v="73751"/>
    <x v="3"/>
    <x v="0"/>
    <m/>
    <m/>
    <m/>
    <m/>
    <m/>
    <m/>
  </r>
  <r>
    <d v="2025-11-20T00:00:00"/>
    <x v="2"/>
    <x v="7"/>
    <s v="SERGIO ANDRES"/>
    <s v="GARZON FERNANDEZ"/>
    <n v="573027364930"/>
    <n v="73751"/>
    <x v="3"/>
    <x v="0"/>
    <m/>
    <m/>
    <m/>
    <m/>
    <m/>
    <m/>
  </r>
  <r>
    <d v="2025-11-20T00:00:00"/>
    <x v="2"/>
    <x v="7"/>
    <s v="ANDRES"/>
    <s v="SANCHEZ"/>
    <n v="573212461962"/>
    <n v="73664"/>
    <x v="3"/>
    <x v="0"/>
    <s v="O atención y el servicio son muy buenos !"/>
    <m/>
    <m/>
    <m/>
    <m/>
    <m/>
  </r>
  <r>
    <d v="2025-11-20T00:00:00"/>
    <x v="2"/>
    <x v="7"/>
    <s v="LILIANA MARCELA"/>
    <s v="COY RODRIGUEZ"/>
    <n v="573133290565"/>
    <n v="73533"/>
    <x v="3"/>
    <x v="0"/>
    <s v="Excelente servicio"/>
    <m/>
    <m/>
    <m/>
    <m/>
    <m/>
  </r>
  <r>
    <d v="2025-11-20T00:00:00"/>
    <x v="2"/>
    <x v="7"/>
    <s v="MICHELLE"/>
    <s v="MATEUS YEPES"/>
    <n v="573017053530"/>
    <n v="73442"/>
    <x v="3"/>
    <x v="0"/>
    <s v="Todos son excelentes profesionales! Además son supremamente cálidos. Sin duda, la persona que atiende y los chicos del taller son grandes profesionales. ¡Súper recomendado el taller de Javeriana! ¡Mil millones de gracias por todo!✨"/>
    <m/>
    <m/>
    <m/>
    <m/>
    <m/>
  </r>
  <r>
    <d v="2025-11-19T00:00:00"/>
    <x v="2"/>
    <x v="7"/>
    <s v="MARIA PRISCILA"/>
    <s v="RIVEROS DE FUENTES"/>
    <n v="573195156120"/>
    <n v="73437"/>
    <x v="3"/>
    <x v="0"/>
    <s v="Si bien la funcionalidad de la patineta es óptima, los acabados en el mantenimiento pueden ser mas prolijos. _x000a_Gracias"/>
    <m/>
    <m/>
    <m/>
    <m/>
    <m/>
  </r>
  <r>
    <d v="2025-11-19T00:00:00"/>
    <x v="2"/>
    <x v="7"/>
    <s v="ANDRES"/>
    <s v="MARTINEZ"/>
    <n v="573004474047"/>
    <n v="73021"/>
    <x v="3"/>
    <x v="0"/>
    <s v="Soy cliente fiel de Minca hace más de 4 años y con varias patinetas. Extraño que el taller tenga que recurrir a terceros para revisiones de baterías, que dichas revisiones tengan un costo adicional significativo sin que impliquen necesariamente una solución y además que sea tan demorado. Siendo el corazón de una patineta eléctrica la revisiones y reparaciones deberían ser parte del mantenimiento propio como cualquier otro componente y en tiempos razonables. Por lo demás, siempre contento con Minca."/>
    <m/>
    <m/>
    <m/>
    <m/>
    <m/>
  </r>
  <r>
    <d v="2025-11-19T00:00:00"/>
    <x v="2"/>
    <x v="7"/>
    <s v="OSCAR"/>
    <s v="FRANCO"/>
    <n v="573102142537"/>
    <n v="73798"/>
    <x v="3"/>
    <x v="0"/>
    <s v="Buenos"/>
    <m/>
    <m/>
    <m/>
    <m/>
    <m/>
  </r>
  <r>
    <d v="2025-11-19T00:00:00"/>
    <x v="2"/>
    <x v="7"/>
    <s v="NIMAI"/>
    <s v="MOREIRA"/>
    <n v="573138999041"/>
    <n v="73455"/>
    <x v="3"/>
    <x v="1"/>
    <s v="Tener flexibilidad en la recepción de patineta sin cita previa"/>
    <m/>
    <m/>
    <m/>
    <m/>
    <m/>
  </r>
  <r>
    <d v="2025-11-19T00:00:00"/>
    <x v="2"/>
    <x v="7"/>
    <s v="EDWIN ELIECER"/>
    <s v="LOPEZ MORALEZ"/>
    <n v="573107481365"/>
    <n v="73537"/>
    <x v="2"/>
    <x v="0"/>
    <s v="Deberían aclarar el tema de las garantías y más con algo tan importante como es el cargador de la scooter ya que de este depende la vida útil de esta, la verdad he visto que en otras empresas ayudan más al cliente en este aspecto tan importante, además de que el precio del arreglo me parece excesivo el valor de la reparación, nada accecisible y no debería contarse como un accesorio extra de la patineta, cuando sin este la patineta no funciona."/>
    <m/>
    <m/>
    <m/>
    <m/>
    <m/>
  </r>
  <r>
    <d v="2025-11-19T00:00:00"/>
    <x v="2"/>
    <x v="7"/>
    <s v="JUAN CAMILO"/>
    <s v="BELTRAN NAVARRO"/>
    <n v="573178717090"/>
    <n v="73770"/>
    <x v="3"/>
    <x v="0"/>
    <s v="Muy bueno y me gustaría que fuera un poco más rápido, de resto muy bueno"/>
    <m/>
    <m/>
    <m/>
    <m/>
    <m/>
  </r>
  <r>
    <d v="2025-11-19T00:00:00"/>
    <x v="2"/>
    <x v="7"/>
    <s v="MARIA MARGARITA"/>
    <s v="CASAS ROZO"/>
    <n v="573108646077"/>
    <n v="73730"/>
    <x v="3"/>
    <x v="0"/>
    <s v="Muy buen servicio y atentos"/>
    <m/>
    <m/>
    <m/>
    <m/>
    <m/>
  </r>
  <r>
    <d v="2025-11-19T00:00:00"/>
    <x v="2"/>
    <x v="7"/>
    <s v="BRAYAN ALEXANDER"/>
    <s v="GONZALEZ FREZNEDA"/>
    <n v="573195053746"/>
    <n v="73745"/>
    <x v="3"/>
    <x v="0"/>
    <s v="Exelente servicio y atención de los chicos del taller aunque quedaron unas fallitas de ruido al hacer la observación las corrigieron de inmediato."/>
    <m/>
    <m/>
    <m/>
    <m/>
    <m/>
  </r>
  <r>
    <d v="2025-11-19T00:00:00"/>
    <x v="2"/>
    <x v="7"/>
    <s v="JAVIER"/>
    <s v="PACHECHO OCHOA"/>
    <n v="573012562150"/>
    <n v="73469"/>
    <x v="3"/>
    <x v="0"/>
    <s v="Excelente servicio"/>
    <m/>
    <m/>
    <m/>
    <m/>
    <m/>
  </r>
  <r>
    <d v="2025-11-19T00:00:00"/>
    <x v="2"/>
    <x v="7"/>
    <s v="HERNAN SANTIAGO"/>
    <s v="CASTIBLANCO VEGA"/>
    <n v="573209836775"/>
    <n v="73220"/>
    <x v="3"/>
    <x v="0"/>
    <m/>
    <m/>
    <m/>
    <m/>
    <m/>
    <m/>
  </r>
  <r>
    <d v="2025-11-19T00:00:00"/>
    <x v="2"/>
    <x v="7"/>
    <s v="SANDRA"/>
    <s v="SABOGAL MESA"/>
    <n v="573133538234"/>
    <n v="73349"/>
    <x v="3"/>
    <x v="0"/>
    <s v="Es una patineta excelente solo mejoraría la duración de las pastillas de frenos"/>
    <m/>
    <m/>
    <m/>
    <m/>
    <m/>
  </r>
  <r>
    <d v="2025-11-19T00:00:00"/>
    <x v="2"/>
    <x v="7"/>
    <s v="IVAN CAMILO"/>
    <s v="TACUMA BLANCO"/>
    <n v="573124583270"/>
    <n v="73580"/>
    <x v="3"/>
    <x v="0"/>
    <s v="Excelente atención y eficiencia."/>
    <m/>
    <m/>
    <m/>
    <m/>
    <m/>
  </r>
  <r>
    <d v="2025-11-19T00:00:00"/>
    <x v="2"/>
    <x v="7"/>
    <s v="YESICA PAOLA"/>
    <s v="RUEDA RINCON"/>
    <n v="573125394284"/>
    <n v="72516"/>
    <x v="2"/>
    <x v="2"/>
    <s v="Cumplir los  tiempo de entrega y mejor información"/>
    <m/>
    <m/>
    <m/>
    <m/>
    <m/>
  </r>
  <r>
    <d v="2025-11-19T00:00:00"/>
    <x v="2"/>
    <x v="7"/>
    <s v="OSCAR FERNANDO"/>
    <s v="MANJARRES PASTRAN"/>
    <n v="573124820685"/>
    <n v="73774"/>
    <x v="3"/>
    <x v="0"/>
    <s v="agilidad"/>
    <m/>
    <m/>
    <m/>
    <m/>
    <m/>
  </r>
  <r>
    <d v="2025-11-19T00:00:00"/>
    <x v="2"/>
    <x v="7"/>
    <s v="DAVID"/>
    <s v="CARVAJAL JARAMILLO"/>
    <n v="573103163301"/>
    <n v="73506"/>
    <x v="3"/>
    <x v="0"/>
    <m/>
    <m/>
    <m/>
    <m/>
    <m/>
    <m/>
  </r>
  <r>
    <d v="2025-11-19T00:00:00"/>
    <x v="2"/>
    <x v="7"/>
    <s v="JUAN FELIPE"/>
    <s v="PINTO"/>
    <n v="573108174687"/>
    <n v="73445"/>
    <x v="3"/>
    <x v="0"/>
    <s v="Muy rápido y bueno el servicio. Agendar es muy fácil y se consiguen citas rápido"/>
    <m/>
    <m/>
    <m/>
    <m/>
    <m/>
  </r>
  <r>
    <d v="2025-11-18T00:00:00"/>
    <x v="2"/>
    <x v="7"/>
    <s v="HILDA CAROLINA"/>
    <s v="URREGO DIAZ"/>
    <n v="573204299458"/>
    <n v="73089"/>
    <x v="3"/>
    <x v="0"/>
    <s v="Estoy muy satisfecho"/>
    <m/>
    <m/>
    <m/>
    <m/>
    <m/>
  </r>
  <r>
    <d v="2025-11-18T00:00:00"/>
    <x v="2"/>
    <x v="7"/>
    <s v="RAFAEL LEONARDO"/>
    <s v="BELLO GIRALDO"/>
    <n v="573144731821"/>
    <n v="73038"/>
    <x v="3"/>
    <x v="0"/>
    <s v="Siempre están disponibles y atentos a las necesidades del usuario"/>
    <m/>
    <m/>
    <m/>
    <m/>
    <m/>
  </r>
  <r>
    <d v="2025-11-18T00:00:00"/>
    <x v="2"/>
    <x v="7"/>
    <s v="JOSE"/>
    <s v="RODRIGUEZ"/>
    <n v="573103414355"/>
    <n v="73653"/>
    <x v="3"/>
    <x v="0"/>
    <s v="Se debería lavar los equipos en el momento de la entrega"/>
    <m/>
    <m/>
    <m/>
    <m/>
    <m/>
  </r>
  <r>
    <d v="2025-11-18T00:00:00"/>
    <x v="2"/>
    <x v="7"/>
    <s v="TATIANA PATRICIA"/>
    <s v="ACOSTA LUCAS"/>
    <n v="573213710406"/>
    <n v="73484"/>
    <x v="3"/>
    <x v="0"/>
    <s v="Excelente servicio, muy buen servicio"/>
    <m/>
    <m/>
    <m/>
    <m/>
    <m/>
  </r>
  <r>
    <d v="2025-11-18T00:00:00"/>
    <x v="2"/>
    <x v="7"/>
    <s v="JUAN CAMILO"/>
    <s v="HERNANDEZ PACHECO"/>
    <n v="573168859112"/>
    <n v="73711"/>
    <x v="2"/>
    <x v="0"/>
    <s v="Aveces tengo muchos arreglos con ustedes y no duran mucho"/>
    <m/>
    <m/>
    <m/>
    <m/>
    <m/>
  </r>
  <r>
    <d v="2025-11-18T00:00:00"/>
    <x v="2"/>
    <x v="7"/>
    <s v="MARYULY ASTRID"/>
    <s v="ACOSTA BEJARANO"/>
    <n v="573194668858"/>
    <n v="73394"/>
    <x v="3"/>
    <x v="0"/>
    <s v="Me pareció buena, ya que digamos, tuve un inconveniente con la patineta la lleve y pues subo el arreglo, pero después otra vez se volvió a tener ese inconveniente y volví a llevarle me la me la arreglaron. Además este me parece buena atención como muy atentos o muy muy atentos, como el proceso de la patineta."/>
    <m/>
    <m/>
    <m/>
    <m/>
    <m/>
  </r>
  <r>
    <d v="2025-11-18T00:00:00"/>
    <x v="2"/>
    <x v="7"/>
    <s v="ESTIVEN"/>
    <s v="OROZCO ZULUAGA"/>
    <n v="573202286257"/>
    <n v="56483"/>
    <x v="3"/>
    <x v="0"/>
    <s v="un servicio muy completo en cuanto mantenimiento y reparaciones"/>
    <m/>
    <m/>
    <m/>
    <m/>
    <m/>
  </r>
  <r>
    <d v="2025-11-18T00:00:00"/>
    <x v="2"/>
    <x v="7"/>
    <s v="OMAR DAVID"/>
    <s v="GONZALEZ CUERVO"/>
    <n v="573115517391"/>
    <n v="73565"/>
    <x v="3"/>
    <x v="0"/>
    <s v="Los repuestos son extremadamente elevados con el costo en el mercado, deberían reevaluarlos"/>
    <m/>
    <m/>
    <m/>
    <m/>
    <m/>
  </r>
  <r>
    <d v="2025-11-18T00:00:00"/>
    <x v="2"/>
    <x v="7"/>
    <s v="JUAN DAVID"/>
    <s v="CASTIBLANCO SILVA"/>
    <n v="573168466800"/>
    <n v="73129"/>
    <x v="3"/>
    <x v="0"/>
    <s v="Gracias"/>
    <m/>
    <m/>
    <m/>
    <m/>
    <m/>
  </r>
  <r>
    <d v="2025-11-18T00:00:00"/>
    <x v="2"/>
    <x v="7"/>
    <s v="MOISES"/>
    <s v="CARDENAS AGUIRRE"/>
    <n v="573017089412"/>
    <n v="73253"/>
    <x v="3"/>
    <x v="0"/>
    <m/>
    <m/>
    <m/>
    <m/>
    <m/>
    <m/>
  </r>
  <r>
    <d v="2025-11-18T00:00:00"/>
    <x v="2"/>
    <x v="7"/>
    <s v="MOISES"/>
    <s v="CARDENAS AGUIRRE"/>
    <n v="573017089412"/>
    <n v="73253"/>
    <x v="3"/>
    <x v="0"/>
    <s v="Atención rápida y buena explicación del percance mecánico de la patineta"/>
    <m/>
    <m/>
    <m/>
    <m/>
    <m/>
  </r>
  <r>
    <d v="2025-11-18T00:00:00"/>
    <x v="2"/>
    <x v="7"/>
    <s v="JUAN DIEGO"/>
    <s v="BERNAL"/>
    <n v="573107948209"/>
    <n v="73168"/>
    <x v="3"/>
    <x v="0"/>
    <s v="En minca siempre me siento seguro de dejar mi patineta, es la mejor marca del mundo."/>
    <m/>
    <m/>
    <m/>
    <m/>
    <m/>
  </r>
  <r>
    <d v="2025-11-15T00:00:00"/>
    <x v="2"/>
    <x v="8"/>
    <s v="DUVAN AMEZQUITA"/>
    <s v="MARIN"/>
    <n v="573132707814"/>
    <n v="71890"/>
    <x v="3"/>
    <x v="0"/>
    <s v="Buena atención satisfecho con el servicio recibido. Mil gracias"/>
    <m/>
    <m/>
    <m/>
    <m/>
    <m/>
  </r>
  <r>
    <d v="2025-11-15T00:00:00"/>
    <x v="2"/>
    <x v="8"/>
    <s v="JOSE LUIS"/>
    <s v="MONTAÑEZ"/>
    <n v="573143705709"/>
    <n v="72020"/>
    <x v="3"/>
    <x v="0"/>
    <s v="Muy agradecido con minca"/>
    <m/>
    <m/>
    <m/>
    <m/>
    <m/>
  </r>
  <r>
    <d v="2025-11-15T00:00:00"/>
    <x v="2"/>
    <x v="8"/>
    <s v="FELIPE"/>
    <s v="RIVERA"/>
    <n v="573004693082"/>
    <n v="73451"/>
    <x v="3"/>
    <x v="0"/>
    <s v="Satisfactoria"/>
    <m/>
    <m/>
    <m/>
    <m/>
    <m/>
  </r>
  <r>
    <d v="2025-11-15T00:00:00"/>
    <x v="2"/>
    <x v="8"/>
    <s v="YESICA ESTEFANIA"/>
    <s v="PINEDA GUALTEROS"/>
    <n v="573155169327"/>
    <n v="73098"/>
    <x v="3"/>
    <x v="0"/>
    <s v="Muy bien"/>
    <m/>
    <m/>
    <m/>
    <m/>
    <m/>
  </r>
  <r>
    <d v="2025-11-15T00:00:00"/>
    <x v="2"/>
    <x v="8"/>
    <s v="JUAN CARLOS"/>
    <s v="DIAZ ACEVEDO"/>
    <n v="573176449677"/>
    <n v="73342"/>
    <x v="3"/>
    <x v="0"/>
    <s v="El mantenimiento de mi patineta estuvo bien, lo único que no me gusto fue el cambio de la llanta trasera por una sin el labrado de la original. Se agradece el cambio por cuestiones de fabrica pero se debe tener en stock las referencias correctas para que los respectivos cambios."/>
    <m/>
    <m/>
    <m/>
    <m/>
    <m/>
  </r>
  <r>
    <d v="2025-11-15T00:00:00"/>
    <x v="2"/>
    <x v="8"/>
    <s v="MICHELL"/>
    <s v="HERNANDEZ TRIANA"/>
    <n v="573046380680"/>
    <n v="73409"/>
    <x v="3"/>
    <x v="0"/>
    <m/>
    <m/>
    <m/>
    <m/>
    <m/>
    <m/>
  </r>
  <r>
    <d v="2025-11-15T00:00:00"/>
    <x v="2"/>
    <x v="8"/>
    <s v="FAYBER ALEXIS"/>
    <s v="MARTINEZ ROJAS"/>
    <n v="573132865520"/>
    <n v="73578"/>
    <x v="3"/>
    <x v="0"/>
    <s v="Me gusta mucho el servicio en la Av chile, siempre voy y me atienden bien y rápido, muchas gracias."/>
    <m/>
    <m/>
    <m/>
    <m/>
    <m/>
  </r>
  <r>
    <d v="2025-11-15T00:00:00"/>
    <x v="2"/>
    <x v="8"/>
    <s v="CARLOS ALBERTO"/>
    <s v="VILLAMOR CELIS"/>
    <n v="573214179797"/>
    <n v="73094"/>
    <x v="3"/>
    <x v="0"/>
    <s v="El servicio fue muy bno y la atención del taller y de los asesores es muy recomendable"/>
    <m/>
    <m/>
    <m/>
    <m/>
    <m/>
  </r>
  <r>
    <d v="2025-11-15T00:00:00"/>
    <x v="2"/>
    <x v="8"/>
    <s v="MANUEL DAVID"/>
    <s v="SAAVEDRA SEGURA"/>
    <n v="573142819694"/>
    <n v="72598"/>
    <x v="3"/>
    <x v="0"/>
    <m/>
    <m/>
    <m/>
    <m/>
    <m/>
    <m/>
  </r>
  <r>
    <d v="2025-11-15T00:00:00"/>
    <x v="2"/>
    <x v="8"/>
    <s v="JAIME"/>
    <s v="VILLAVECES"/>
    <n v="573103212739"/>
    <n v="72327"/>
    <x v="3"/>
    <x v="0"/>
    <m/>
    <m/>
    <m/>
    <m/>
    <m/>
    <m/>
  </r>
  <r>
    <d v="2025-11-15T00:00:00"/>
    <x v="2"/>
    <x v="8"/>
    <s v="JAIME"/>
    <s v="VILLAVECES"/>
    <n v="573103212739"/>
    <n v="72327"/>
    <x v="3"/>
    <x v="0"/>
    <s v="En general el equipo y el servicio son muy buenos es una buena decisión al escoger con quien quieres estar mientras tienes tu parineta"/>
    <m/>
    <m/>
    <m/>
    <m/>
    <m/>
  </r>
  <r>
    <d v="2025-11-15T00:00:00"/>
    <x v="2"/>
    <x v="8"/>
    <s v="NELSON STICK"/>
    <s v="MORENO MARTINEZ"/>
    <n v="573017008553"/>
    <n v="73162"/>
    <x v="3"/>
    <x v="0"/>
    <s v="La lavada fue regular, de resto bien, pero si se debe mejorar el tema de la lavada"/>
    <m/>
    <m/>
    <m/>
    <m/>
    <m/>
  </r>
  <r>
    <d v="2025-11-15T00:00:00"/>
    <x v="2"/>
    <x v="8"/>
    <s v="HEYDY VANESA"/>
    <s v="AMAYA RODRIGUEZ"/>
    <n v="573138624997"/>
    <n v="73390"/>
    <x v="3"/>
    <x v="0"/>
    <s v="La atención por parte de las personas fue excelente _x000a_Son muy atentos"/>
    <m/>
    <m/>
    <m/>
    <m/>
    <m/>
  </r>
  <r>
    <d v="2025-11-15T00:00:00"/>
    <x v="2"/>
    <x v="8"/>
    <s v="JORGE ENRIQUE"/>
    <s v="AMOR"/>
    <n v="573014194752"/>
    <n v="73175"/>
    <x v="2"/>
    <x v="0"/>
    <s v="La patinetas necesitan un mejor diseño para apuntar hacía no solo un problema de movilidad sino también que ayude con la movilidad en Bogota que soporte las lluvias o los huecos"/>
    <m/>
    <m/>
    <m/>
    <m/>
    <m/>
  </r>
  <r>
    <d v="2025-11-15T00:00:00"/>
    <x v="2"/>
    <x v="8"/>
    <s v="HENRRY ALONSO"/>
    <s v="ROZO FERNANDEZ"/>
    <n v="573157941692"/>
    <n v="73378"/>
    <x v="3"/>
    <x v="0"/>
    <m/>
    <m/>
    <m/>
    <m/>
    <m/>
    <m/>
  </r>
  <r>
    <d v="2025-11-15T00:00:00"/>
    <x v="2"/>
    <x v="8"/>
    <s v="HENRRY ALONSO"/>
    <s v="ROZO FERNANDEZ"/>
    <n v="573157941692"/>
    <n v="73378"/>
    <x v="3"/>
    <x v="0"/>
    <s v="Muy buen servicio"/>
    <m/>
    <m/>
    <m/>
    <m/>
    <m/>
  </r>
  <r>
    <d v="2025-11-14T00:00:00"/>
    <x v="2"/>
    <x v="8"/>
    <s v="INVERSIONES OSLIRA"/>
    <s v="SAS"/>
    <n v="573116097270"/>
    <n v="73020"/>
    <x v="3"/>
    <x v="0"/>
    <s v="Deberian tener stok de repuestos. Como no van a tener repuestos de scooter nuevas. Y que deberia tener prioridad de agilidad por ser garantia o nueva la scooter"/>
    <s v="AV CHILE, SE LLEVARON LOS REPUESTOS DE LA BODEGA A AV CHILE LAS PISTAS DE LOS RODAMIENTOS "/>
    <m/>
    <m/>
    <m/>
    <m/>
  </r>
  <r>
    <d v="2025-11-14T00:00:00"/>
    <x v="2"/>
    <x v="8"/>
    <s v="EDWIN ALEXANDER"/>
    <s v="MELO"/>
    <n v="573195046238"/>
    <n v="73244"/>
    <x v="2"/>
    <x v="0"/>
    <s v="muchas gracias, aunue fue demorado el proceso bien todo gracias"/>
    <m/>
    <m/>
    <s v="2025-11-14T16:43:28-05:00"/>
    <m/>
    <m/>
  </r>
  <r>
    <d v="2025-11-14T00:00:00"/>
    <x v="2"/>
    <x v="8"/>
    <s v="JUAN ESTEBAN"/>
    <s v="NIEVES PALACIO"/>
    <n v="573227058397"/>
    <n v="73196"/>
    <x v="2"/>
    <x v="0"/>
    <m/>
    <m/>
    <m/>
    <m/>
    <m/>
    <m/>
  </r>
  <r>
    <d v="2025-11-14T00:00:00"/>
    <x v="2"/>
    <x v="8"/>
    <s v="JUAN ESTEBAN"/>
    <s v="NIEVES PALACIO"/>
    <n v="573227058397"/>
    <n v="73196"/>
    <x v="2"/>
    <x v="0"/>
    <s v="Hola buena tarde el dia de hoy recibí del taller mi minca 350 lite_x000a_En el trayecto a mi casa la patineta se apago aún teniendo carga _x000a_Cuando la encendí aparecía sin carga"/>
    <m/>
    <m/>
    <m/>
    <m/>
    <m/>
  </r>
  <r>
    <d v="2025-11-14T00:00:00"/>
    <x v="2"/>
    <x v="8"/>
    <s v="ALEJANDRO"/>
    <s v="UPEGUI RODRIGUEZ"/>
    <n v="573143710157"/>
    <n v="73373"/>
    <x v="3"/>
    <x v="0"/>
    <s v="La verdad su personal del showroom cedritos Iris sobre todo es excelente es la mejor vendedora que tienen recuerda a sus clientes es amable mejor dicho top! En el taller cedritos cesar que bacan se toma el trabajo de explicar siempre una sonrisa de igual manera cuando he estado molesto tanto el cómo las niñas de recepción un amor sabe muy bien escuchar y manejar a su cliente._x000a_AHORA BIEN. Con la marca pues con la 2400 un poco jarto ya voy por el tercer controlador se traba el motor delantero y pues eso es mamón por que es una gastadora de plata en tiempo y taxis pues la pati es mi medio de transporte. Recomendación tener un par de patis para casos de arreglos demorados"/>
    <s v="CEDRITOS, A TENIDO PROBLEMAS DE CONTROLADOR "/>
    <m/>
    <m/>
    <m/>
    <m/>
  </r>
  <r>
    <d v="2025-11-14T00:00:00"/>
    <x v="2"/>
    <x v="8"/>
    <s v="CARLOS JULIO"/>
    <s v="JARA CHAGUALÁ"/>
    <n v="573103099580"/>
    <n v="73255"/>
    <x v="3"/>
    <x v="0"/>
    <s v="Excelente"/>
    <m/>
    <m/>
    <m/>
    <m/>
    <m/>
  </r>
  <r>
    <d v="2025-11-14T00:00:00"/>
    <x v="2"/>
    <x v="8"/>
    <s v="WILLIAM"/>
    <s v="CANTOR ROMERO"/>
    <n v="573115460888"/>
    <n v="73259"/>
    <x v="3"/>
    <x v="0"/>
    <s v="Todo excelente"/>
    <m/>
    <m/>
    <m/>
    <m/>
    <m/>
  </r>
  <r>
    <d v="2025-11-14T00:00:00"/>
    <x v="2"/>
    <x v="8"/>
    <s v="LEONEL SANTIAGO"/>
    <s v="AREVALO ZAMORA"/>
    <n v="573138811217"/>
    <n v="72740"/>
    <x v="3"/>
    <x v="0"/>
    <s v="ME ENCANTA SU SERVICIO_x000a_Y ECONOMIA"/>
    <m/>
    <m/>
    <m/>
    <m/>
    <m/>
  </r>
  <r>
    <d v="2025-11-14T00:00:00"/>
    <x v="2"/>
    <x v="8"/>
    <s v="YENNIFER PAOLA"/>
    <s v="CABRERA  HERRERA"/>
    <n v="573115930926"/>
    <n v="73314"/>
    <x v="3"/>
    <x v="0"/>
    <s v="Me pareció muy bueno, la atención y los arreglos correspondientes bien"/>
    <m/>
    <m/>
    <m/>
    <m/>
    <m/>
  </r>
  <r>
    <d v="2025-11-14T00:00:00"/>
    <x v="2"/>
    <x v="8"/>
    <s v="ANTHONY ALEXANDER"/>
    <s v="DORIA DORIA"/>
    <n v="573102224451"/>
    <n v="73018"/>
    <x v="2"/>
    <x v="0"/>
    <s v="La carga no le dura mucho"/>
    <m/>
    <m/>
    <m/>
    <m/>
    <m/>
  </r>
  <r>
    <d v="2025-11-14T00:00:00"/>
    <x v="2"/>
    <x v="8"/>
    <s v="LIZETH KATHERINE"/>
    <s v="GUERRA CIFUENTES"/>
    <n v="573004706265"/>
    <n v="73069"/>
    <x v="3"/>
    <x v="0"/>
    <m/>
    <m/>
    <m/>
    <m/>
    <m/>
    <m/>
  </r>
  <r>
    <d v="2025-11-14T00:00:00"/>
    <x v="2"/>
    <x v="8"/>
    <s v="HECTOR AUGUSTO"/>
    <s v="TURRIAGO APOLINAR"/>
    <n v="573006145534"/>
    <n v="73154"/>
    <x v="3"/>
    <x v="0"/>
    <s v="Las sugerencias de los posibles ajustes ante o en el siguiente mantenimiento podrían ser escritos, estregar un informe o listado vía whatsaap"/>
    <m/>
    <m/>
    <m/>
    <m/>
    <m/>
  </r>
  <r>
    <d v="2025-11-14T00:00:00"/>
    <x v="2"/>
    <x v="8"/>
    <s v="MAURICIO"/>
    <s v="SIERRA AMAYA"/>
    <n v="573004754605"/>
    <n v="73371"/>
    <x v="3"/>
    <x v="0"/>
    <s v="La amabilidad de recepción es excelente y todos en el taller tienen muy buen trato, pero el proceso de entrega es demorado por el volumen se pedidos para las pocas personas que tienen. Mi recomendación es destinar más personal en la recepción o programar mejor las entregas de patinetas"/>
    <s v="JAVERIANA SE INGRESO EL 12 Y SE FINALIZO EL 13 , EL FRONT ESTABA ÑLENO CUAN DO LLEGO "/>
    <m/>
    <m/>
    <m/>
    <m/>
  </r>
  <r>
    <d v="2025-11-14T00:00:00"/>
    <x v="2"/>
    <x v="8"/>
    <s v="ESTEBAN"/>
    <s v="CASTILLO RODRIGUEZ"/>
    <n v="573113844013"/>
    <n v="73135"/>
    <x v="3"/>
    <x v="0"/>
    <s v="El servicio en general es bueno aunque me lleve una pequeña desepcion, ya que tuve que cambiar el display de mi minca 1600w por un daño y el nuevo display no permite poner una contraseña o pin a diferencia del anterior display, opcion que siento que es fundamental e importante por seguridad"/>
    <m/>
    <m/>
    <m/>
    <m/>
    <m/>
  </r>
  <r>
    <d v="2025-11-13T00:00:00"/>
    <x v="2"/>
    <x v="8"/>
    <s v="JUAN CAMILO"/>
    <s v="MORENO GARCIA"/>
    <n v="573004608455"/>
    <n v="73222"/>
    <x v="3"/>
    <x v="0"/>
    <s v="Buena experiencia en cuanto a calidad del entregable. Trabajaría más en reducir los tiempos de entrega, ya que para muchos es el vehículo para desplazarse al trabajo y quedar por más de 2 días sin transporte afecta la semana."/>
    <m/>
    <m/>
    <m/>
    <m/>
    <m/>
  </r>
  <r>
    <d v="2025-11-13T00:00:00"/>
    <x v="2"/>
    <x v="8"/>
    <s v="GENZELL JOHANN"/>
    <s v="SUAREZ GUITIERREZ"/>
    <n v="573235128057"/>
    <n v="72993"/>
    <x v="3"/>
    <x v="0"/>
    <s v="Gracias por su servicio prestado"/>
    <m/>
    <m/>
    <m/>
    <m/>
    <m/>
  </r>
  <r>
    <d v="2025-11-13T00:00:00"/>
    <x v="2"/>
    <x v="8"/>
    <s v="SANTIAGO"/>
    <s v="TIBADUIZA"/>
    <n v="573006602625"/>
    <n v="73190"/>
    <x v="3"/>
    <x v="1"/>
    <s v="Es importante dar sugerencias para el buen uso y conservar la vida útil de la patineta. Sin embargo, si uno solicita el arreglo por garantía, es bueno que lo revisen y expliquen por qué aplica o no la garantía en vez de una vez cobrar por el servicio"/>
    <m/>
    <m/>
    <m/>
    <m/>
    <m/>
  </r>
  <r>
    <d v="2025-11-13T00:00:00"/>
    <x v="2"/>
    <x v="8"/>
    <s v="JUAN ANTONIO"/>
    <s v="JARAMILLO"/>
    <n v="573203013083"/>
    <n v="73262"/>
    <x v="3"/>
    <x v="0"/>
    <s v="Muy buena la experiencia en tienda y dejaron la patineta muy bien. La plataforma muy buena y muy clara"/>
    <m/>
    <m/>
    <m/>
    <m/>
    <m/>
  </r>
  <r>
    <d v="2025-11-13T00:00:00"/>
    <x v="2"/>
    <x v="8"/>
    <s v="MARIA CAMILA"/>
    <s v="VILLAMIZAR"/>
    <n v="573204496365"/>
    <n v="73392"/>
    <x v="2"/>
    <x v="0"/>
    <s v="Realice el cambio de luz. Recién la recogí y ya está suelta la luz :/"/>
    <m/>
    <m/>
    <m/>
    <m/>
    <m/>
  </r>
  <r>
    <d v="2025-11-13T00:00:00"/>
    <x v="2"/>
    <x v="8"/>
    <s v="OSCAR"/>
    <s v="LOPEZ  CAMACHO"/>
    <n v="573118442583"/>
    <n v="70218"/>
    <x v="4"/>
    <x v="2"/>
    <s v="aun no se nada de mi patineta y se entrego hace mas 1 un mes por segunda ves por garantia"/>
    <s v="CHICO, CASO FALABELLA"/>
    <m/>
    <m/>
    <m/>
    <m/>
  </r>
  <r>
    <d v="2025-11-13T00:00:00"/>
    <x v="2"/>
    <x v="8"/>
    <s v="MAYRA ALEJANDRA"/>
    <s v="LEYTON ALVAREZ"/>
    <n v="573053500381"/>
    <n v="72421"/>
    <x v="3"/>
    <x v="0"/>
    <s v="Exelente atención"/>
    <m/>
    <m/>
    <m/>
    <m/>
    <m/>
  </r>
  <r>
    <d v="2025-11-13T00:00:00"/>
    <x v="2"/>
    <x v="8"/>
    <s v="HENRY MIGUEL"/>
    <s v="MUÑOZ NUÑEZ"/>
    <n v="573125808158"/>
    <n v="72696"/>
    <x v="2"/>
    <x v="0"/>
    <s v="Se demoró mas de una semana el mantenimiento. De resto, todo bien."/>
    <s v="JAVERIANA, SE DEMORO POR GUARDABARRO TRASERO "/>
    <m/>
    <m/>
    <m/>
    <m/>
  </r>
  <r>
    <d v="2025-11-13T00:00:00"/>
    <x v="2"/>
    <x v="8"/>
    <s v="DIEGO ALEJANDRO"/>
    <s v="ALARCÓN CAMARGO"/>
    <n v="573202064258"/>
    <n v="72571"/>
    <x v="3"/>
    <x v="0"/>
    <s v="Buen servicio"/>
    <m/>
    <m/>
    <m/>
    <m/>
    <m/>
  </r>
  <r>
    <d v="2025-11-13T00:00:00"/>
    <x v="2"/>
    <x v="8"/>
    <s v="CAMILA"/>
    <s v="HERRERA"/>
    <n v="573013178267"/>
    <n v="73078"/>
    <x v="3"/>
    <x v="0"/>
    <s v="Mi experiencia con la marca ha sido muy buena. Considero que es una marca confiable, que demuestra un verdadero compromiso con mi bienestar y se esfuerza por ofrecer siempre un servicio de calidad desde el primer acercamiento"/>
    <m/>
    <m/>
    <m/>
    <m/>
    <m/>
  </r>
  <r>
    <d v="2025-11-13T00:00:00"/>
    <x v="2"/>
    <x v="8"/>
    <s v="ANDRES"/>
    <s v="TAPIA GARCIA"/>
    <n v="573004234742"/>
    <n v="72944"/>
    <x v="3"/>
    <x v="0"/>
    <m/>
    <m/>
    <m/>
    <m/>
    <m/>
    <m/>
  </r>
  <r>
    <d v="2025-11-12T00:00:00"/>
    <x v="2"/>
    <x v="8"/>
    <s v="SERGIO"/>
    <s v="SANCHEZ CUBILLOS"/>
    <n v="573133701238"/>
    <n v="71910"/>
    <x v="3"/>
    <x v="0"/>
    <m/>
    <m/>
    <m/>
    <m/>
    <m/>
    <m/>
  </r>
  <r>
    <d v="2025-11-12T00:00:00"/>
    <x v="2"/>
    <x v="8"/>
    <s v="ANNA KAROLYNNA"/>
    <s v="CHARRIS LLANOS"/>
    <n v="573007087834"/>
    <n v="72720"/>
    <x v="3"/>
    <x v="0"/>
    <m/>
    <m/>
    <m/>
    <m/>
    <m/>
    <m/>
  </r>
  <r>
    <d v="2025-11-12T00:00:00"/>
    <x v="2"/>
    <x v="8"/>
    <s v="LUZ ANGELICA"/>
    <s v="GARZON PIÑEROS"/>
    <n v="573214423714"/>
    <n v="72850"/>
    <x v="3"/>
    <x v="0"/>
    <s v="La vida es más agradable con una minca pero si debería ser una máquina no pensada para pasear sino realmente como medio de transporte diario"/>
    <m/>
    <m/>
    <m/>
    <m/>
    <m/>
  </r>
  <r>
    <d v="2025-11-12T00:00:00"/>
    <x v="2"/>
    <x v="8"/>
    <s v="ALIRIO"/>
    <s v="DEVIA QUIMBAYO"/>
    <n v="573133549946"/>
    <n v="73072"/>
    <x v="3"/>
    <x v="0"/>
    <s v="Los chicos son muy amables."/>
    <m/>
    <m/>
    <m/>
    <m/>
    <m/>
  </r>
  <r>
    <d v="2025-11-12T00:00:00"/>
    <x v="2"/>
    <x v="8"/>
    <s v="DIEGO ALBERTO"/>
    <s v="GUTIERREZ PINTO"/>
    <n v="573208257151"/>
    <n v="73188"/>
    <x v="3"/>
    <x v="0"/>
    <m/>
    <m/>
    <m/>
    <m/>
    <m/>
    <m/>
  </r>
  <r>
    <d v="2025-11-12T00:00:00"/>
    <x v="2"/>
    <x v="8"/>
    <s v="LUIS FELIPE"/>
    <s v="CUARTAS OTERO"/>
    <n v="573186422409"/>
    <n v="70674"/>
    <x v="2"/>
    <x v="1"/>
    <s v="La atención en los talleres puede mejorar mi patineta duro en el taller 2 meses por falta de respuestas"/>
    <s v="CEDRITOS, ESPERA DE BASE TREN "/>
    <m/>
    <m/>
    <m/>
    <m/>
  </r>
  <r>
    <d v="2025-11-12T00:00:00"/>
    <x v="2"/>
    <x v="8"/>
    <s v="MATEO"/>
    <s v="DUQUE LONDOÑO"/>
    <n v="573167413604"/>
    <n v="72404"/>
    <x v="3"/>
    <x v="0"/>
    <s v="Excelente servicio 👍"/>
    <m/>
    <m/>
    <m/>
    <m/>
    <m/>
  </r>
  <r>
    <d v="2025-11-12T00:00:00"/>
    <x v="2"/>
    <x v="8"/>
    <s v="RUBEN DARIO"/>
    <s v="TALERO CARABALLO"/>
    <n v="573203407194"/>
    <n v="73171"/>
    <x v="3"/>
    <x v="0"/>
    <s v="Impecable"/>
    <m/>
    <m/>
    <m/>
    <m/>
    <m/>
  </r>
  <r>
    <d v="2025-11-12T00:00:00"/>
    <x v="2"/>
    <x v="8"/>
    <s v="JHON"/>
    <s v="ZAPATA"/>
    <n v="573135969191"/>
    <n v="72991"/>
    <x v="3"/>
    <x v="0"/>
    <s v="Bueno"/>
    <m/>
    <m/>
    <m/>
    <m/>
    <m/>
  </r>
  <r>
    <d v="2025-11-12T00:00:00"/>
    <x v="2"/>
    <x v="8"/>
    <s v="NATALIA"/>
    <s v="MUÑOZ GIRALDO"/>
    <n v="573167599510"/>
    <n v="73276"/>
    <x v="3"/>
    <x v="0"/>
    <m/>
    <m/>
    <m/>
    <m/>
    <m/>
    <m/>
  </r>
  <r>
    <d v="2025-11-12T00:00:00"/>
    <x v="2"/>
    <x v="8"/>
    <s v="SANTIAGO"/>
    <s v="DIAZ GRANADOS ALVAREZ"/>
    <n v="573175767078"/>
    <n v="72621"/>
    <x v="3"/>
    <x v="0"/>
    <s v="Todo estuvo bien. Un poco demorado pero salió bien. Solo recomendaría que carguen las patinetas antes de entregarlas o le avisen a uno que no lo van a hacer. Recogí la mía hoy y me quedé varado a la mitad del camino porque no venía cargada."/>
    <m/>
    <m/>
    <m/>
    <m/>
    <m/>
  </r>
  <r>
    <d v="2025-11-12T00:00:00"/>
    <x v="2"/>
    <x v="8"/>
    <s v="HERNAN MAURICIO"/>
    <s v="GOMEZ MORENO"/>
    <n v="573214438418"/>
    <n v="73232"/>
    <x v="3"/>
    <x v="0"/>
    <s v="Es la mejor marca en scooter"/>
    <m/>
    <m/>
    <m/>
    <m/>
    <m/>
  </r>
  <r>
    <d v="2025-11-11T00:00:00"/>
    <x v="2"/>
    <x v="8"/>
    <s v="YEISON ANDRES"/>
    <s v="MORALES MARIN"/>
    <n v="573192372631"/>
    <n v="73102"/>
    <x v="3"/>
    <x v="0"/>
    <s v="El servicio es excelente la atención super buena, lo único son los horarios de atención, son los mismo que una oficina y no tiempo para las personas que trabajamos de lunes a sabado de ir a llevarla, siempre me toca pedir permiso en mi trabajo y la verdad eso es lo uncio malo"/>
    <m/>
    <m/>
    <m/>
    <m/>
    <m/>
  </r>
  <r>
    <d v="2025-11-11T00:00:00"/>
    <x v="2"/>
    <x v="8"/>
    <s v="ELECTRO INNOVACION"/>
    <s v="JV SAS"/>
    <n v="573006538646"/>
    <n v="72455"/>
    <x v="4"/>
    <x v="2"/>
    <s v="Inicialmente la patineta ingreso por un daño, ni siquiera supe qué fue lo que le sucedió a la patineta, se quedó dos semanas y cuando llegué me dijeron que no tenían personal para realizar el mantenimiento porque habían renunciado, aparte de eso cuando quedaron de entregarla el taller estaba cerrado y no respondían. _x000a_En varias ocasiones se les ha llamado y ha sido imposible la comunicación."/>
    <s v="MEDELLIN "/>
    <m/>
    <m/>
    <m/>
    <m/>
  </r>
  <r>
    <d v="2025-11-11T00:00:00"/>
    <x v="2"/>
    <x v="8"/>
    <s v="CATALINA"/>
    <s v="AREVALO"/>
    <n v="573126806861"/>
    <n v="73068"/>
    <x v="3"/>
    <x v="1"/>
    <s v="Deben ser más amables con los clientes, no hacerles caras y no desinformar, porque por este medio dicen una cosa y allá dicen otra."/>
    <m/>
    <m/>
    <m/>
    <m/>
    <m/>
  </r>
  <r>
    <d v="2025-11-11T00:00:00"/>
    <x v="2"/>
    <x v="8"/>
    <s v="JOHANNA"/>
    <s v="URREGO OTERO"/>
    <n v="573042844274"/>
    <n v="72634"/>
    <x v="3"/>
    <x v="0"/>
    <s v="Excelente servicio, atención y tiempos de entrega. Siempre agradecida!"/>
    <m/>
    <m/>
    <m/>
    <m/>
    <m/>
  </r>
  <r>
    <d v="2025-11-11T00:00:00"/>
    <x v="2"/>
    <x v="8"/>
    <s v="DANIEL ESTEBAN"/>
    <s v="HERNÁNDEZ"/>
    <n v="573144544951"/>
    <n v="72773"/>
    <x v="3"/>
    <x v="0"/>
    <s v="Excelente servicio de la señorita de atención al cliente en el taller de la 95, 10 de 10."/>
    <s v="Angie Montoya"/>
    <m/>
    <s v="2025-11-14T13:28:12-05:00"/>
    <m/>
    <m/>
  </r>
  <r>
    <d v="2025-11-11T00:00:00"/>
    <x v="2"/>
    <x v="8"/>
    <s v="HANSEL YESID"/>
    <s v="VILLAMIL MORALES"/>
    <n v="573043607553"/>
    <n v="71209"/>
    <x v="3"/>
    <x v="0"/>
    <s v="Todo excelente"/>
    <m/>
    <m/>
    <m/>
    <m/>
    <m/>
  </r>
  <r>
    <d v="2025-11-11T00:00:00"/>
    <x v="2"/>
    <x v="8"/>
    <s v="LEONARDO"/>
    <s v="RUIZ"/>
    <n v="573163761438"/>
    <n v="72875"/>
    <x v="3"/>
    <x v="0"/>
    <s v="Tienen buen servicio"/>
    <m/>
    <m/>
    <m/>
    <m/>
    <m/>
  </r>
  <r>
    <d v="2025-11-11T00:00:00"/>
    <x v="2"/>
    <x v="8"/>
    <s v="JUAN CARLOS"/>
    <s v="APONTE PINZON"/>
    <n v="573134068724"/>
    <n v="73007"/>
    <x v="3"/>
    <x v="0"/>
    <s v="Desde que entré la atención de la persona que me recibió fue excelente y los tiempos que me propusieron los cumplieron. Gracias"/>
    <m/>
    <m/>
    <m/>
    <m/>
    <m/>
  </r>
  <r>
    <d v="2025-11-11T00:00:00"/>
    <x v="2"/>
    <x v="8"/>
    <s v="PATRICIA"/>
    <s v="TRIANA VARGAS"/>
    <n v="573004760882"/>
    <n v="72811"/>
    <x v="3"/>
    <x v="0"/>
    <m/>
    <m/>
    <m/>
    <m/>
    <m/>
    <m/>
  </r>
  <r>
    <d v="2025-11-11T00:00:00"/>
    <x v="2"/>
    <x v="8"/>
    <s v="JUAN CARLOS"/>
    <s v="CASTRO CASAS"/>
    <n v="573202004296"/>
    <n v="71870"/>
    <x v="4"/>
    <x v="2"/>
    <s v="Mal mal mal …….todo"/>
    <m/>
    <m/>
    <m/>
    <m/>
    <m/>
  </r>
  <r>
    <d v="2025-11-11T00:00:00"/>
    <x v="2"/>
    <x v="8"/>
    <s v="MIGUEL ADOLFO"/>
    <s v="OCHOA JIMENEZ"/>
    <n v="573213812680"/>
    <n v="73234"/>
    <x v="3"/>
    <x v="0"/>
    <s v="Siempre me ha gustado la atención es excelente"/>
    <m/>
    <m/>
    <m/>
    <m/>
    <m/>
  </r>
  <r>
    <d v="2025-11-11T00:00:00"/>
    <x v="2"/>
    <x v="8"/>
    <s v="JUAN DAVID"/>
    <s v="MARTINEZ"/>
    <n v="573114948038"/>
    <n v="72996"/>
    <x v="3"/>
    <x v="0"/>
    <s v="Excelente servicio"/>
    <m/>
    <m/>
    <m/>
    <m/>
    <m/>
  </r>
  <r>
    <d v="2025-11-11T00:00:00"/>
    <x v="2"/>
    <x v="8"/>
    <s v="JUAN SEBASTIAN"/>
    <s v="CASTILLO ROBAYO"/>
    <n v="573042970901"/>
    <n v="73176"/>
    <x v="3"/>
    <x v="0"/>
    <s v="Súper la atención y servicio, muy agradecido"/>
    <m/>
    <m/>
    <m/>
    <m/>
    <m/>
  </r>
  <r>
    <d v="2025-11-11T00:00:00"/>
    <x v="2"/>
    <x v="8"/>
    <s v="DANIEL FERNANDO"/>
    <s v="GARCIA ACOSTA"/>
    <n v="573167511673"/>
    <n v="72835"/>
    <x v="3"/>
    <x v="0"/>
    <s v="Realmente puedo calificar la experiencia en este taller con un 100%_x000a__x000a_Muy atentos, muy amables, muy profesionales."/>
    <s v="Angie Montoya"/>
    <m/>
    <s v="2025-11-11T13:31:03-05:00"/>
    <m/>
    <m/>
  </r>
  <r>
    <d v="2025-11-11T00:00:00"/>
    <x v="2"/>
    <x v="8"/>
    <s v="DIEGO ALEJANDRO"/>
    <s v="PULIDO"/>
    <n v="573102700539"/>
    <n v="72537"/>
    <x v="3"/>
    <x v="0"/>
    <s v="Me parece que es buena la atención dada en el soporte de la patineta"/>
    <m/>
    <m/>
    <m/>
    <m/>
    <m/>
  </r>
  <r>
    <d v="2025-11-11T00:00:00"/>
    <x v="2"/>
    <x v="8"/>
    <s v="GIOVANNY ALEXANDER"/>
    <s v="LOPEZ LOPEZ"/>
    <n v="573107807449"/>
    <n v="72836"/>
    <x v="3"/>
    <x v="0"/>
    <s v="Depronto mejorar la atención al cliente un poco más de amabilidad en el punto"/>
    <m/>
    <m/>
    <m/>
    <m/>
    <m/>
  </r>
  <r>
    <d v="2025-11-11T00:00:00"/>
    <x v="2"/>
    <x v="8"/>
    <s v="CORREDOR GIL"/>
    <s v="ERIK SANTIAGO"/>
    <n v="573228428681"/>
    <n v="72475"/>
    <x v="4"/>
    <x v="2"/>
    <s v="no realizaron  el ajuste en la patineta,  como  tenia que ser"/>
    <m/>
    <m/>
    <m/>
    <m/>
    <m/>
  </r>
  <r>
    <d v="2025-11-11T00:00:00"/>
    <x v="2"/>
    <x v="8"/>
    <s v="WILLIAM FELIPE"/>
    <s v="GONZALEZ PUENTES"/>
    <n v="573504593603"/>
    <n v="72413"/>
    <x v="3"/>
    <x v="0"/>
    <s v="Excelente servicio"/>
    <m/>
    <m/>
    <m/>
    <m/>
    <m/>
  </r>
  <r>
    <d v="2025-11-11T00:00:00"/>
    <x v="2"/>
    <x v="8"/>
    <s v="CRISTIAN ADRIAN"/>
    <s v="ROMERO NAVIA"/>
    <n v="573113644437"/>
    <n v="72355"/>
    <x v="2"/>
    <x v="0"/>
    <s v="Hasta el momento la marca me parece buena, lo único en que no estoy conforme es que presente una queja por el tema de autonomía, me dijeron que estaba bien, pero yo cargo la patineta y solo ando 20 kilómetros"/>
    <m/>
    <m/>
    <m/>
    <m/>
    <m/>
  </r>
  <r>
    <d v="2025-11-11T00:00:00"/>
    <x v="2"/>
    <x v="8"/>
    <s v="JOSE"/>
    <s v="OSORIO"/>
    <n v="573195393512"/>
    <n v="72894"/>
    <x v="3"/>
    <x v="0"/>
    <s v="Muy buen servicio, la patineta quedó súper bien, me encantó siempre todo con minca es excelente."/>
    <m/>
    <m/>
    <m/>
    <m/>
    <m/>
  </r>
  <r>
    <d v="2025-11-11T00:00:00"/>
    <x v="2"/>
    <x v="8"/>
    <s v="MARÍA CAMILA"/>
    <s v="GUTIÉRREZ GUTIÉRREZ"/>
    <n v="573166968395"/>
    <n v="71979"/>
    <x v="2"/>
    <x v="1"/>
    <s v="Me pusieron un display que nunca autorice cambiar (ni siquiera me dijeron que lo cambiarían) me di cuenta por el kilometraje y porque el mío tenía un rayón, si no es porque voy y muestro las evidencias me meten ese que aparte estaba dañado, y se hacen los locos los asesores, cómo si uno por ser mujer no conociera"/>
    <m/>
    <m/>
    <m/>
    <m/>
    <m/>
  </r>
  <r>
    <d v="2025-11-11T00:00:00"/>
    <x v="2"/>
    <x v="8"/>
    <s v="ANDRES FELIPE"/>
    <s v="BLANCO HERNANDEZ"/>
    <n v="573246847047"/>
    <n v="73231"/>
    <x v="3"/>
    <x v="0"/>
    <s v="Estoy muy contento con la atención q se me ha brindado en cedritos."/>
    <m/>
    <m/>
    <m/>
    <m/>
    <m/>
  </r>
  <r>
    <d v="2025-11-11T00:00:00"/>
    <x v="2"/>
    <x v="8"/>
    <s v="JOSE IGNACIO"/>
    <s v="CABALLERO CORREA"/>
    <n v="573004611137"/>
    <n v="72839"/>
    <x v="3"/>
    <x v="0"/>
    <m/>
    <m/>
    <m/>
    <m/>
    <m/>
    <m/>
  </r>
  <r>
    <d v="2025-11-11T00:00:00"/>
    <x v="2"/>
    <x v="8"/>
    <s v="DANIELA ALEJANDRA"/>
    <s v="PEREZ ARBOLEDA"/>
    <n v="573246324043"/>
    <n v="69286"/>
    <x v="3"/>
    <x v="0"/>
    <s v="La atención fue excelente, mi scooter quedó como nueva a diferencia de como la entregué después de un accidente, aunque tardó un poco entiendo que no siempre se tienen los repuestos al alcance. Estoy muy satisfecha con la atención"/>
    <m/>
    <m/>
    <m/>
    <m/>
    <m/>
  </r>
  <r>
    <d v="2025-11-11T00:00:00"/>
    <x v="2"/>
    <x v="8"/>
    <s v="JOSE ALEJANDRO"/>
    <s v="HELO GAVIRIA"/>
    <n v="573002120213"/>
    <n v="73124"/>
    <x v="3"/>
    <x v="0"/>
    <s v="Estoy conforme con el servicio prestado y el arreglo realizado. Esperemos que me dure el cambio de llanta que realizamos."/>
    <m/>
    <m/>
    <m/>
    <m/>
    <m/>
  </r>
  <r>
    <d v="2025-11-11T00:00:00"/>
    <x v="2"/>
    <x v="8"/>
    <s v="LUIS IGNACIO"/>
    <s v="FORERO MOLINA"/>
    <n v="573108754006"/>
    <n v="70096"/>
    <x v="3"/>
    <x v="1"/>
    <m/>
    <m/>
    <m/>
    <m/>
    <m/>
    <m/>
  </r>
  <r>
    <d v="2025-11-10T00:00:00"/>
    <x v="2"/>
    <x v="8"/>
    <s v="CRISTHIAN DAVID"/>
    <s v="NARVAEZ ACOSTA"/>
    <n v="573005410257"/>
    <n v="71628"/>
    <x v="2"/>
    <x v="0"/>
    <s v="Es importante que el personal de atención al cliente y el personal técnico estén alineados para no dar información incorrecta al cliente. En ocaciones la marca presenta fallas en esto"/>
    <m/>
    <m/>
    <m/>
    <m/>
    <m/>
  </r>
  <r>
    <d v="2025-11-10T00:00:00"/>
    <x v="2"/>
    <x v="8"/>
    <s v="JORGE DIEGO"/>
    <s v="GIRALDO CARDENAS"/>
    <n v="573024658487"/>
    <n v="72951"/>
    <x v="3"/>
    <x v="0"/>
    <s v="Me gusta la personalización que hay para cada inquietud"/>
    <m/>
    <m/>
    <m/>
    <m/>
    <m/>
  </r>
  <r>
    <d v="2025-11-10T00:00:00"/>
    <x v="2"/>
    <x v="8"/>
    <s v="ALEJANDRO"/>
    <s v="LOPEZ CAÑON"/>
    <n v="573168266115"/>
    <n v="71099"/>
    <x v="3"/>
    <x v="0"/>
    <s v="Al final no solucionaron completamente el problema, hicieron un pequeño arreglo pero me dieron buenas indicaciones de qué hacer con la patineta"/>
    <s v="No quiero recibir la Lanyard Minca"/>
    <m/>
    <s v="2025-11-11T09:10:12-05:00"/>
    <m/>
    <m/>
  </r>
  <r>
    <d v="2025-11-10T00:00:00"/>
    <x v="2"/>
    <x v="8"/>
    <s v="ALEXANDER"/>
    <s v="BARRAGAN FLOREZ"/>
    <n v="573138759277"/>
    <n v="70587"/>
    <x v="3"/>
    <x v="0"/>
    <s v="Muy buena"/>
    <m/>
    <m/>
    <m/>
    <m/>
    <m/>
  </r>
  <r>
    <d v="2025-11-10T00:00:00"/>
    <x v="2"/>
    <x v="8"/>
    <s v="LAURA CAMILA"/>
    <s v="BERMÚDEZ"/>
    <n v="573113560748"/>
    <n v="70294"/>
    <x v="2"/>
    <x v="0"/>
    <s v="Mejorar la solución de problemas, revisar sus patinetas antes de venderla a un cliente"/>
    <m/>
    <m/>
    <m/>
    <m/>
    <m/>
  </r>
  <r>
    <d v="2025-11-10T00:00:00"/>
    <x v="2"/>
    <x v="8"/>
    <s v="JULIAN DAVID"/>
    <s v="LOPEZ CABRERA"/>
    <n v="573242574853"/>
    <n v="72766"/>
    <x v="3"/>
    <x v="1"/>
    <s v="El mantenimiento que le hacen a las patinetas es excelente."/>
    <m/>
    <m/>
    <m/>
    <m/>
    <m/>
  </r>
  <r>
    <d v="2025-11-10T00:00:00"/>
    <x v="2"/>
    <x v="8"/>
    <s v="WEIFORT STIVEN"/>
    <s v="ALVAREZ VEGA"/>
    <n v="573004535064"/>
    <n v="73183"/>
    <x v="3"/>
    <x v="0"/>
    <s v="Me deja muy arrepentido el haber hecho una compra con su marca _x000a_Es muy oportunista el hacer el cobro de un mantenimiento a una patineta que ni siquiera lleva los 6 meses de garantía aparte de cobrarme hasta las despinchada que es  otras ocasiones me dijeron que no las cobraban _x000a_La patineta llevaba un guardabarros roto y está sin pastillas de frenos no era más pero se me hace excesivo el cobro no estoy nada contento y no entiendo cómo trabaja una empresa como ustedes donde nos les interese fidelizar su clientela y hagan este tipo de arbitrariedades"/>
    <m/>
    <m/>
    <m/>
    <m/>
    <m/>
  </r>
  <r>
    <d v="2025-11-10T00:00:00"/>
    <x v="2"/>
    <x v="8"/>
    <s v="GUILLERMO ANDRES"/>
    <s v="OSORIO VALDIRI"/>
    <n v="573174009435"/>
    <n v="73059"/>
    <x v="2"/>
    <x v="0"/>
    <s v="La atención al cliente y la calidad del trabajo en el taller de Avenida Chile es mala. Pagué $30.000 por una despinchada el pasado 31 de octubre y al día siguiente sin utilizarla amaneció desinflada la llanta. Tuve que llevarla al taller de Javeriana en donde tomaron registro fotográfico del hueco que tenía la llanta, pero me cobraron nuevamente por la despinchada esta vez $25.000. Elevé la queja el 1 de noviembre y no obtuve respuesta."/>
    <m/>
    <m/>
    <m/>
    <m/>
    <m/>
  </r>
  <r>
    <d v="2025-11-10T00:00:00"/>
    <x v="2"/>
    <x v="8"/>
    <s v="NADIA JHOANA"/>
    <s v="LOPEZ GAVIRIA"/>
    <n v="573245029672"/>
    <n v="70825"/>
    <x v="2"/>
    <x v="1"/>
    <s v="Quiero hablar con un asesor"/>
    <m/>
    <m/>
    <m/>
    <m/>
    <m/>
  </r>
  <r>
    <d v="2025-11-10T00:00:00"/>
    <x v="2"/>
    <x v="8"/>
    <s v="DIEGO ALEJANDRO"/>
    <s v="VELANDIA SUAREZ"/>
    <n v="573044601905"/>
    <n v="72992"/>
    <x v="3"/>
    <x v="1"/>
    <m/>
    <m/>
    <m/>
    <m/>
    <m/>
    <m/>
  </r>
  <r>
    <d v="2025-11-10T00:00:00"/>
    <x v="2"/>
    <x v="8"/>
    <s v="EDER LEONARDO"/>
    <s v="HERNANDEZ MONTENEGRO"/>
    <n v="573134598817"/>
    <n v="73126"/>
    <x v="3"/>
    <x v="0"/>
    <s v="muy buena atencion del muchacho"/>
    <m/>
    <m/>
    <m/>
    <m/>
    <m/>
  </r>
  <r>
    <d v="2025-11-10T00:00:00"/>
    <x v="2"/>
    <x v="8"/>
    <s v="ANGELICA MARIA"/>
    <s v="LEON CARDENAS"/>
    <n v="573213149178"/>
    <n v="72298"/>
    <x v="3"/>
    <x v="1"/>
    <s v="La rapidez en realizar y atender una solicitud es demasiado larga. Es lo único que estoy en desacuerdo con la marca."/>
    <m/>
    <m/>
    <m/>
    <m/>
    <m/>
  </r>
  <r>
    <d v="2025-11-10T00:00:00"/>
    <x v="2"/>
    <x v="8"/>
    <s v="OSCAR EDUARDO"/>
    <s v="GONZALEZ ROMERO"/>
    <n v="573174041548"/>
    <n v="72011"/>
    <x v="3"/>
    <x v="0"/>
    <s v="Compré está patineta por la diferencia de precio respecto a una sedway. Pero a la fecha he pagado mucho más dinero que la diferencia del valor de la otra marca. Es muy constante los arreglos, mantenimientos y ahora cambios de piezas que requiere la patineta. Finalmente de los temas presentados, nunca ofrecen una arreglo onreparacion, siempre es comprar la pieza nueva. De verdad que comparando a la anterior patineta que tenía, debo decir que regular la experiencia."/>
    <m/>
    <m/>
    <m/>
    <m/>
    <m/>
  </r>
  <r>
    <d v="2025-11-10T00:00:00"/>
    <x v="2"/>
    <x v="8"/>
    <s v="ANA MARIA"/>
    <s v="CAMACHO LOPEZ"/>
    <n v="573016471318"/>
    <n v="72456"/>
    <x v="2"/>
    <x v="2"/>
    <m/>
    <m/>
    <m/>
    <m/>
    <m/>
    <m/>
  </r>
  <r>
    <d v="2025-11-10T00:00:00"/>
    <x v="2"/>
    <x v="8"/>
    <s v="HUGO"/>
    <s v="SALAZAR CASTILLO"/>
    <n v="573108586719"/>
    <n v="72969"/>
    <x v="3"/>
    <x v="0"/>
    <s v="Siempre con un gran profesionalismo y compromiso..."/>
    <s v="Bayron Coronado"/>
    <m/>
    <s v="2025-11-10T14:32:41-05:00"/>
    <m/>
    <m/>
  </r>
  <r>
    <d v="2025-11-10T00:00:00"/>
    <x v="2"/>
    <x v="8"/>
    <s v="ANTONIO SANCHEZ"/>
    <s v="CHAUX"/>
    <n v="573232301851"/>
    <n v="72748"/>
    <x v="3"/>
    <x v="0"/>
    <s v="Muy buena atencion, excelente mantenimiento, la patineta quedo 10/10"/>
    <s v="María Alejandra Calderón"/>
    <m/>
    <s v="2025-11-10T11:50:39-05:00"/>
    <m/>
    <m/>
  </r>
  <r>
    <d v="2025-11-10T00:00:00"/>
    <x v="2"/>
    <x v="8"/>
    <s v="ANDRES"/>
    <s v="CURREA"/>
    <n v="573114664481"/>
    <n v="72608"/>
    <x v="3"/>
    <x v="0"/>
    <m/>
    <m/>
    <m/>
    <m/>
    <m/>
    <m/>
  </r>
  <r>
    <d v="2025-11-10T00:00:00"/>
    <x v="2"/>
    <x v="8"/>
    <s v="ANDRES"/>
    <s v="CURREA"/>
    <n v="573114664481"/>
    <n v="72608"/>
    <x v="3"/>
    <x v="0"/>
    <s v="Muy buena logística, puede que hayan cosas que mejorar, pero no cambio el taller Minca por ir a otro taller"/>
    <m/>
    <m/>
    <m/>
    <m/>
    <m/>
  </r>
  <r>
    <d v="2025-11-10T00:00:00"/>
    <x v="2"/>
    <x v="8"/>
    <s v="JOSÉ YOAN"/>
    <s v="REAY CAÑAS"/>
    <n v="573002836424"/>
    <n v="70818"/>
    <x v="3"/>
    <x v="0"/>
    <s v="Me gustaría que tuvieran horarios más extendidos ya que manejan puro horario de oficina y si la tienda no está abierta le toca a uno llevarla a otro taller para que le deben solucion"/>
    <s v="Angie Montoya"/>
    <m/>
    <s v="2025-11-11T10:27:45-05:00"/>
    <m/>
    <m/>
  </r>
  <r>
    <d v="2025-11-10T00:00:00"/>
    <x v="2"/>
    <x v="8"/>
    <s v="DIEGO ALEJANDRO"/>
    <s v="RAMIREZ LEAL"/>
    <n v="573142880408"/>
    <n v="72603"/>
    <x v="3"/>
    <x v="0"/>
    <s v="Buena experiencia , todo muy rápido y excelente servicio _x000a_Me gustaría que el taller fuera más grande y poder a tender más personas"/>
    <m/>
    <m/>
    <m/>
    <m/>
    <m/>
  </r>
  <r>
    <d v="2025-11-10T00:00:00"/>
    <x v="2"/>
    <x v="8"/>
    <s v="JUAN CAMILO"/>
    <s v="RUIZ"/>
    <n v="573208772722"/>
    <n v="72775"/>
    <x v="3"/>
    <x v="1"/>
    <m/>
    <m/>
    <m/>
    <m/>
    <m/>
    <m/>
  </r>
  <r>
    <d v="2025-11-08T00:00:00"/>
    <x v="2"/>
    <x v="9"/>
    <s v="CLAUDIA MARCELA"/>
    <s v="ROJAS FRANCO"/>
    <n v="573112970406"/>
    <n v="72650"/>
    <x v="3"/>
    <x v="0"/>
    <s v="Información oportuna del estado del mantenimiento y rapidez en el mismo"/>
    <m/>
    <m/>
    <m/>
    <m/>
    <m/>
  </r>
  <r>
    <d v="2025-11-08T00:00:00"/>
    <x v="2"/>
    <x v="9"/>
    <s v="ISABEL CRISTINA"/>
    <s v="VELASQUEZ ACEVEDO"/>
    <n v="573008713903"/>
    <n v="72440"/>
    <x v="3"/>
    <x v="2"/>
    <s v="Lleve la patineta el 30 de octubre a las 8:00 am al taller la avenida las Vegas en medellín. Me dijeron que eran dos días hábiles, apenas me enviaron la notificación de lo que se iba a arreglar el martes y hasta el viernes no estaba lista. Tuve que llamar al servicio al cliente para que me entregarán el sábado 8 de noviembre a las 12:30 pm y cuando llegué no estaba lista."/>
    <m/>
    <m/>
    <m/>
    <m/>
    <m/>
  </r>
  <r>
    <d v="2025-11-08T00:00:00"/>
    <x v="2"/>
    <x v="9"/>
    <s v="ALEJANDRA"/>
    <s v="SAAVEDRA"/>
    <n v="573132907901"/>
    <n v="72731"/>
    <x v="3"/>
    <x v="0"/>
    <s v="Lo mejor, fue rápido y me la entregaron como nueva mi Moped"/>
    <m/>
    <m/>
    <m/>
    <m/>
    <m/>
  </r>
  <r>
    <d v="2025-11-08T00:00:00"/>
    <x v="2"/>
    <x v="9"/>
    <s v="CHRISTIAN ANDRES"/>
    <s v="MARTINEZ GORDO"/>
    <n v="573144717779"/>
    <n v="72853"/>
    <x v="3"/>
    <x v="0"/>
    <s v="Muy buen trabajo!"/>
    <m/>
    <m/>
    <m/>
    <m/>
    <m/>
  </r>
  <r>
    <d v="2025-11-08T00:00:00"/>
    <x v="2"/>
    <x v="9"/>
    <s v="RODULFO ARMANDO"/>
    <s v="CASTIBLANCO CARRASCO"/>
    <n v="573005104421"/>
    <n v="72648"/>
    <x v="4"/>
    <x v="1"/>
    <s v="El trabajo que se debía hacer era sencilla y se demoró demasiado tiempo, ademas de ser costoso. Por otro lado es el colmo que no tengan los suministros necesarios para reparaciones básicas. Necesitaba el protector plástico de la pata de apoyo y no lo hubo. Pedí ademas una tapa plástica para la válvula de la llanta y tampoco la hubo. Son cosas muy simples que hacen que un servicio sea malo."/>
    <m/>
    <m/>
    <m/>
    <m/>
    <m/>
  </r>
  <r>
    <d v="2025-11-08T00:00:00"/>
    <x v="2"/>
    <x v="9"/>
    <s v="FERNANDO"/>
    <s v="HERNANDEZ ESPITIA"/>
    <n v="573133816940"/>
    <n v="72782"/>
    <x v="4"/>
    <x v="2"/>
    <s v="Mala lleve my patineta para cambio de frenos y me la entregaron con una falla en el displey la lleve y me devolvieron igual"/>
    <m/>
    <m/>
    <m/>
    <m/>
    <m/>
  </r>
  <r>
    <d v="2025-11-08T00:00:00"/>
    <x v="2"/>
    <x v="9"/>
    <s v="ISABEL"/>
    <s v="RUIZ RUIZ"/>
    <n v="573202938846"/>
    <n v="71217"/>
    <x v="4"/>
    <x v="2"/>
    <s v="Contratar personal calificado y con experiencia"/>
    <m/>
    <m/>
    <m/>
    <m/>
    <m/>
  </r>
  <r>
    <d v="2025-11-08T00:00:00"/>
    <x v="2"/>
    <x v="9"/>
    <s v="DAVID"/>
    <s v="ESTEFENN DIAZGRANADOS"/>
    <n v="573105609028"/>
    <n v="72829"/>
    <x v="3"/>
    <x v="0"/>
    <s v="Muy buen servicio, rápido y organizado"/>
    <s v="BRAYAN Ramírez"/>
    <m/>
    <s v="2025-11-08T11:53:43-05:00"/>
    <m/>
    <m/>
  </r>
  <r>
    <d v="2025-11-08T00:00:00"/>
    <x v="2"/>
    <x v="9"/>
    <s v="JESUS ALFONSO"/>
    <s v="GOMEZ HORTUA"/>
    <n v="573002678218"/>
    <n v="72929"/>
    <x v="3"/>
    <x v="0"/>
    <s v="No cambio el servicio de minca por nada!"/>
    <m/>
    <m/>
    <m/>
    <m/>
    <m/>
  </r>
  <r>
    <d v="2025-11-08T00:00:00"/>
    <x v="2"/>
    <x v="9"/>
    <s v="HERNANDO"/>
    <s v="OVALLE ROMERO"/>
    <n v="573208336942"/>
    <n v="73041"/>
    <x v="3"/>
    <x v="0"/>
    <s v="La atención me pareció muy buena solo que a veces la información se da de manera no clara ni completa a lo que se asume un valor  de pago o acuerdo y después tiene que pagar más por el servicio._x000a_Se debe avisar al cliente el servicio completo para así saber cuánto se debe pagar como valor final. Gracias"/>
    <m/>
    <m/>
    <m/>
    <m/>
    <m/>
  </r>
  <r>
    <d v="2025-11-08T00:00:00"/>
    <x v="2"/>
    <x v="9"/>
    <s v="JUAN MANUEL"/>
    <s v="CUELLAR"/>
    <n v="573213185063"/>
    <n v="71597"/>
    <x v="2"/>
    <x v="0"/>
    <s v="El servicio a la entrada de lampatineta es excelente, pero la patineta quedó muy reajustada"/>
    <m/>
    <m/>
    <m/>
    <m/>
    <m/>
  </r>
  <r>
    <d v="2025-11-08T00:00:00"/>
    <x v="2"/>
    <x v="9"/>
    <s v="CARLOS GEOVANY"/>
    <s v="RODRIGUEZ BARBOSA"/>
    <n v="573115921698"/>
    <n v="72770"/>
    <x v="3"/>
    <x v="0"/>
    <s v="Dependiendo de cada dictamen de daño, este se debe de hacer en un tiempo más corto el arreglo, para su entrega Gracias"/>
    <m/>
    <m/>
    <m/>
    <m/>
    <m/>
  </r>
  <r>
    <d v="2025-11-07T00:00:00"/>
    <x v="2"/>
    <x v="9"/>
    <s v="MARCELA"/>
    <s v="MENDOZA"/>
    <n v="573014160330"/>
    <n v="72903"/>
    <x v="3"/>
    <x v="0"/>
    <s v="Servicio rápido, de calidad y buena atención"/>
    <m/>
    <m/>
    <m/>
    <m/>
    <m/>
  </r>
  <r>
    <d v="2025-11-07T00:00:00"/>
    <x v="2"/>
    <x v="9"/>
    <s v="ORLANDO CRUZ"/>
    <s v="MARTINEZ"/>
    <n v="573107710918"/>
    <n v="72619"/>
    <x v="3"/>
    <x v="1"/>
    <s v="Mejor atención cuando es presencial"/>
    <m/>
    <m/>
    <m/>
    <m/>
    <m/>
  </r>
  <r>
    <d v="2025-11-07T00:00:00"/>
    <x v="2"/>
    <x v="9"/>
    <s v="KAREN YULICSA"/>
    <s v="KAREN YULICSA"/>
    <n v="573016446022"/>
    <n v="72423"/>
    <x v="3"/>
    <x v="0"/>
    <m/>
    <m/>
    <m/>
    <m/>
    <m/>
    <m/>
  </r>
  <r>
    <d v="2025-11-07T00:00:00"/>
    <x v="2"/>
    <x v="9"/>
    <s v="IVAN MAURICIO"/>
    <s v="ACOSTA TOVAR"/>
    <n v="573118239488"/>
    <n v="72754"/>
    <x v="3"/>
    <x v="0"/>
    <s v="Excelente servicio y solución"/>
    <m/>
    <m/>
    <m/>
    <m/>
    <m/>
  </r>
  <r>
    <d v="2025-11-07T00:00:00"/>
    <x v="2"/>
    <x v="9"/>
    <s v="DANIEL ALFONSO"/>
    <s v="RODRIGUEZ CHAPARRO"/>
    <n v="573134018611"/>
    <n v="72939"/>
    <x v="3"/>
    <x v="0"/>
    <s v="Me siento satisfecho con el servicio prestado"/>
    <m/>
    <m/>
    <m/>
    <m/>
    <m/>
  </r>
  <r>
    <d v="2025-11-07T00:00:00"/>
    <x v="2"/>
    <x v="9"/>
    <s v="JESSICA ANDREA"/>
    <s v="ALVIRA PARDO"/>
    <n v="573244759897"/>
    <n v="72938"/>
    <x v="3"/>
    <x v="0"/>
    <m/>
    <m/>
    <m/>
    <m/>
    <m/>
    <m/>
  </r>
  <r>
    <d v="2025-11-07T00:00:00"/>
    <x v="2"/>
    <x v="9"/>
    <s v="JESSICA"/>
    <s v="HERRERA HERRERA"/>
    <n v="573144286571"/>
    <n v="72941"/>
    <x v="3"/>
    <x v="0"/>
    <s v="Siempre me va muy bien y el servicio de Angie es el mejor!!!! aunq bueno, todos en general, pero ella es muy pila y explica muy bien todo!!! Gracias"/>
    <m/>
    <m/>
    <m/>
    <m/>
    <m/>
  </r>
  <r>
    <d v="2025-11-07T00:00:00"/>
    <x v="2"/>
    <x v="9"/>
    <s v="JUAN ALEXANDER"/>
    <s v="ALONSO RUIZ"/>
    <n v="573142855623"/>
    <n v="72138"/>
    <x v="3"/>
    <x v="0"/>
    <s v="La atención es buena gracias"/>
    <m/>
    <m/>
    <m/>
    <m/>
    <m/>
  </r>
  <r>
    <d v="2025-11-07T00:00:00"/>
    <x v="2"/>
    <x v="9"/>
    <s v="ANDRES FABIAN"/>
    <s v="BURGOS VANEGAS"/>
    <n v="573114530516"/>
    <n v="72471"/>
    <x v="3"/>
    <x v="0"/>
    <m/>
    <m/>
    <m/>
    <m/>
    <m/>
    <m/>
  </r>
  <r>
    <d v="2025-11-07T00:00:00"/>
    <x v="2"/>
    <x v="9"/>
    <s v="ANDREA"/>
    <s v="VALENCIA TORRES"/>
    <n v="573005608494"/>
    <n v="72628"/>
    <x v="3"/>
    <x v="0"/>
    <s v="Hasta el momento ha sido muy bueno, el taller de la Javeriana es muy bueno y atienden muy bien"/>
    <m/>
    <m/>
    <m/>
    <m/>
    <m/>
  </r>
  <r>
    <d v="2025-11-07T00:00:00"/>
    <x v="2"/>
    <x v="9"/>
    <s v="SANTIAGO"/>
    <s v="VELÁSQUEZ"/>
    <n v="573183068543"/>
    <n v="72837"/>
    <x v="3"/>
    <x v="0"/>
    <m/>
    <m/>
    <m/>
    <m/>
    <m/>
    <m/>
  </r>
  <r>
    <d v="2025-11-07T00:00:00"/>
    <x v="2"/>
    <x v="9"/>
    <s v="JEYSON STIVEN"/>
    <s v="GAMA MESA"/>
    <n v="573195415893"/>
    <n v="72931"/>
    <x v="3"/>
    <x v="0"/>
    <m/>
    <m/>
    <m/>
    <m/>
    <m/>
    <m/>
  </r>
  <r>
    <d v="2025-11-07T00:00:00"/>
    <x v="2"/>
    <x v="9"/>
    <s v="MAURICIO"/>
    <s v="REYES"/>
    <n v="573002167577"/>
    <n v="72803"/>
    <x v="3"/>
    <x v="0"/>
    <s v="Servicio muy rapido"/>
    <m/>
    <m/>
    <m/>
    <m/>
    <m/>
  </r>
  <r>
    <d v="2025-11-07T00:00:00"/>
    <x v="2"/>
    <x v="9"/>
    <s v="DAVID FELIPE"/>
    <s v="SANCHEZ MARTINEZ"/>
    <n v="573138780477"/>
    <n v="72024"/>
    <x v="2"/>
    <x v="0"/>
    <s v="Estuvo bien, pero no entiendo por qué envían la notificación de que está la patineta 20 minutos antes de que cierren la tienda."/>
    <m/>
    <m/>
    <m/>
    <m/>
    <m/>
  </r>
  <r>
    <d v="2025-11-07T00:00:00"/>
    <x v="2"/>
    <x v="9"/>
    <s v="DAVID"/>
    <s v="PROCEL"/>
    <n v="573213941724"/>
    <n v="72870"/>
    <x v="4"/>
    <x v="1"/>
    <m/>
    <m/>
    <m/>
    <m/>
    <m/>
    <m/>
  </r>
  <r>
    <d v="2025-11-06T00:00:00"/>
    <x v="2"/>
    <x v="9"/>
    <s v="YEIMI DAYANA"/>
    <s v="LOPERA ROMERO"/>
    <n v="573132256672"/>
    <n v="72500"/>
    <x v="2"/>
    <x v="0"/>
    <s v="La atención inicial no fue mala, pero no toman apuntes de la totalidad de solicitudes de revisión que se les pide. En esta ocasión llevé mi patineta el jueves 30 de octubre y me la entregaron hoy jueves 6 de noviembre 1 semana después cuando me dijeron que la entregaban el martes y solicitaron autorización de la orden el sábado en la mañana. El martes si no les escribo que la orden estaba autorizada desde el sábado y aparecía sin autorización no sé cuántos días más se hubiesen demorado. Creo que deben pensar más en los usuarios porque si se les hace un requerimiento de revisión es por algo no por cansones, sino porque de verdad uno que anda en ellas todos los días ya conoce su vehículo. Esas demoras representan para las personas que las usamos como medio de transporte gastos adicionales en taxis buses u otros medios. Además de que cuando entregan la patineta uno se da cuenta que tienen cosas por ejemplo la recogí y la revisé y tenía en el protector de la llanta de adelante silicona untada de la impermeabilización y el freno izquierdo estaba botando un líquido. Cuando la ande tenía un sonido raro como de rose con el freno de atrás entonces la verdad ya me ha pasado que las dos veces que la he llevado a Cedritos he tenido inconvenientes con tiempos de entrega y resultado. Porque siempre le queda algo raro o me toca llevarla a que la ajusten, y el tema esq no dejan eso como historial lo cual me parece tenaz."/>
    <m/>
    <m/>
    <m/>
    <m/>
    <m/>
  </r>
  <r>
    <d v="2025-11-06T00:00:00"/>
    <x v="2"/>
    <x v="9"/>
    <s v="JUAN CAMILO"/>
    <s v="DIAZ"/>
    <n v="573164990171"/>
    <n v="72519"/>
    <x v="4"/>
    <x v="0"/>
    <m/>
    <m/>
    <m/>
    <m/>
    <m/>
    <m/>
  </r>
  <r>
    <d v="2025-11-06T00:00:00"/>
    <x v="2"/>
    <x v="9"/>
    <s v="MICHELLE"/>
    <s v="AÑEZ PLATA"/>
    <n v="573123208418"/>
    <n v="71203"/>
    <x v="2"/>
    <x v="0"/>
    <s v="Las patinetas son de buena calidad, la atención del personal en el taller y showroom es amable y servicial, sin embargo la calidad y rapidez de las respuestas vía WhatsApp no es clara, rápida ni óptima, aún hay mucho que mejorar en este aspecto. La marca en general es buena."/>
    <m/>
    <m/>
    <m/>
    <m/>
    <m/>
  </r>
  <r>
    <d v="2025-11-06T00:00:00"/>
    <x v="2"/>
    <x v="9"/>
    <s v="JOSE LUIS"/>
    <s v="TAMI ARDILA"/>
    <n v="573209607071"/>
    <n v="71750"/>
    <x v="3"/>
    <x v="0"/>
    <s v="No tuve inconvenientes esta vez"/>
    <m/>
    <m/>
    <m/>
    <m/>
    <m/>
  </r>
  <r>
    <d v="2025-11-06T00:00:00"/>
    <x v="2"/>
    <x v="9"/>
    <s v="NESTOR"/>
    <s v="GUTIERREZ MEJIA"/>
    <n v="573176549998"/>
    <n v="72566"/>
    <x v="2"/>
    <x v="1"/>
    <s v="Alto potencial de la marca pobre respuesta en servicio al cliente. Atencion regular. Respuesta tecnica pobre a deficiente. Experiencia. Muy poco recomendable"/>
    <m/>
    <m/>
    <m/>
    <m/>
    <m/>
  </r>
  <r>
    <d v="2025-11-06T00:00:00"/>
    <x v="2"/>
    <x v="9"/>
    <s v="FABIÁN"/>
    <s v="BARRAGAN  SARAÍ"/>
    <n v="573204585298"/>
    <n v="72643"/>
    <x v="3"/>
    <x v="0"/>
    <s v="Todo a salido bien"/>
    <m/>
    <m/>
    <m/>
    <m/>
    <m/>
  </r>
  <r>
    <d v="2025-11-06T00:00:00"/>
    <x v="2"/>
    <x v="9"/>
    <s v="FABIAN"/>
    <s v="MAZA"/>
    <n v="573156829189"/>
    <n v="71250"/>
    <x v="3"/>
    <x v="0"/>
    <s v="Me ha parecido fabuloso el servicio que me ha prestado MINCA acuerdo a soporte técnicos _x000a_Súper recomendados _x000a_Muy profesionales _x000a_Excelente servicio al cliente"/>
    <m/>
    <m/>
    <m/>
    <m/>
    <m/>
  </r>
  <r>
    <d v="2025-11-06T00:00:00"/>
    <x v="2"/>
    <x v="9"/>
    <s v="JUAN SEBASTIAN"/>
    <s v="GÓMEZ SÁNCHEZ"/>
    <n v="573182369842"/>
    <n v="72445"/>
    <x v="3"/>
    <x v="0"/>
    <s v="Asesoría como atención son demasiado buenas y los resultados del mantenimiento excelentes"/>
    <m/>
    <m/>
    <m/>
    <m/>
    <m/>
  </r>
  <r>
    <d v="2025-11-06T00:00:00"/>
    <x v="2"/>
    <x v="9"/>
    <s v="SANTIAGO ALBERTO"/>
    <s v="LEIVA PIÑEROS"/>
    <n v="573212384073"/>
    <n v="72675"/>
    <x v="3"/>
    <x v="0"/>
    <s v="Servicio eficaz, respuestas rápidas y claridad en las indicaciones y precios"/>
    <m/>
    <m/>
    <m/>
    <m/>
    <m/>
  </r>
  <r>
    <d v="2025-11-06T00:00:00"/>
    <x v="2"/>
    <x v="9"/>
    <s v="DAVID CAMILO"/>
    <s v="BERNAL FORERO"/>
    <n v="573057344803"/>
    <n v="72719"/>
    <x v="3"/>
    <x v="0"/>
    <s v="Corrigieron problema del rincón que tenia, la entregaron limpia"/>
    <m/>
    <m/>
    <m/>
    <m/>
    <m/>
  </r>
  <r>
    <d v="2025-11-06T00:00:00"/>
    <x v="2"/>
    <x v="9"/>
    <s v="LEYDI YURID"/>
    <s v="PINEDA CAMACHO"/>
    <n v="573153604331"/>
    <n v="72792"/>
    <x v="3"/>
    <x v="0"/>
    <s v="Buen servicio y atención gracias"/>
    <m/>
    <m/>
    <m/>
    <m/>
    <m/>
  </r>
  <r>
    <d v="2025-11-06T00:00:00"/>
    <x v="2"/>
    <x v="9"/>
    <s v="MARIA ALEXANDRA"/>
    <s v="LUGO TORRES"/>
    <n v="573104053804"/>
    <n v="72885"/>
    <x v="3"/>
    <x v="0"/>
    <m/>
    <m/>
    <m/>
    <m/>
    <m/>
    <m/>
  </r>
  <r>
    <d v="2025-11-06T00:00:00"/>
    <x v="2"/>
    <x v="9"/>
    <s v="LUIS FELIPE"/>
    <s v="JARAMILLO GIRALDO"/>
    <n v="573103743113"/>
    <n v="72892"/>
    <x v="3"/>
    <x v="0"/>
    <s v="Es muy bueno el servicio. _x000a__x000a_La tienda es agradable"/>
    <m/>
    <m/>
    <m/>
    <m/>
    <m/>
  </r>
  <r>
    <d v="2025-11-06T00:00:00"/>
    <x v="2"/>
    <x v="9"/>
    <m/>
    <m/>
    <n v="573042829696"/>
    <m/>
    <x v="3"/>
    <x v="0"/>
    <s v="Me encanta Minca 100%"/>
    <m/>
    <m/>
    <m/>
    <m/>
    <m/>
  </r>
  <r>
    <d v="2025-11-06T00:00:00"/>
    <x v="2"/>
    <x v="9"/>
    <s v="JUAN CAMILO"/>
    <s v="CIFUENTES ORTIZ"/>
    <n v="573204672810"/>
    <n v="71145"/>
    <x v="3"/>
    <x v="0"/>
    <m/>
    <m/>
    <m/>
    <m/>
    <m/>
    <m/>
  </r>
  <r>
    <d v="2025-11-06T00:00:00"/>
    <x v="2"/>
    <x v="9"/>
    <s v="DAVID ERNESTO"/>
    <s v="ARGUELLO RUIZ"/>
    <n v="573208070424"/>
    <n v="72067"/>
    <x v="3"/>
    <x v="0"/>
    <s v="Me agrada el respaldo de la marca con el taller, si bien, me he dado cuenta que algunos talleres son más llenos que otros me gusta que siempre me tengan informado sobre lo que ocurre"/>
    <m/>
    <m/>
    <m/>
    <m/>
    <m/>
  </r>
  <r>
    <d v="2025-11-05T00:00:00"/>
    <x v="2"/>
    <x v="9"/>
    <s v="ANDRES"/>
    <s v="ARIAS"/>
    <n v="573219439424"/>
    <n v="72771"/>
    <x v="3"/>
    <x v="0"/>
    <s v="Me parece estupendo el sistema de atención y constante comunicación con el cliente. Todo online"/>
    <m/>
    <m/>
    <m/>
    <m/>
    <m/>
  </r>
  <r>
    <d v="2025-11-05T00:00:00"/>
    <x v="2"/>
    <x v="9"/>
    <s v="DANIEL EDUARDO"/>
    <s v="CUENCA ROJAS"/>
    <n v="573152534866"/>
    <n v="72618"/>
    <x v="3"/>
    <x v="0"/>
    <s v="Buena la atención y servicio pero no me respondieron por la luz trasera de la patineta y servicio cae"/>
    <m/>
    <m/>
    <m/>
    <m/>
    <m/>
  </r>
  <r>
    <d v="2025-11-05T00:00:00"/>
    <x v="2"/>
    <x v="9"/>
    <s v="JUAN SEBASTIAN"/>
    <s v="RESTREPO LUNA"/>
    <n v="573006016232"/>
    <n v="72353"/>
    <x v="3"/>
    <x v="0"/>
    <s v="Antes se me demoraba un dia o maximo dos dias y esta vez se demoró una semana completa"/>
    <m/>
    <m/>
    <m/>
    <m/>
    <m/>
  </r>
  <r>
    <d v="2025-11-05T00:00:00"/>
    <x v="2"/>
    <x v="9"/>
    <s v="JOHN JAIRO"/>
    <s v="GOMEZ MEJIA"/>
    <n v="573154715620"/>
    <n v="72622"/>
    <x v="3"/>
    <x v="2"/>
    <s v="Buen producto, mal servicio"/>
    <m/>
    <m/>
    <m/>
    <m/>
    <m/>
  </r>
  <r>
    <d v="2025-11-05T00:00:00"/>
    <x v="2"/>
    <x v="9"/>
    <s v="NELSON"/>
    <s v="OVALLE"/>
    <n v="573162344810"/>
    <n v="71990"/>
    <x v="3"/>
    <x v="0"/>
    <s v="Excelente servicio post-venta"/>
    <m/>
    <m/>
    <m/>
    <m/>
    <m/>
  </r>
  <r>
    <d v="2025-11-05T00:00:00"/>
    <x v="2"/>
    <x v="9"/>
    <s v="LUISA FERNANDA"/>
    <s v="FAJARDO SALAZAR"/>
    <n v="573214888875"/>
    <n v="72509"/>
    <x v="3"/>
    <x v="0"/>
    <s v="Estuvieron súper pendientes y me dieron actualizaciones del estado de mi moped. De verdad que ha sido la mejor decisión haber comprado con ustedes. Los mejores!"/>
    <m/>
    <m/>
    <m/>
    <m/>
    <m/>
  </r>
  <r>
    <d v="2025-11-05T00:00:00"/>
    <x v="2"/>
    <x v="9"/>
    <s v="PETO"/>
    <s v="PRIETO"/>
    <n v="573115736028"/>
    <n v="72479"/>
    <x v="3"/>
    <x v="0"/>
    <s v="Excelente atención"/>
    <m/>
    <m/>
    <m/>
    <m/>
    <m/>
  </r>
  <r>
    <d v="2025-11-04T00:00:00"/>
    <x v="2"/>
    <x v="9"/>
    <s v="JULIAN"/>
    <s v="MALDONADO"/>
    <n v="573144503272"/>
    <n v="72398"/>
    <x v="3"/>
    <x v="0"/>
    <s v="Los de la recepción podrían ser más amables."/>
    <m/>
    <m/>
    <m/>
    <m/>
    <m/>
  </r>
  <r>
    <d v="2025-11-04T00:00:00"/>
    <x v="2"/>
    <x v="9"/>
    <s v="SERGIO ALEJANDRO"/>
    <s v="ASEVEDO"/>
    <n v="573123434274"/>
    <n v="72674"/>
    <x v="3"/>
    <x v="0"/>
    <s v="Espectacular, muy feliz con mi patineta"/>
    <m/>
    <m/>
    <m/>
    <m/>
    <m/>
  </r>
  <r>
    <d v="2025-11-04T00:00:00"/>
    <x v="2"/>
    <x v="9"/>
    <s v="DORIS LORENA"/>
    <s v="SANCHEZ GONZALEZ"/>
    <n v="573202502115"/>
    <n v="72249"/>
    <x v="2"/>
    <x v="0"/>
    <s v="El mantenimiento para la moneda duró 8 días Me pareció mucho tiempo."/>
    <m/>
    <m/>
    <m/>
    <m/>
    <m/>
  </r>
  <r>
    <d v="2025-11-04T00:00:00"/>
    <x v="2"/>
    <x v="9"/>
    <s v="ALEJANDRO"/>
    <s v="BORDA SUAREZ"/>
    <n v="573017727148"/>
    <n v="72540"/>
    <x v="3"/>
    <x v="0"/>
    <s v="Muy buen trabajo, todos muy queridos. _x000a_Los repuestos son un poco costosos pero en general muy bien. _x000a_Entusiasmado por adquirir pronto los nuevos modelos."/>
    <m/>
    <m/>
    <m/>
    <m/>
    <m/>
  </r>
  <r>
    <d v="2025-11-04T00:00:00"/>
    <x v="2"/>
    <x v="9"/>
    <s v="ANDRES"/>
    <s v="MAYORGA GUTIERREZ"/>
    <n v="573134290257"/>
    <n v="72524"/>
    <x v="3"/>
    <x v="0"/>
    <s v="Los mantenimientos hacen lucir el vehículo como nuevo. Muchas gracias"/>
    <m/>
    <m/>
    <m/>
    <m/>
    <m/>
  </r>
  <r>
    <d v="2025-11-04T00:00:00"/>
    <x v="2"/>
    <x v="9"/>
    <s v="SANDRA LILIANA"/>
    <s v="SUAREZ ROJAS"/>
    <n v="573233052277"/>
    <n v="72721"/>
    <x v="3"/>
    <x v="0"/>
    <s v="Buena experiencia"/>
    <m/>
    <m/>
    <m/>
    <m/>
    <m/>
  </r>
  <r>
    <d v="2025-11-04T00:00:00"/>
    <x v="2"/>
    <x v="9"/>
    <s v="JUAN SEBASTIÁN"/>
    <s v="PATIÑO SALAZAR"/>
    <n v="573142907799"/>
    <n v="71754"/>
    <x v="3"/>
    <x v="1"/>
    <s v="Los asesores deberían saber manejar todos los medios de pagos que Minca ofrece, incluyendo, Addi, y la actitud para servir a la gente debería ser más positiva"/>
    <m/>
    <m/>
    <m/>
    <m/>
    <m/>
  </r>
  <r>
    <d v="2025-11-04T00:00:00"/>
    <x v="2"/>
    <x v="9"/>
    <s v="MAURICIO"/>
    <s v="MARTIN"/>
    <n v="573125231696"/>
    <n v="72280"/>
    <x v="3"/>
    <x v="0"/>
    <s v="Me ha gustado bastante la marca tanto así que cuando me hurtaron la primera no dudé en volverla a comprar inmediatamente muy contento con la marca."/>
    <m/>
    <m/>
    <m/>
    <m/>
    <m/>
  </r>
  <r>
    <d v="2025-11-04T00:00:00"/>
    <x v="2"/>
    <x v="9"/>
    <s v="JULIAN"/>
    <s v="VISCANO"/>
    <n v="573115135655"/>
    <n v="72522"/>
    <x v="3"/>
    <x v="0"/>
    <s v="Paola de  atención servicio técnico de la Javeriana, excelente servicio da gusto q lo atiendan a uno así"/>
    <m/>
    <m/>
    <m/>
    <m/>
    <m/>
  </r>
  <r>
    <d v="2025-11-04T00:00:00"/>
    <x v="2"/>
    <x v="9"/>
    <s v="JAIRO ALONSO"/>
    <s v="BOTERO  DUQUE"/>
    <n v="573007618472"/>
    <n v="72218"/>
    <x v="3"/>
    <x v="0"/>
    <s v="La verdad hasta el momento estoy contento con la patineta, y es en gran medida ppr dos razones._x000a_1 la calidad del equipo como la forma de conseguir los repuestos con la tienda fue relativame te facil._x000a_2. El servicio postventa me ha parecido excelente en calidad y con precios justos para tener el equipo siempre al dia._x000a_Por esto estoy satisfecho con mi producto y su servicio"/>
    <m/>
    <m/>
    <m/>
    <m/>
    <m/>
  </r>
  <r>
    <d v="2025-11-04T00:00:00"/>
    <x v="2"/>
    <x v="9"/>
    <s v="TOMAS"/>
    <s v="PEÑA VALENZUELA"/>
    <n v="573102984133"/>
    <n v="72570"/>
    <x v="3"/>
    <x v="0"/>
    <s v="Gracias por la atención al recibir la patineta. El  señor muy amable, claro y con el tiempo para explicarme q le iba a hacer a la patineta. _x000a_La atención por el whapp también oportuna y rápida._x000a_La patineta estaba perfecta en el momento q me la entregaron, con los arreglos acordados."/>
    <m/>
    <m/>
    <m/>
    <m/>
    <m/>
  </r>
  <r>
    <d v="2025-11-04T00:00:00"/>
    <x v="2"/>
    <x v="9"/>
    <s v="JUAN DANIEL"/>
    <s v="HOYOS GIRALDO"/>
    <n v="573004800917"/>
    <n v="72172"/>
    <x v="3"/>
    <x v="0"/>
    <s v="Ok"/>
    <m/>
    <m/>
    <m/>
    <m/>
    <m/>
  </r>
  <r>
    <d v="2025-11-04T00:00:00"/>
    <x v="2"/>
    <x v="9"/>
    <s v="YENNY JOHANNA"/>
    <s v="ARAUJO PATERNINA"/>
    <n v="573205020252"/>
    <n v="71742"/>
    <x v="3"/>
    <x v="0"/>
    <s v="La verdad, tiene mucho que mejorar en los equipos, dado que el cliente no siempre es e responsable de las averías de la patineta"/>
    <m/>
    <m/>
    <m/>
    <m/>
    <m/>
  </r>
  <r>
    <d v="2025-11-04T00:00:00"/>
    <x v="2"/>
    <x v="9"/>
    <s v="ANDRES CAYETANO"/>
    <s v="PRIETO"/>
    <n v="573150525074"/>
    <n v="72515"/>
    <x v="3"/>
    <x v="0"/>
    <s v="Esta vez me fue mejor que las veces pasadas"/>
    <m/>
    <m/>
    <m/>
    <m/>
    <m/>
  </r>
  <r>
    <d v="2025-11-04T00:00:00"/>
    <x v="2"/>
    <x v="9"/>
    <s v="OSCAR JAVIER"/>
    <s v="BUIITRAGO GUIOT"/>
    <n v="573132151426"/>
    <n v="72545"/>
    <x v="3"/>
    <x v="0"/>
    <s v="No bajen la calidad."/>
    <m/>
    <m/>
    <m/>
    <m/>
    <m/>
  </r>
  <r>
    <d v="2025-11-04T00:00:00"/>
    <x v="2"/>
    <x v="9"/>
    <s v="JUAN CARLOS"/>
    <s v="DEBOURG MIRANDA"/>
    <n v="573023429127"/>
    <n v="72506"/>
    <x v="3"/>
    <x v="0"/>
    <s v="Todo excelente por el momento"/>
    <m/>
    <m/>
    <m/>
    <m/>
    <m/>
  </r>
  <r>
    <d v="2025-11-01T00:00:00"/>
    <x v="2"/>
    <x v="10"/>
    <s v="DAVID ESTEBAN"/>
    <s v="DIAZ CASTRO"/>
    <n v="573134843700"/>
    <n v="72611"/>
    <x v="3"/>
    <x v="0"/>
    <m/>
    <m/>
    <m/>
    <m/>
    <m/>
    <m/>
  </r>
  <r>
    <d v="2025-11-01T00:00:00"/>
    <x v="2"/>
    <x v="10"/>
    <s v="CARLOS ANDRES"/>
    <s v="PEREZ OSORIO"/>
    <n v="573134262302"/>
    <n v="72647"/>
    <x v="3"/>
    <x v="0"/>
    <s v="Excelente atención y servicio, la patineta está en excelentes condiciones"/>
    <m/>
    <m/>
    <m/>
    <m/>
    <m/>
  </r>
  <r>
    <d v="2025-11-01T00:00:00"/>
    <x v="2"/>
    <x v="10"/>
    <s v="JUAN CAMILO"/>
    <s v="ROMERO RIVERA"/>
    <n v="573024297225"/>
    <n v="72595"/>
    <x v="3"/>
    <x v="0"/>
    <s v="Me ha gustado, pero compré la patineta antes de que saliera la nueva! creo q use debieron decirme que iban a renovar la imagen antes de invertir en una versión anterior"/>
    <m/>
    <m/>
    <m/>
    <m/>
    <m/>
  </r>
  <r>
    <d v="2025-11-01T00:00:00"/>
    <x v="2"/>
    <x v="10"/>
    <s v="ANDREA"/>
    <s v="FRIAS  DELGADILLO"/>
    <n v="573203985117"/>
    <n v="72278"/>
    <x v="3"/>
    <x v="0"/>
    <m/>
    <m/>
    <m/>
    <m/>
    <m/>
    <m/>
  </r>
  <r>
    <d v="2025-11-01T00:00:00"/>
    <x v="2"/>
    <x v="10"/>
    <s v="WALTER"/>
    <s v="ROZO"/>
    <n v="573017496991"/>
    <n v="71700"/>
    <x v="3"/>
    <x v="0"/>
    <m/>
    <m/>
    <m/>
    <m/>
    <m/>
    <m/>
  </r>
  <r>
    <d v="2025-11-01T00:00:00"/>
    <x v="2"/>
    <x v="10"/>
    <s v="VANESSA IVETH"/>
    <s v="FUERTES GARCIA"/>
    <n v="573016171068"/>
    <n v="72122"/>
    <x v="3"/>
    <x v="0"/>
    <s v="Su servicio de mantenimiento es bueno, pero lento."/>
    <m/>
    <m/>
    <m/>
    <m/>
    <m/>
  </r>
  <r>
    <d v="2025-11-01T00:00:00"/>
    <x v="2"/>
    <x v="10"/>
    <s v="EDGAR NICOLAS"/>
    <s v="RODRIGUEZ MORALES"/>
    <n v="573197063498"/>
    <n v="72526"/>
    <x v="3"/>
    <x v="0"/>
    <s v="Bastante eficiente y cordial la atención"/>
    <m/>
    <m/>
    <m/>
    <m/>
    <m/>
  </r>
  <r>
    <d v="2025-11-01T00:00:00"/>
    <x v="2"/>
    <x v="10"/>
    <s v="CARLOS ANDRES"/>
    <s v="TORRES ALVARADO"/>
    <n v="573112202309"/>
    <n v="70973"/>
    <x v="3"/>
    <x v="0"/>
    <s v="Gracias"/>
    <m/>
    <m/>
    <m/>
    <m/>
    <m/>
  </r>
  <r>
    <d v="2025-11-01T00:00:00"/>
    <x v="2"/>
    <x v="10"/>
    <s v="SEBASTIAN"/>
    <s v="HELENO"/>
    <n v="573204738571"/>
    <n v="72391"/>
    <x v="4"/>
    <x v="1"/>
    <m/>
    <m/>
    <m/>
    <m/>
    <m/>
    <m/>
  </r>
  <r>
    <d v="2025-11-01T00:00:00"/>
    <x v="2"/>
    <x v="10"/>
    <s v="YONEYBER"/>
    <s v="HORMAZA ROA"/>
    <n v="573197905928"/>
    <n v="72574"/>
    <x v="3"/>
    <x v="0"/>
    <s v="Excelente la entrega con la patineta limpia y con mantenimiento si no es mucha la molestia estaría excelente la entregan cargada ya que por la cantidad de talleres en la ciudad en ocasiones se queda uno cortico de carga para volver a casa después de una visita a sus talleres por todo lo demás muy contento con la marca"/>
    <m/>
    <m/>
    <m/>
    <m/>
    <m/>
  </r>
  <r>
    <d v="2025-11-01T00:00:00"/>
    <x v="2"/>
    <x v="10"/>
    <s v="LUIS ENRIQUE"/>
    <s v="MARTINEZ ALARCÓN"/>
    <n v="573104833276"/>
    <n v="72418"/>
    <x v="3"/>
    <x v="0"/>
    <s v="Buen servicio"/>
    <m/>
    <m/>
    <m/>
    <m/>
    <m/>
  </r>
  <r>
    <d v="2025-11-01T00:00:00"/>
    <x v="2"/>
    <x v="10"/>
    <s v="ERNESTO"/>
    <s v="MALDONADO"/>
    <n v="573212333995"/>
    <n v="72606"/>
    <x v="3"/>
    <x v="0"/>
    <s v="El servicio es muy bueno y muy honesto, le hacen a las patinetas lo necesario, en un muy buen tiempo y todo con previa autorización, eso da mucha confianza en el servicio."/>
    <m/>
    <m/>
    <m/>
    <m/>
    <m/>
  </r>
  <r>
    <d v="2025-11-01T00:00:00"/>
    <x v="2"/>
    <x v="10"/>
    <s v="SILVIA DIAZ DERMATOLOGIA SAS"/>
    <s v="SILVIA DIAZ DERMATOLOGIA SAS"/>
    <n v="573164489848"/>
    <n v="71728"/>
    <x v="3"/>
    <x v="0"/>
    <s v="Deben ser claros con los tiempos de entrega y el costo de los mantenimientos."/>
    <m/>
    <m/>
    <m/>
    <m/>
    <m/>
  </r>
  <r>
    <d v="2025-11-01T00:00:00"/>
    <x v="2"/>
    <x v="10"/>
    <s v="ANDRES"/>
    <s v="BARRETO"/>
    <n v="573103319538"/>
    <n v="72289"/>
    <x v="4"/>
    <x v="1"/>
    <m/>
    <m/>
    <m/>
    <m/>
    <m/>
    <m/>
  </r>
  <r>
    <d v="2025-11-01T00:00:00"/>
    <x v="2"/>
    <x v="10"/>
    <s v="ANDRES"/>
    <s v="BARRETO"/>
    <n v="573103319538"/>
    <n v="72289"/>
    <x v="4"/>
    <x v="1"/>
    <s v="La verdad, no dan ganas de ir al taller, porque uno ya sabe lo que va a recibir y es regular/mala atención. Los resultados rara vez son satisfactorios, se nota que al final, lo que buscan es entregar las cosas de afán, y por salir del cliente, eso es lo que pienso. Hoy prácticamente es la última vez que tomo el servicio porque la patineta ya quedó peor en cuanto a motor y velocidad, pero para que gastar energías en causas perdidas. Menos mal cuando la llevé les deje claro lo que necesitaba y cuando la fui a recoger todo igual, nada solucionado y se notó que lo importante era entregar por entregar."/>
    <m/>
    <m/>
    <m/>
    <m/>
    <m/>
  </r>
  <r>
    <d v="2025-11-01T00:00:00"/>
    <x v="2"/>
    <x v="10"/>
    <s v="CLAUDIA VIVIANA"/>
    <s v="HERNANDEZ TIQUE"/>
    <n v="573102342260"/>
    <n v="72250"/>
    <x v="3"/>
    <x v="0"/>
    <s v="Suñer"/>
    <m/>
    <m/>
    <m/>
    <m/>
    <m/>
  </r>
  <r>
    <d v="2025-11-01T00:00:00"/>
    <x v="2"/>
    <x v="10"/>
    <s v="NANCY"/>
    <s v="MEJIA"/>
    <n v="573153047344"/>
    <n v="72541"/>
    <x v="3"/>
    <x v="0"/>
    <m/>
    <m/>
    <m/>
    <m/>
    <m/>
    <m/>
  </r>
  <r>
    <d v="2025-10-31T00:00:00"/>
    <x v="3"/>
    <x v="10"/>
    <s v="JOHAN SEBASTIAN"/>
    <s v="ZUÑIGA OBANDO"/>
    <n v="573125794294"/>
    <n v="72333"/>
    <x v="3"/>
    <x v="0"/>
    <s v="Revisar bien al entregar"/>
    <m/>
    <m/>
    <m/>
    <m/>
    <m/>
  </r>
  <r>
    <d v="2025-10-31T00:00:00"/>
    <x v="3"/>
    <x v="10"/>
    <s v="WIKIEMPRESARIOS SAS"/>
    <s v="WIKIEMPRESARIOS SAS"/>
    <n v="573106781986"/>
    <n v="72535"/>
    <x v="3"/>
    <x v="0"/>
    <s v="Sería buena crea un mensaje que nos recordará cada cuanto debemos hacer mantenimiento preventivo"/>
    <m/>
    <m/>
    <m/>
    <m/>
    <m/>
  </r>
  <r>
    <d v="2025-10-31T00:00:00"/>
    <x v="3"/>
    <x v="10"/>
    <s v="JUAN FELIPE"/>
    <s v="PEREZ SANCHEZ"/>
    <n v="573045656705"/>
    <n v="72408"/>
    <x v="3"/>
    <x v="0"/>
    <s v="Que el servicio fuera más rápido desde ayer en la mañana ya salía que le habían echo todo pero hasta hoy la entregan"/>
    <m/>
    <m/>
    <m/>
    <m/>
    <m/>
  </r>
  <r>
    <d v="2025-10-31T00:00:00"/>
    <x v="3"/>
    <x v="10"/>
    <s v="PROHAF"/>
    <s v="INGENIERIA"/>
    <n v="573002015778"/>
    <n v="72304"/>
    <x v="2"/>
    <x v="1"/>
    <s v="Preocupado._x000a_Una patineta con una semana de comprada y con un daño en el guardabarros por error de diseño._x000a_Posiblemente se vuelva a presentar la falla._x000a_En los días q estuve presente en el taller llevaron unas 4 patinetas con el mismo problema y la solución va más allá de quitar y poner otra pieza igual para q termine en el mismo resultado"/>
    <m/>
    <m/>
    <m/>
    <m/>
    <m/>
  </r>
  <r>
    <d v="2025-10-31T00:00:00"/>
    <x v="3"/>
    <x v="10"/>
    <s v="CARLOS MAURICIO"/>
    <s v="RAMOS ATAPUMA"/>
    <n v="573226777928"/>
    <n v="72531"/>
    <x v="3"/>
    <x v="0"/>
    <m/>
    <m/>
    <m/>
    <m/>
    <m/>
    <m/>
  </r>
  <r>
    <d v="2025-10-31T00:00:00"/>
    <x v="3"/>
    <x v="10"/>
    <s v="CARLOS ANTONIO"/>
    <s v="ESCOBAR RAMIREZ"/>
    <n v="573013989108"/>
    <n v="71507"/>
    <x v="4"/>
    <x v="1"/>
    <s v="Horrible"/>
    <m/>
    <m/>
    <m/>
    <m/>
    <m/>
  </r>
  <r>
    <d v="2025-10-31T00:00:00"/>
    <x v="3"/>
    <x v="10"/>
    <s v="OTONIEL BELTRAN"/>
    <s v="SILVA"/>
    <n v="573112214163"/>
    <n v="72104"/>
    <x v="2"/>
    <x v="0"/>
    <m/>
    <m/>
    <m/>
    <m/>
    <m/>
    <m/>
  </r>
  <r>
    <d v="2025-10-31T00:00:00"/>
    <x v="3"/>
    <x v="10"/>
    <s v="JENNIFFER PAOLA"/>
    <s v="CALDERON BRAVO"/>
    <n v="573188722282"/>
    <n v="72089"/>
    <x v="4"/>
    <x v="1"/>
    <s v="No recomiendo postventa de minca. Se demoran mucho y es muy costoso."/>
    <m/>
    <m/>
    <m/>
    <m/>
    <m/>
  </r>
  <r>
    <d v="2025-10-31T00:00:00"/>
    <x v="3"/>
    <x v="10"/>
    <s v="JAIVER"/>
    <s v="DAVILA GIL"/>
    <n v="573143592079"/>
    <n v="72463"/>
    <x v="3"/>
    <x v="0"/>
    <s v="La atención fue muy rápida y eficiente, gracias."/>
    <m/>
    <m/>
    <m/>
    <m/>
    <m/>
  </r>
  <r>
    <d v="2025-10-31T00:00:00"/>
    <x v="3"/>
    <x v="10"/>
    <s v="CRISTIAN DAVID"/>
    <s v="ROMANI BARRIOS"/>
    <n v="573023639976"/>
    <n v="72395"/>
    <x v="3"/>
    <x v="0"/>
    <s v="La mejor marca de minca"/>
    <m/>
    <m/>
    <m/>
    <m/>
    <m/>
  </r>
  <r>
    <d v="2025-10-31T00:00:00"/>
    <x v="3"/>
    <x v="10"/>
    <s v="RAUL OLMEDO"/>
    <s v="VARGAS GONZALEZ"/>
    <n v="573502847777"/>
    <n v="69188"/>
    <x v="3"/>
    <x v="0"/>
    <m/>
    <m/>
    <m/>
    <m/>
    <m/>
    <m/>
  </r>
  <r>
    <d v="2025-10-31T00:00:00"/>
    <x v="3"/>
    <x v="10"/>
    <s v="RAUL OLMEDO"/>
    <s v="VARGAS GONZALEZ"/>
    <n v="573502847777"/>
    <n v="69188"/>
    <x v="3"/>
    <x v="0"/>
    <s v="Buena atención.Falta cuidado en detalles mínimos,como tornillos, cauchos y ensamblaje."/>
    <m/>
    <m/>
    <m/>
    <m/>
    <m/>
  </r>
  <r>
    <d v="2025-10-31T00:00:00"/>
    <x v="3"/>
    <x v="10"/>
    <s v="EMMANUEL CAMILO"/>
    <s v="ROJAS RODRIGUEZ"/>
    <n v="573123262503"/>
    <n v="72457"/>
    <x v="3"/>
    <x v="0"/>
    <s v="Quedé muy agradado, han estado muy pendientes y el servicio de mantenimiento es muy cómodo y ágil."/>
    <m/>
    <m/>
    <m/>
    <m/>
    <m/>
  </r>
  <r>
    <d v="2025-10-31T00:00:00"/>
    <x v="3"/>
    <x v="10"/>
    <s v="ANDREA"/>
    <s v="VALENCIA TORRES"/>
    <n v="573005608494"/>
    <n v="72275"/>
    <x v="2"/>
    <x v="0"/>
    <m/>
    <m/>
    <m/>
    <m/>
    <m/>
    <m/>
  </r>
  <r>
    <d v="2025-10-31T00:00:00"/>
    <x v="3"/>
    <x v="10"/>
    <s v="ANDRES SEBASTIAN"/>
    <s v="DUARTE PARDO"/>
    <n v="573193117071"/>
    <n v="72224"/>
    <x v="3"/>
    <x v="0"/>
    <s v="Muy profesionales y muy dedicados"/>
    <m/>
    <m/>
    <m/>
    <m/>
    <m/>
  </r>
  <r>
    <d v="2025-10-31T00:00:00"/>
    <x v="3"/>
    <x v="10"/>
    <s v="JOHN EDUARDO"/>
    <s v="GOYENECHE AVELLA"/>
    <n v="573112047369"/>
    <n v="71917"/>
    <x v="2"/>
    <x v="1"/>
    <m/>
    <m/>
    <m/>
    <m/>
    <m/>
    <m/>
  </r>
  <r>
    <d v="2025-10-31T00:00:00"/>
    <x v="3"/>
    <x v="10"/>
    <s v="DIEGO ALEJANDRO"/>
    <s v="MARTÍNEZ GORDILLO"/>
    <n v="573125178189"/>
    <n v="71743"/>
    <x v="3"/>
    <x v="0"/>
    <s v="Me gustaría saber más acerca de cómo funciona el display de mi scooter, no se si hay vídeos explicatorios en algún lado pero sería útil ya que tengo el último display y no la versión antigua"/>
    <m/>
    <m/>
    <m/>
    <m/>
    <m/>
  </r>
  <r>
    <d v="2025-10-30T00:00:00"/>
    <x v="3"/>
    <x v="10"/>
    <s v="DIEGO FERNANDO"/>
    <s v="ESPITIA AREVALO"/>
    <n v="573142050154"/>
    <n v="72116"/>
    <x v="2"/>
    <x v="1"/>
    <s v="Demorados en la entrega de las patinetas."/>
    <m/>
    <m/>
    <m/>
    <m/>
    <m/>
  </r>
  <r>
    <d v="2025-10-30T00:00:00"/>
    <x v="3"/>
    <x v="10"/>
    <s v="LAURA DANIELA"/>
    <s v="VARGAS RODRÍGUEZ"/>
    <n v="573156501710"/>
    <n v="72308"/>
    <x v="3"/>
    <x v="0"/>
    <s v="Muy buena la atención"/>
    <m/>
    <m/>
    <m/>
    <m/>
    <m/>
  </r>
  <r>
    <d v="2025-10-30T00:00:00"/>
    <x v="3"/>
    <x v="10"/>
    <s v="FABIAN"/>
    <s v="ALVARAN ECHEVERRI"/>
    <n v="573127703759"/>
    <n v="71097"/>
    <x v="3"/>
    <x v="0"/>
    <s v="Sugerencia proporcionar más información sobre cómo va el proceso de reparación"/>
    <m/>
    <m/>
    <m/>
    <m/>
    <m/>
  </r>
  <r>
    <d v="2025-10-30T00:00:00"/>
    <x v="3"/>
    <x v="10"/>
    <s v="LUIS FERNANDO"/>
    <s v="ROMÁN OSPINA"/>
    <n v="573105544342"/>
    <n v="72223"/>
    <x v="3"/>
    <x v="0"/>
    <s v="Satisfactorio"/>
    <m/>
    <m/>
    <m/>
    <m/>
    <m/>
  </r>
  <r>
    <d v="2025-10-30T00:00:00"/>
    <x v="3"/>
    <x v="10"/>
    <s v="HECTOR IVAN"/>
    <s v="GUTIERREZ ARANGO"/>
    <n v="573015765510"/>
    <n v="71930"/>
    <x v="3"/>
    <x v="0"/>
    <s v="La atención en la sede Chicó es buena; ojalá puedan estandarizar la calidad de la atención en todos los talleres de la ciudad._x000a_En general, mi experiencia con la marca ha sido buena, espero poder seguir recibiendo un buen servicio postventa, que me genere confianza, para poder hacer el upgrade de mi patineta con esta misma marca."/>
    <m/>
    <m/>
    <m/>
    <m/>
    <m/>
  </r>
  <r>
    <d v="2025-10-30T00:00:00"/>
    <x v="3"/>
    <x v="10"/>
    <s v="ANGELA MARIA"/>
    <s v="GONZALEZ TRUJILLO"/>
    <n v="573102403922"/>
    <n v="72214"/>
    <x v="3"/>
    <x v="0"/>
    <s v="En la sede chico son muy amables y eficaces, muy satisfecha con el mantenimiento de mi scooter, mil gracias"/>
    <m/>
    <m/>
    <m/>
    <m/>
    <m/>
  </r>
  <r>
    <d v="2025-10-30T00:00:00"/>
    <x v="3"/>
    <x v="10"/>
    <s v="JANCY DE JESUS"/>
    <s v="GUTIERREZ GUTIERREZ"/>
    <n v="573104085689"/>
    <n v="72332"/>
    <x v="3"/>
    <x v="0"/>
    <s v="Volveria a usar los servicios sin duda..."/>
    <m/>
    <m/>
    <m/>
    <m/>
    <m/>
  </r>
  <r>
    <d v="2025-10-30T00:00:00"/>
    <x v="3"/>
    <x v="10"/>
    <s v="GUSTAVO ADOLFO"/>
    <s v="RODRIGUEZ MOLINA"/>
    <n v="573014965371"/>
    <n v="72316"/>
    <x v="3"/>
    <x v="0"/>
    <s v="Exelente servicio"/>
    <m/>
    <m/>
    <m/>
    <m/>
    <m/>
  </r>
  <r>
    <d v="2025-10-30T00:00:00"/>
    <x v="3"/>
    <x v="10"/>
    <s v="JOSÉ MIGUEL"/>
    <s v="QUINTERO GUTIÉRREZ"/>
    <n v="573193649869"/>
    <n v="70459"/>
    <x v="3"/>
    <x v="0"/>
    <m/>
    <m/>
    <m/>
    <m/>
    <m/>
    <m/>
  </r>
  <r>
    <d v="2025-10-30T00:00:00"/>
    <x v="3"/>
    <x v="10"/>
    <s v="INVERSIONES MOJHER S.A.S"/>
    <s v="INVERSIONES MOJHER S.A.S"/>
    <n v="573176721257"/>
    <n v="72273"/>
    <x v="3"/>
    <x v="0"/>
    <s v="Excelente servicio y muy buena representación de post venta"/>
    <m/>
    <m/>
    <m/>
    <m/>
    <m/>
  </r>
  <r>
    <d v="2025-10-30T00:00:00"/>
    <x v="3"/>
    <x v="10"/>
    <s v="JULIAN"/>
    <s v="TORRES TRUJILLO"/>
    <n v="573142509112"/>
    <n v="71292"/>
    <x v="3"/>
    <x v="2"/>
    <s v="Muy mala atención en recepción._x000a__x000a_El técnico que me atendió, todo lo contrario, todo un profesional y muy amable , cómo se debe de tratar al cliente"/>
    <m/>
    <m/>
    <m/>
    <m/>
    <m/>
  </r>
  <r>
    <d v="2025-10-30T00:00:00"/>
    <x v="3"/>
    <x v="10"/>
    <s v="DANIEL"/>
    <s v="MORENO"/>
    <n v="573209621087"/>
    <n v="71606"/>
    <x v="3"/>
    <x v="0"/>
    <s v="Muy buen trabajo. Hay que mejorar los tiempos de mantenimientos"/>
    <m/>
    <m/>
    <m/>
    <m/>
    <m/>
  </r>
  <r>
    <d v="2025-10-30T00:00:00"/>
    <x v="3"/>
    <x v="10"/>
    <s v="RAUL EDUARDO"/>
    <s v="LOPEZ"/>
    <n v="573008466411"/>
    <n v="71834"/>
    <x v="3"/>
    <x v="0"/>
    <s v="Los tiempos de entrega de la patineta en mantenimiento son muy demorados, o si se van demorar más tiempo tomarse el tiempo de avisarle, los digo porque el tiempo de espera de mi patineta fue 8 días"/>
    <m/>
    <m/>
    <m/>
    <m/>
    <m/>
  </r>
  <r>
    <d v="2025-10-30T00:00:00"/>
    <x v="3"/>
    <x v="10"/>
    <s v="MAURICIO"/>
    <s v="PEREZ"/>
    <n v="573114604529"/>
    <n v="72402"/>
    <x v="2"/>
    <x v="1"/>
    <s v="La marca es súper me gusta bastanate pero el servicio de mantenimiento es muy malo me dicen unos días luego de alargan me la entregaron sin probarla y la patineta no quedo funcionando aún así me toca volverla a llevar"/>
    <m/>
    <m/>
    <m/>
    <m/>
    <m/>
  </r>
  <r>
    <d v="2025-10-30T00:00:00"/>
    <x v="3"/>
    <x v="10"/>
    <s v="ANDRÉS"/>
    <s v="GÓMEZ TORO"/>
    <n v="573027763494"/>
    <n v="72238"/>
    <x v="3"/>
    <x v="0"/>
    <s v="La atención del mecánico es excelente, sin embargo, el problema por el cual ingresé la patineta, persiste y debo ingresarla por garantía nuevamente."/>
    <m/>
    <m/>
    <m/>
    <m/>
    <m/>
  </r>
  <r>
    <d v="2025-10-30T00:00:00"/>
    <x v="3"/>
    <x v="10"/>
    <s v="JEREMY GIUSEPH"/>
    <s v="VARGAS LUENGAS"/>
    <n v="573236412922"/>
    <n v="72329"/>
    <x v="3"/>
    <x v="1"/>
    <s v="El servicio estuvo bien, la patineta la dejaron muy bien, pero respecto a atención al cliente creo que tienen oportunidad e mejora."/>
    <m/>
    <m/>
    <m/>
    <m/>
    <m/>
  </r>
  <r>
    <d v="2025-10-30T00:00:00"/>
    <x v="3"/>
    <x v="10"/>
    <s v="EDUARD"/>
    <s v="MOSQUERA"/>
    <n v="573004478884"/>
    <n v="71994"/>
    <x v="2"/>
    <x v="0"/>
    <s v="Hay oportunidades de mejora"/>
    <m/>
    <m/>
    <m/>
    <m/>
    <m/>
  </r>
  <r>
    <d v="2025-10-29T00:00:00"/>
    <x v="3"/>
    <x v="10"/>
    <s v="CAMILO"/>
    <s v="PEREZ"/>
    <n v="573125696860"/>
    <n v="71934"/>
    <x v="3"/>
    <x v="2"/>
    <s v="Son una gran marca _x000a_Pero la atención al cliente ha bajado de calidad _x000a_Deje mi patieneta hace 8 dias en el taller y no me dieron razón solo hasta que llame muchas veces"/>
    <m/>
    <m/>
    <m/>
    <m/>
    <m/>
  </r>
  <r>
    <d v="2025-10-29T00:00:00"/>
    <x v="3"/>
    <x v="10"/>
    <s v="MANUELA"/>
    <s v="HERERA QUIÑONEZ"/>
    <n v="573013741318"/>
    <n v="71588"/>
    <x v="3"/>
    <x v="0"/>
    <m/>
    <m/>
    <m/>
    <m/>
    <m/>
    <m/>
  </r>
  <r>
    <d v="2025-10-29T00:00:00"/>
    <x v="3"/>
    <x v="10"/>
    <s v="FERNANDO"/>
    <s v="LOPEZ"/>
    <n v="573203148074"/>
    <n v="72410"/>
    <x v="3"/>
    <x v="0"/>
    <s v="Exelente"/>
    <m/>
    <m/>
    <m/>
    <m/>
    <m/>
  </r>
  <r>
    <d v="2025-10-29T00:00:00"/>
    <x v="3"/>
    <x v="10"/>
    <s v="JEANNETTE"/>
    <s v="AREVALO"/>
    <n v="573107671753"/>
    <n v="72406"/>
    <x v="3"/>
    <x v="0"/>
    <s v="Me encanta , es. Excelente , el servicio de agendamiento es muy fácil en línea y te ofrece muchas opciones ,"/>
    <m/>
    <m/>
    <m/>
    <m/>
    <m/>
  </r>
  <r>
    <d v="2025-10-29T00:00:00"/>
    <x v="3"/>
    <x v="10"/>
    <s v="GERARDO ESTEBAN"/>
    <s v="GOMEZ CASTRO"/>
    <n v="573126212435"/>
    <n v="71752"/>
    <x v="2"/>
    <x v="0"/>
    <s v="Le he generado mantenimiento a la patineta tanto en la 72 como en chico y son mucho mas pulidos en la 72, entregan la patineta limpia como si fuera nueva, como recién lavada, en chico no , se preocupan por lo mínimo y no los detalles"/>
    <m/>
    <m/>
    <m/>
    <m/>
    <m/>
  </r>
  <r>
    <d v="2025-10-29T00:00:00"/>
    <x v="3"/>
    <x v="10"/>
    <s v="SERGIO ALEJANDRO"/>
    <s v="MORA SERNA"/>
    <n v="573118039226"/>
    <n v="70608"/>
    <x v="3"/>
    <x v="0"/>
    <s v="Se demoró casi un mes pero de resto todo está bien"/>
    <m/>
    <m/>
    <m/>
    <m/>
    <m/>
  </r>
  <r>
    <d v="2025-10-29T00:00:00"/>
    <x v="3"/>
    <x v="10"/>
    <s v="ANDRES  FABIAN"/>
    <s v="CABEZAS MARTINEZ"/>
    <n v="573004438651"/>
    <n v="72228"/>
    <x v="3"/>
    <x v="0"/>
    <s v="La atención en términos generales es buena, sin embargo, en ciertos casos la solución que proponen a algún problema es &quot;toca cambiar esto&quot;, &quot;toca cambiar lo otro&quot; cuando, podrían quizás ofrecer soluciones &quot;más económicas&quot; que simplemente cambiar toda una pieza o toda una parte de la patineta... y a uno le toca buscar esas soluciones alternativas por otros lados, para que las reparaciones no salgan tan caras... y, en mi caso, me ha funcionado."/>
    <m/>
    <m/>
    <m/>
    <m/>
    <m/>
  </r>
  <r>
    <d v="2025-10-29T00:00:00"/>
    <x v="3"/>
    <x v="10"/>
    <s v="HARVY REGNIER"/>
    <s v="GARCIA SANTOS"/>
    <n v="573014432522"/>
    <n v="72128"/>
    <x v="3"/>
    <x v="0"/>
    <s v="Me gustaría que me enviaran tips de limpieza y mantenimiento básico para mi patineta"/>
    <m/>
    <m/>
    <m/>
    <m/>
    <m/>
  </r>
  <r>
    <d v="2025-10-29T00:00:00"/>
    <x v="3"/>
    <x v="10"/>
    <s v="DANIEL FELIPE"/>
    <s v="MONCAYO SANTACRUZ"/>
    <n v="573166452429"/>
    <n v="72348"/>
    <x v="3"/>
    <x v="0"/>
    <s v="Todo fue muy bueno, solo una sugerencia y es la de retomar la apertura a las 7:30 hace muchos días he querido llevar mi patineta al taller, pero entro a las 8 am, quisiera tener esa media hora para poder llevarla"/>
    <m/>
    <m/>
    <m/>
    <m/>
    <m/>
  </r>
  <r>
    <d v="2025-10-29T00:00:00"/>
    <x v="3"/>
    <x v="10"/>
    <s v="NESTOR JAVIER"/>
    <s v="YAYA YAYA"/>
    <n v="573102440343"/>
    <n v="71697"/>
    <x v="3"/>
    <x v="0"/>
    <s v="Deberían avisar al cliente del avance de los mantenimientos, en especial cuando resultan arreglos adicionales y el cliente no sabe que debe entrar a autorizar"/>
    <m/>
    <m/>
    <m/>
    <m/>
    <m/>
  </r>
  <r>
    <d v="2025-10-29T00:00:00"/>
    <x v="3"/>
    <x v="10"/>
    <s v="WILLIAM FERNANDO"/>
    <s v="RUANO"/>
    <n v="573186966466"/>
    <n v="72021"/>
    <x v="2"/>
    <x v="1"/>
    <s v="Me parecio el mantenimiento fue basico"/>
    <m/>
    <m/>
    <m/>
    <m/>
    <m/>
  </r>
  <r>
    <d v="2025-10-29T00:00:00"/>
    <x v="3"/>
    <x v="10"/>
    <s v="JHON ELISEO"/>
    <s v="MENDEZ FERREIRA"/>
    <n v="573208581685"/>
    <n v="72247"/>
    <x v="3"/>
    <x v="0"/>
    <s v="Los asesores y técnicos son muy amables, y brindan un buen servicio. He tenido algunos inconvenientes con la patineta, pero espero que con este último mantenimiento todo funcione bien por un buen tiempo."/>
    <m/>
    <m/>
    <m/>
    <m/>
    <m/>
  </r>
  <r>
    <d v="2025-10-29T00:00:00"/>
    <x v="3"/>
    <x v="10"/>
    <s v="ALEJANDRO"/>
    <s v="AMAYA MONROY"/>
    <n v="573026351250"/>
    <n v="72065"/>
    <x v="3"/>
    <x v="0"/>
    <s v="Todo bien por ahora"/>
    <m/>
    <m/>
    <m/>
    <m/>
    <m/>
  </r>
  <r>
    <d v="2025-10-29T00:00:00"/>
    <x v="3"/>
    <x v="10"/>
    <s v="ALEJANDRO"/>
    <s v="RIVERA REYES"/>
    <n v="573115003291"/>
    <n v="72015"/>
    <x v="3"/>
    <x v="0"/>
    <s v="La atención al cliente y el trabajo de las patinetas es excelente. Siempre dejan las patinetas 10/10. Es caro pero la verdad, vale la pena"/>
    <m/>
    <m/>
    <m/>
    <m/>
    <m/>
  </r>
  <r>
    <d v="2025-10-29T00:00:00"/>
    <x v="3"/>
    <x v="10"/>
    <s v="DANIEL FELIPE"/>
    <s v="ARROYABE BAUTISTA"/>
    <n v="573229005990"/>
    <n v="71983"/>
    <x v="3"/>
    <x v="0"/>
    <s v="Fue rápido y todo quedó excelente"/>
    <m/>
    <m/>
    <m/>
    <m/>
    <m/>
  </r>
  <r>
    <d v="2025-10-29T00:00:00"/>
    <x v="3"/>
    <x v="10"/>
    <s v="YEISON ANDRES"/>
    <s v="MORALES MARIN"/>
    <n v="573192372631"/>
    <n v="72087"/>
    <x v="3"/>
    <x v="0"/>
    <s v="El tema del horario"/>
    <m/>
    <m/>
    <m/>
    <m/>
    <m/>
  </r>
  <r>
    <d v="2025-10-29T00:00:00"/>
    <x v="3"/>
    <x v="10"/>
    <s v="JORGE ANDRES"/>
    <s v="LOZANO BAYONA"/>
    <n v="573014525080"/>
    <n v="72148"/>
    <x v="3"/>
    <x v="1"/>
    <s v="Se debe ser más empatico con los requerimientos y solicitudes del cliente. Adicional se sugiere se informe garantía de los soportes y mantenimientos realizados"/>
    <m/>
    <m/>
    <m/>
    <m/>
    <m/>
  </r>
  <r>
    <d v="2025-10-29T00:00:00"/>
    <x v="3"/>
    <x v="10"/>
    <s v="DANNY"/>
    <s v="ROCHA PALACIO"/>
    <n v="573124590810"/>
    <n v="70768"/>
    <x v="2"/>
    <x v="0"/>
    <s v="Muy demorada esta reparación y algo costosa"/>
    <m/>
    <m/>
    <m/>
    <m/>
    <m/>
  </r>
  <r>
    <d v="2025-10-29T00:00:00"/>
    <x v="3"/>
    <x v="10"/>
    <s v="BIBIANA LUCIA"/>
    <s v="GARCIA MARIN"/>
    <n v="573204504823"/>
    <n v="72215"/>
    <x v="3"/>
    <x v="0"/>
    <s v="Excelente servicio_x000a_Siempre cumple con los tiempos"/>
    <m/>
    <m/>
    <m/>
    <m/>
    <m/>
  </r>
  <r>
    <d v="2025-10-29T00:00:00"/>
    <x v="3"/>
    <x v="10"/>
    <s v="JAIME"/>
    <s v="ARIAS CHIMBI"/>
    <n v="573214736211"/>
    <n v="72107"/>
    <x v="2"/>
    <x v="1"/>
    <s v="Mejorar la atención al cliente en la recepción no te entregan especificando que le hicieron solo dejan que uno lo revise y uno en ocasiones ni sabe que le hicieron"/>
    <m/>
    <m/>
    <m/>
    <m/>
    <m/>
  </r>
  <r>
    <d v="2025-10-29T00:00:00"/>
    <x v="3"/>
    <x v="10"/>
    <s v="KELVIN"/>
    <s v="DUARTE"/>
    <n v="573006774901"/>
    <n v="68424"/>
    <x v="3"/>
    <x v="0"/>
    <s v="En mi caso la persona que realizo los ajustes a me explico de una forma clara los arreglos realizado, me hizo unas recomendaciones y resolvió mis dudas."/>
    <m/>
    <m/>
    <m/>
    <m/>
    <m/>
  </r>
  <r>
    <d v="2025-10-29T00:00:00"/>
    <x v="3"/>
    <x v="10"/>
    <s v="JOAN DAVID"/>
    <s v="GONZALEZ VILLAMIL"/>
    <n v="573194315082"/>
    <n v="72118"/>
    <x v="3"/>
    <x v="0"/>
    <s v="Me gusta el proceso de recibo y entrega de la patineta, el chat lo hace más dinámico"/>
    <m/>
    <m/>
    <m/>
    <m/>
    <m/>
  </r>
  <r>
    <d v="2025-10-29T00:00:00"/>
    <x v="3"/>
    <x v="10"/>
    <s v="ROMULO IVAN"/>
    <s v="CUBIDEZ MATIZ"/>
    <n v="573023725380"/>
    <n v="71704"/>
    <x v="3"/>
    <x v="1"/>
    <s v="La atención fue muy cordial siempre, tanto por chat como personalmente, pero la demora fue impresionante, deje mk patineta para servicio técnico el 20 de octubre y me la entregaron hasta el día de ayer 29, el servicio incluía sólo cambio de llanta trasera y cambio de pastillas delanteras y traseras, creo que es mucho tiempo para reemplazar repuestos que son consumibles"/>
    <s v="llamar y ofrecer excusas"/>
    <m/>
    <m/>
    <m/>
    <m/>
  </r>
  <r>
    <d v="2025-10-28T00:00:00"/>
    <x v="3"/>
    <x v="10"/>
    <s v="YINETH SHIRLEY"/>
    <s v="BUSTOS BARRETO"/>
    <n v="573142122077"/>
    <n v="72054"/>
    <x v="3"/>
    <x v="0"/>
    <s v="Tiempos justos"/>
    <m/>
    <m/>
    <m/>
    <m/>
    <m/>
  </r>
  <r>
    <d v="2025-10-28T00:00:00"/>
    <x v="3"/>
    <x v="10"/>
    <s v="CESAR AUGUSTO"/>
    <s v="VILLAMIL MEDINA"/>
    <n v="573045454442"/>
    <n v="72269"/>
    <x v="4"/>
    <x v="1"/>
    <s v="No lograron  arreglar el desperfecto por garantía con los frenos"/>
    <m/>
    <m/>
    <m/>
    <m/>
    <m/>
  </r>
  <r>
    <d v="2025-10-28T00:00:00"/>
    <x v="3"/>
    <x v="10"/>
    <s v="KAREN GONZALEZ"/>
    <s v="LEON"/>
    <n v="573144570594"/>
    <n v="72048"/>
    <x v="3"/>
    <x v="0"/>
    <s v="Buen servicio y rápido"/>
    <m/>
    <m/>
    <m/>
    <m/>
    <m/>
  </r>
  <r>
    <d v="2025-10-28T00:00:00"/>
    <x v="3"/>
    <x v="10"/>
    <s v="LUIS HORACIO"/>
    <s v="URQUIJO ADARRAGA"/>
    <n v="573002063453"/>
    <n v="71882"/>
    <x v="3"/>
    <x v="0"/>
    <s v="Sería bueno que el mantenimiento fuera mas ágil"/>
    <m/>
    <m/>
    <m/>
    <m/>
    <m/>
  </r>
  <r>
    <d v="2025-10-28T00:00:00"/>
    <x v="3"/>
    <x v="10"/>
    <s v="DANIEL SANTIAGO"/>
    <s v="CAMARGO DIAZ"/>
    <n v="573024465022"/>
    <n v="71770"/>
    <x v="3"/>
    <x v="0"/>
    <s v="Servicio de mantenimiento muy demorado casi 8 días por un mantenimiento preventivo debe mejorar"/>
    <m/>
    <m/>
    <m/>
    <m/>
    <m/>
  </r>
  <r>
    <d v="2025-10-28T00:00:00"/>
    <x v="3"/>
    <x v="10"/>
    <s v="DIEGO FERNANDO"/>
    <s v="BELTRAN MONTOYA"/>
    <n v="573014199487"/>
    <n v="72272"/>
    <x v="3"/>
    <x v="0"/>
    <s v="Fue Rapido y bueno solo que falto un poco más de ajuste en frenos de resto ok"/>
    <m/>
    <m/>
    <m/>
    <m/>
    <m/>
  </r>
  <r>
    <d v="2025-10-28T00:00:00"/>
    <x v="3"/>
    <x v="10"/>
    <s v="OMAR ALEJANDRO"/>
    <s v="MUÑOZ SIATOBA"/>
    <n v="573133173323"/>
    <n v="72022"/>
    <x v="3"/>
    <x v="0"/>
    <s v="Llevo varios años con mi patineta y llevarla al mantenimiento la ha mantenido muy bien, en 5 años con la marca, tuve alguna vez un inconveniente, pero en general es muy bueno el servicio y ayuda mucho que ya tienen varias sedes de taller por la ciudad."/>
    <m/>
    <m/>
    <m/>
    <m/>
    <m/>
  </r>
  <r>
    <d v="2025-10-28T00:00:00"/>
    <x v="3"/>
    <x v="10"/>
    <s v="ROBERTO ALFREDO"/>
    <s v="MANTILLA SANCHEZ"/>
    <n v="573124354750"/>
    <n v="71705"/>
    <x v="3"/>
    <x v="0"/>
    <m/>
    <m/>
    <m/>
    <m/>
    <m/>
    <m/>
  </r>
  <r>
    <d v="2025-10-28T00:00:00"/>
    <x v="3"/>
    <x v="10"/>
    <s v="JAVIER ANDRES"/>
    <s v="GALINDO"/>
    <n v="573203338210"/>
    <n v="71299"/>
    <x v="3"/>
    <x v="0"/>
    <s v="Todo estuvo excelente, la atencion y la oportunidad en el servicio fueron unicas, muy contento con el servicio"/>
    <m/>
    <m/>
    <m/>
    <m/>
    <m/>
  </r>
  <r>
    <d v="2025-10-28T00:00:00"/>
    <x v="3"/>
    <x v="10"/>
    <s v="OSCAR JAVIER"/>
    <s v="RICARD HENAO MIRANDA"/>
    <n v="573025319387"/>
    <n v="70907"/>
    <x v="3"/>
    <x v="1"/>
    <s v="Buena atención. Se demoró mucho, hasta 3 Semanas."/>
    <m/>
    <m/>
    <m/>
    <m/>
    <m/>
  </r>
  <r>
    <d v="2025-10-28T00:00:00"/>
    <x v="3"/>
    <x v="10"/>
    <s v="JOSE FAVER"/>
    <s v="VILLEGAS MARIN"/>
    <n v="573187943921"/>
    <n v="69921"/>
    <x v="3"/>
    <x v="0"/>
    <s v="Amabilidad y compromiso"/>
    <m/>
    <m/>
    <m/>
    <m/>
    <m/>
  </r>
  <r>
    <d v="2025-10-28T00:00:00"/>
    <x v="3"/>
    <x v="10"/>
    <s v="WILMER ALEJANDRO"/>
    <s v="PAKE PASTRANA"/>
    <n v="573213143364"/>
    <n v="72196"/>
    <x v="2"/>
    <x v="0"/>
    <m/>
    <m/>
    <m/>
    <m/>
    <m/>
    <m/>
  </r>
  <r>
    <d v="2025-10-28T00:00:00"/>
    <x v="3"/>
    <x v="10"/>
    <s v="ANDERSON"/>
    <s v="CLAVIIJO  RODRIGUEZ"/>
    <n v="573144118426"/>
    <n v="72038"/>
    <x v="3"/>
    <x v="0"/>
    <m/>
    <m/>
    <m/>
    <m/>
    <m/>
    <m/>
  </r>
  <r>
    <d v="2025-10-28T00:00:00"/>
    <x v="3"/>
    <x v="10"/>
    <s v="PAULA KATHERIN"/>
    <s v="MUÑETON ROJAS"/>
    <n v="573015394307"/>
    <n v="71844"/>
    <x v="3"/>
    <x v="0"/>
    <s v="Excelente servicio, buena atención al cliente."/>
    <m/>
    <m/>
    <m/>
    <m/>
    <m/>
  </r>
  <r>
    <d v="2025-10-28T00:00:00"/>
    <x v="3"/>
    <x v="10"/>
    <s v="CRONICA GROUP"/>
    <s v="CRONICA GROUP"/>
    <n v="573214960780"/>
    <n v="72133"/>
    <x v="3"/>
    <x v="0"/>
    <s v="Buena"/>
    <m/>
    <m/>
    <m/>
    <m/>
    <m/>
  </r>
  <r>
    <d v="2025-10-27T00:00:00"/>
    <x v="3"/>
    <x v="10"/>
    <s v="ANDRES"/>
    <s v="QUINTERO"/>
    <n v="573202479333"/>
    <n v="71586"/>
    <x v="3"/>
    <x v="0"/>
    <s v="Me gusta el servicio, la persona que me atendio muy amable y las veces que he necesitado servicio de mi patineta muy amable"/>
    <m/>
    <m/>
    <m/>
    <m/>
    <m/>
  </r>
  <r>
    <d v="2025-10-27T00:00:00"/>
    <x v="3"/>
    <x v="10"/>
    <s v="EDGAR JULIAN"/>
    <s v="LOPEZ DUARTE"/>
    <n v="573208235211"/>
    <n v="71971"/>
    <x v="3"/>
    <x v="0"/>
    <s v="Repuesto disponible y precios aceptables, espero que para repuestos o asuntos mas delicados, dediquen la misma atención y disponibilidad."/>
    <m/>
    <m/>
    <m/>
    <m/>
    <m/>
  </r>
  <r>
    <d v="2025-10-27T00:00:00"/>
    <x v="3"/>
    <x v="10"/>
    <s v="JHOAN SEBASTIAN"/>
    <s v="VELA ESPITIA"/>
    <n v="573134060590"/>
    <n v="71876"/>
    <x v="3"/>
    <x v="1"/>
    <s v="No deberían tener agrandamiento de mantenimiento si van a empezar a revisar la patineta dos días después de lo agendado, les cuento mi caso, agende mantenimiento ya que en ocasiones anteriores no lo hacía y tardabas hasta 3 o 4 días, decidí hacerlo ya que me volví dependiente de su patineta y la necesito para mis días de trabajo de lunes a sábado, les contaba que agente el mantenimiento el pasado miércoles a las 12:30 y esperando que fuera más rápido, y empezaron a revizarla el viernes a las 11:25 acepté que le hicieran lo que tenían que hacerle a las 11:35 y hasta en día de hoy a las 10 am recibo el mensaje que la patineta está lista , no me sirve de nada agendar si va a tardar lo mismo o hasta más como esta vez"/>
    <s v="David Salamanca"/>
    <m/>
    <s v="2025-11-01T12:40:44-05:00"/>
    <m/>
    <m/>
  </r>
  <r>
    <d v="2025-10-27T00:00:00"/>
    <x v="3"/>
    <x v="10"/>
    <s v="ALFREDO RAFAEL"/>
    <s v="RONDON BUSTILLO"/>
    <n v="573177999184"/>
    <n v="71973"/>
    <x v="3"/>
    <x v="0"/>
    <s v="Buena"/>
    <m/>
    <m/>
    <m/>
    <m/>
    <m/>
  </r>
  <r>
    <d v="2025-10-27T00:00:00"/>
    <x v="3"/>
    <x v="10"/>
    <s v="KEVIN JAVIER"/>
    <s v="ALARCON MORALES"/>
    <n v="573059290085"/>
    <n v="72199"/>
    <x v="3"/>
    <x v="0"/>
    <s v="rapidez"/>
    <m/>
    <m/>
    <m/>
    <m/>
    <m/>
  </r>
  <r>
    <d v="2025-10-27T00:00:00"/>
    <x v="3"/>
    <x v="10"/>
    <s v="NATHALIA ANDREA"/>
    <s v="VELOSA VEGA"/>
    <n v="573013043134"/>
    <n v="72112"/>
    <x v="3"/>
    <x v="0"/>
    <m/>
    <m/>
    <m/>
    <m/>
    <m/>
    <m/>
  </r>
  <r>
    <d v="2025-10-27T00:00:00"/>
    <x v="3"/>
    <x v="10"/>
    <s v="DIEGO ALEJANDRO"/>
    <s v="PACHECO PEÑA"/>
    <n v="573132838429"/>
    <n v="72135"/>
    <x v="2"/>
    <x v="1"/>
    <s v="La patineta lleva 15 dias de comprada, por lo que pude ver no tenia la pastilla trasera, la persona que la entregó me dijo que solo habían ajustado los frenos, hasta ahí bien solucionado, sin embargo al legar a casa la pruebo quedó con un sonido en la suspensión trasera, entiendo que ingresó por ajuste de frenos pero creo que se debe hacer un chequeo general para entregar, muchas gracias."/>
    <m/>
    <m/>
    <m/>
    <m/>
    <m/>
  </r>
  <r>
    <d v="2025-10-27T00:00:00"/>
    <x v="3"/>
    <x v="10"/>
    <s v="SEBASTIAN ANDRES"/>
    <s v="MACIAS LIEVANO"/>
    <n v="573123369929"/>
    <n v="71923"/>
    <x v="3"/>
    <x v="0"/>
    <s v="Excelente servicio"/>
    <m/>
    <m/>
    <m/>
    <m/>
    <m/>
  </r>
  <r>
    <d v="2025-10-25T00:00:00"/>
    <x v="3"/>
    <x v="11"/>
    <s v="JUAN CAMILO"/>
    <s v="BECERRA COBOS"/>
    <n v="573057131333"/>
    <n v="72119"/>
    <x v="3"/>
    <x v="0"/>
    <s v="Buen servicio, gracias por tener los trabajos a tiempo :)"/>
    <m/>
    <m/>
    <m/>
    <m/>
    <m/>
  </r>
  <r>
    <d v="2025-10-25T00:00:00"/>
    <x v="3"/>
    <x v="11"/>
    <s v="LUIS RODRIGO"/>
    <s v="BAYONA SALGADO"/>
    <n v="573006786580"/>
    <n v="71885"/>
    <x v="3"/>
    <x v="0"/>
    <s v="Llevo mas de un año con la patineta y en términos generales me ha salido buena, lo único que no me gusta es que se desajusta muy seguido, pero de resto bien"/>
    <m/>
    <m/>
    <m/>
    <m/>
    <m/>
  </r>
  <r>
    <d v="2025-10-25T00:00:00"/>
    <x v="3"/>
    <x v="11"/>
    <s v="LEIDY MARCELA"/>
    <s v="SALCEDO BEDOYA"/>
    <n v="573218213484"/>
    <n v="71918"/>
    <x v="3"/>
    <x v="0"/>
    <s v="Muy buena, el servicio fue rápido."/>
    <m/>
    <m/>
    <m/>
    <m/>
    <m/>
  </r>
  <r>
    <d v="2025-10-25T00:00:00"/>
    <x v="3"/>
    <x v="11"/>
    <s v="FABIAN CAMILO"/>
    <s v="GUATIBONZA PINZON"/>
    <n v="573115021680"/>
    <n v="71580"/>
    <x v="3"/>
    <x v="0"/>
    <s v="Bueno"/>
    <m/>
    <m/>
    <m/>
    <m/>
    <m/>
  </r>
  <r>
    <d v="2025-10-25T00:00:00"/>
    <x v="3"/>
    <x v="11"/>
    <s v="OSCAR"/>
    <s v="SANTAMARIA"/>
    <n v="573213001361"/>
    <n v="71264"/>
    <x v="2"/>
    <x v="1"/>
    <s v="No tienen una política de  sostenibilidad ambiental que guíe a sus usuarios sobre que hacer con la utilización final de las baterías que tienen sus productos, no hay planes de retoma lo cual tampoco aporta a disminuir la contaminación y menos aun apoyan causas benéficas. Todos los modelos de las patinetas deberian tener batería extraíble, para facilitar tu carga, dado el peso que modelos cómo el  2.400 W, tiene. 35 Kgrs"/>
    <m/>
    <m/>
    <m/>
    <m/>
    <m/>
  </r>
  <r>
    <d v="2025-10-25T00:00:00"/>
    <x v="3"/>
    <x v="11"/>
    <s v="LUIS GUILLERMO"/>
    <s v="BUITRAGO"/>
    <n v="573015420771"/>
    <n v="71589"/>
    <x v="3"/>
    <x v="0"/>
    <s v="Requerimientos cumplidos   gracias"/>
    <m/>
    <m/>
    <m/>
    <m/>
    <m/>
  </r>
  <r>
    <d v="2025-10-25T00:00:00"/>
    <x v="3"/>
    <x v="11"/>
    <s v="HELMAN"/>
    <s v="PINILLA ANGARITA"/>
    <n v="573168545631"/>
    <n v="71567"/>
    <x v="3"/>
    <x v="0"/>
    <s v="Buena"/>
    <m/>
    <m/>
    <m/>
    <m/>
    <m/>
  </r>
  <r>
    <d v="2025-10-25T00:00:00"/>
    <x v="3"/>
    <x v="11"/>
    <s v="CRISTIAN ALEXANDER"/>
    <s v="CONTRERAS GARZON"/>
    <n v="573192226952"/>
    <n v="70194"/>
    <x v="3"/>
    <x v="0"/>
    <s v="Este taller en específico es excelente, muy amables, son muy pulidos con las entregas y siempre muy sinceros con las recomendaciones"/>
    <m/>
    <m/>
    <m/>
    <m/>
    <m/>
  </r>
  <r>
    <d v="2025-10-25T00:00:00"/>
    <x v="3"/>
    <x v="11"/>
    <s v="ANDRES DAVID"/>
    <s v="ROA SANCHEZ"/>
    <n v="573105662833"/>
    <n v="71993"/>
    <x v="3"/>
    <x v="0"/>
    <s v="Servicio agil y efectivo"/>
    <s v="Bayro Coronado"/>
    <m/>
    <s v="2025-11-04T16:53:01-05:00"/>
    <m/>
    <m/>
  </r>
  <r>
    <d v="2025-10-25T00:00:00"/>
    <x v="3"/>
    <x v="11"/>
    <s v="ALEXANDER"/>
    <s v="TORRES RAMIREZ"/>
    <n v="573214565030"/>
    <n v="70993"/>
    <x v="3"/>
    <x v="0"/>
    <s v="Los tiempos de servicio son largos, muchos utilizamos las patinetas para ir y volver del trabajo, por lo tanto cada día sin la patineta significa un gasto de recursos significativos, me gustaría que los tiempos fueran más cortos. Gracias"/>
    <m/>
    <m/>
    <m/>
    <m/>
    <m/>
  </r>
  <r>
    <d v="2025-10-24T00:00:00"/>
    <x v="3"/>
    <x v="11"/>
    <s v="JUAN DAVID"/>
    <s v="GARCIA CASTAÑO"/>
    <n v="573015260943"/>
    <n v="71235"/>
    <x v="3"/>
    <x v="0"/>
    <s v="Muy profesionales y antentos!!!"/>
    <m/>
    <m/>
    <m/>
    <m/>
    <m/>
  </r>
  <r>
    <d v="2025-10-24T00:00:00"/>
    <x v="3"/>
    <x v="11"/>
    <s v="KATIA MILENA"/>
    <s v="SAURITH FARFAN"/>
    <n v="573022484199"/>
    <n v="71996"/>
    <x v="3"/>
    <x v="0"/>
    <s v="Me gusto la eficiencia del servicio y es muy buena calidad la marca ✅"/>
    <m/>
    <m/>
    <m/>
    <m/>
    <m/>
  </r>
  <r>
    <d v="2025-10-24T00:00:00"/>
    <x v="3"/>
    <x v="11"/>
    <s v="INDIRA GIRLEZA"/>
    <s v="CASTELLANOS MARTINEZ"/>
    <n v="573112644003"/>
    <n v="72059"/>
    <x v="3"/>
    <x v="0"/>
    <s v="Excelente atención y muy buena marca siempre la recomiendo...."/>
    <m/>
    <m/>
    <m/>
    <m/>
    <m/>
  </r>
  <r>
    <d v="2025-10-24T00:00:00"/>
    <x v="3"/>
    <x v="11"/>
    <s v="DANIEL"/>
    <s v="GARZON"/>
    <n v="573164723180"/>
    <n v="71114"/>
    <x v="3"/>
    <x v="0"/>
    <s v="llevo más de tres años con la marca el servicio al cliente es lo que más nos activa hacer compradores recurrentes. Voy por mi tercera patineta con ustedes y estoy muy contento por el servicio al Cliente eso Fidel Elisa a los usuarios"/>
    <m/>
    <m/>
    <m/>
    <m/>
    <m/>
  </r>
  <r>
    <d v="2025-10-24T00:00:00"/>
    <x v="3"/>
    <x v="11"/>
    <s v="DANIEL"/>
    <s v="GARZON"/>
    <n v="573164723180"/>
    <n v="71114"/>
    <x v="3"/>
    <x v="0"/>
    <s v="llevo más de tres años con la marca el servicio al cliente es lo que más nos activa hacer compradores recurrentes. Voy por mi tercera patineta con ustedes y estoy muy contento por el servicio al Cliente eso Fidel Elisa a los usuarios"/>
    <m/>
    <m/>
    <m/>
    <m/>
    <m/>
  </r>
  <r>
    <d v="2025-10-24T00:00:00"/>
    <x v="3"/>
    <x v="11"/>
    <s v="OLGA LUCIA"/>
    <s v="SAAVEDRA CRISTANCHO"/>
    <n v="573112204031"/>
    <n v="71509"/>
    <x v="3"/>
    <x v="0"/>
    <s v="La experiencia fue excelente  en todo el procedimiento."/>
    <m/>
    <m/>
    <m/>
    <m/>
    <m/>
  </r>
  <r>
    <d v="2025-10-24T00:00:00"/>
    <x v="3"/>
    <x v="11"/>
    <s v="YESICA FERNANDA"/>
    <s v="RODRIGUEZ RODRIGUEZ"/>
    <n v="573213776633"/>
    <n v="71513"/>
    <x v="3"/>
    <x v="0"/>
    <m/>
    <m/>
    <m/>
    <m/>
    <m/>
    <m/>
  </r>
  <r>
    <d v="2025-10-24T00:00:00"/>
    <x v="3"/>
    <x v="11"/>
    <s v="JHON JAIRO"/>
    <s v="MORENO MACHADO"/>
    <n v="573005481546"/>
    <n v="71879"/>
    <x v="3"/>
    <x v="0"/>
    <s v="Todo muy bueno"/>
    <m/>
    <m/>
    <m/>
    <m/>
    <m/>
  </r>
  <r>
    <d v="2025-10-24T00:00:00"/>
    <x v="3"/>
    <x v="11"/>
    <s v="JAVIER SANTIAGO"/>
    <s v="CALDERÓN RODRIGUEZ"/>
    <n v="573142380098"/>
    <n v="71967"/>
    <x v="3"/>
    <x v="0"/>
    <s v="Chévere"/>
    <m/>
    <m/>
    <m/>
    <m/>
    <m/>
  </r>
  <r>
    <d v="2025-10-24T00:00:00"/>
    <x v="3"/>
    <x v="11"/>
    <s v="DUVAN STIVEN"/>
    <s v="VERGARA GAONA"/>
    <n v="573052096777"/>
    <n v="71598"/>
    <x v="4"/>
    <x v="2"/>
    <s v="Pésima atención,y pésimo servicio!"/>
    <m/>
    <m/>
    <m/>
    <m/>
    <m/>
  </r>
  <r>
    <d v="2025-10-24T00:00:00"/>
    <x v="3"/>
    <x v="11"/>
    <s v="CARLOS MAURICIO"/>
    <s v="YEPES MUNERA"/>
    <n v="573192258298"/>
    <n v="71777"/>
    <x v="3"/>
    <x v="0"/>
    <m/>
    <m/>
    <m/>
    <m/>
    <m/>
    <m/>
  </r>
  <r>
    <d v="2025-10-24T00:00:00"/>
    <x v="3"/>
    <x v="11"/>
    <s v="YUDY ALEJANDRA"/>
    <s v="MORALES GUZMAN"/>
    <n v="573202554316"/>
    <n v="71969"/>
    <x v="3"/>
    <x v="0"/>
    <s v="Buena"/>
    <m/>
    <m/>
    <m/>
    <m/>
    <m/>
  </r>
  <r>
    <d v="2025-10-24T00:00:00"/>
    <x v="3"/>
    <x v="11"/>
    <s v="KAROL MICHELLE"/>
    <s v="ACOSTA CAÑAS"/>
    <n v="573105585562"/>
    <n v="71999"/>
    <x v="3"/>
    <x v="0"/>
    <s v="Siempre atentos a lo que se necesite y rápida respuesta"/>
    <m/>
    <m/>
    <m/>
    <m/>
    <m/>
  </r>
  <r>
    <d v="2025-10-24T00:00:00"/>
    <x v="3"/>
    <x v="11"/>
    <s v="SEMAUT INGENIERIASAS"/>
    <s v="SEMAUT INGENIERIASAS"/>
    <n v="573006949362"/>
    <n v="71343"/>
    <x v="3"/>
    <x v="0"/>
    <s v="Mejorar los tiempos de entrega en los mantenimientos"/>
    <m/>
    <m/>
    <m/>
    <m/>
    <m/>
  </r>
  <r>
    <d v="2025-10-24T00:00:00"/>
    <x v="3"/>
    <x v="11"/>
    <s v="NEIRIS"/>
    <s v="CASTRO"/>
    <n v="573192080761"/>
    <n v="71957"/>
    <x v="3"/>
    <x v="0"/>
    <s v="Muy buena la verdad la atención y la entrega de mi patineta"/>
    <m/>
    <m/>
    <m/>
    <m/>
    <m/>
  </r>
  <r>
    <d v="2025-10-24T00:00:00"/>
    <x v="3"/>
    <x v="11"/>
    <s v="JOSÉ MARÍA"/>
    <s v="GONZÁLEZ OLAZ"/>
    <n v="573057087065"/>
    <n v="71869"/>
    <x v="3"/>
    <x v="0"/>
    <s v="Atencion rápida"/>
    <m/>
    <m/>
    <m/>
    <m/>
    <m/>
  </r>
  <r>
    <d v="2025-10-24T00:00:00"/>
    <x v="3"/>
    <x v="11"/>
    <s v="EDUARDO JOSE"/>
    <s v="SMITH HERNANDEZ"/>
    <n v="573007184360"/>
    <n v="72023"/>
    <x v="3"/>
    <x v="0"/>
    <s v="Me gusta la experiencia que brinda Minca. Buen producto y buen servicio."/>
    <m/>
    <m/>
    <m/>
    <m/>
    <m/>
  </r>
  <r>
    <d v="2025-10-23T00:00:00"/>
    <x v="3"/>
    <x v="11"/>
    <s v="JUAN CAMILO"/>
    <s v="CACERES NARANJO"/>
    <n v="573046259804"/>
    <n v="71811"/>
    <x v="3"/>
    <x v="1"/>
    <s v="Las personas del taller son súper bien y queridas, pero las personas q tienen contestando WhatsApp no saben nada de servicio al cliente"/>
    <m/>
    <m/>
    <m/>
    <m/>
    <m/>
  </r>
  <r>
    <d v="2025-10-23T00:00:00"/>
    <x v="3"/>
    <x v="11"/>
    <s v="OSCAR FERNANDO"/>
    <s v="ARANGO PARDO"/>
    <n v="573173700552"/>
    <n v="71884"/>
    <x v="3"/>
    <x v="0"/>
    <s v="Excelente servicio"/>
    <m/>
    <m/>
    <m/>
    <m/>
    <m/>
  </r>
  <r>
    <d v="2025-10-23T00:00:00"/>
    <x v="3"/>
    <x v="11"/>
    <s v="JUAN DIEGO"/>
    <s v="OROZCO MONROY"/>
    <n v="573025448493"/>
    <n v="71702"/>
    <x v="3"/>
    <x v="0"/>
    <m/>
    <m/>
    <m/>
    <m/>
    <m/>
    <m/>
  </r>
  <r>
    <d v="2025-10-23T00:00:00"/>
    <x v="3"/>
    <x v="11"/>
    <s v="PABLO"/>
    <s v="ARBELAEZ ECHEVERRI"/>
    <n v="573158990871"/>
    <n v="71775"/>
    <x v="3"/>
    <x v="0"/>
    <s v="Todo salio muy bien"/>
    <m/>
    <m/>
    <m/>
    <m/>
    <m/>
  </r>
  <r>
    <d v="2025-10-23T00:00:00"/>
    <x v="3"/>
    <x v="11"/>
    <s v="ADRIAN"/>
    <s v="FONTANILLA YEPEZ"/>
    <n v="573204490943"/>
    <n v="71868"/>
    <x v="3"/>
    <x v="0"/>
    <s v="Que sigan así.     Exelente y. Buen servicio"/>
    <m/>
    <m/>
    <m/>
    <m/>
    <m/>
  </r>
  <r>
    <d v="2025-10-23T00:00:00"/>
    <x v="3"/>
    <x v="11"/>
    <s v="ANDRES"/>
    <s v="CIFUENTES"/>
    <n v="573134221637"/>
    <n v="71824"/>
    <x v="3"/>
    <x v="0"/>
    <s v="Siempre existencia disposición del personal para dar atención"/>
    <m/>
    <m/>
    <m/>
    <m/>
    <m/>
  </r>
  <r>
    <d v="2025-10-23T00:00:00"/>
    <x v="3"/>
    <x v="11"/>
    <s v="MATEO"/>
    <s v="MORALES CORREA"/>
    <n v="573228136150"/>
    <n v="71941"/>
    <x v="3"/>
    <x v="0"/>
    <s v="Profesionales en su gestión"/>
    <m/>
    <m/>
    <m/>
    <m/>
    <m/>
  </r>
  <r>
    <d v="2025-10-23T00:00:00"/>
    <x v="3"/>
    <x v="11"/>
    <s v="MARIA CLARA"/>
    <s v="TRILLOS ROZO"/>
    <n v="573002153669"/>
    <n v="71803"/>
    <x v="3"/>
    <x v="0"/>
    <s v="Llevo más de dos años con la marca, me gusta mucho su servicio la pati es genial pero depsues de cierto tiempo siento que la pati necesita ir mucho a tallar por más que la tenga súper bien cuidada y con todos los mantenimientos al día"/>
    <m/>
    <m/>
    <m/>
    <m/>
    <m/>
  </r>
  <r>
    <d v="2025-10-23T00:00:00"/>
    <x v="3"/>
    <x v="11"/>
    <s v="DANIEL"/>
    <s v="GARZON"/>
    <n v="573164723180"/>
    <n v="71822"/>
    <x v="3"/>
    <x v="0"/>
    <s v="llevo más de tres años con la marca el servicio al cliente es lo que más nos activa hacer compradores recurrentes. Voy por mi tercera patineta con ustedes y estoy muy contento por el servicio al Cliente eso Fidel Elisa a los usuarios"/>
    <m/>
    <m/>
    <m/>
    <m/>
    <m/>
  </r>
  <r>
    <d v="2025-10-23T00:00:00"/>
    <x v="3"/>
    <x v="11"/>
    <s v="JENNY"/>
    <s v="BUITRAGO DIAZ"/>
    <n v="573057300010"/>
    <n v="71948"/>
    <x v="3"/>
    <x v="0"/>
    <s v="Excelente servicio, muy rápido y ágil!"/>
    <m/>
    <m/>
    <m/>
    <m/>
    <m/>
  </r>
  <r>
    <d v="2025-10-23T00:00:00"/>
    <x v="3"/>
    <x v="11"/>
    <s v="HUGO REINALDO"/>
    <s v="CHAPARRO MUÑOZ"/>
    <n v="573174022362"/>
    <n v="71362"/>
    <x v="2"/>
    <x v="2"/>
    <s v="La oportunidad en la respuesta es demasiado lenta, se demoran mucho realizando un mantenimiento preventivo sin embargo no hay evidencia de que se haya realizado todo lo q dicen, la scooter la entregan sucia."/>
    <m/>
    <m/>
    <m/>
    <m/>
    <m/>
  </r>
  <r>
    <d v="2025-10-23T00:00:00"/>
    <x v="3"/>
    <x v="11"/>
    <s v="JOHN ALEJANDRO"/>
    <s v="MANRIQUE SEPULVEDA"/>
    <n v="573203110804"/>
    <n v="71692"/>
    <x v="3"/>
    <x v="0"/>
    <m/>
    <m/>
    <m/>
    <m/>
    <m/>
    <m/>
  </r>
  <r>
    <d v="2025-10-23T00:00:00"/>
    <x v="3"/>
    <x v="11"/>
    <s v="JOSE NELSON"/>
    <s v="FIGUEROA FRAGOZO"/>
    <n v="573107173832"/>
    <n v="71797"/>
    <x v="3"/>
    <x v="0"/>
    <s v="Muy buena"/>
    <m/>
    <m/>
    <m/>
    <m/>
    <m/>
  </r>
  <r>
    <d v="2025-10-23T00:00:00"/>
    <x v="3"/>
    <x v="11"/>
    <s v="MAYELINE ADRIANA"/>
    <s v="FIGUEREDO CORTES"/>
    <n v="573053625713"/>
    <n v="71842"/>
    <x v="2"/>
    <x v="1"/>
    <s v="La marca como tal es muy buena, mi patineta no ha tenido fallas, es decir, todos los componentes son de muy calidad, los desgastes es por el uso que le doy."/>
    <m/>
    <m/>
    <m/>
    <m/>
    <m/>
  </r>
  <r>
    <d v="2025-10-23T00:00:00"/>
    <x v="3"/>
    <x v="11"/>
    <s v="RAFAEL"/>
    <s v="BARBOSA"/>
    <n v="573142377987"/>
    <n v="71780"/>
    <x v="3"/>
    <x v="0"/>
    <s v="Excelente marca, muy buenos productos, y la mejor asistencia tecnica para mantener a tope la patineta"/>
    <m/>
    <m/>
    <m/>
    <m/>
    <m/>
  </r>
  <r>
    <d v="2025-10-23T00:00:00"/>
    <x v="3"/>
    <x v="11"/>
    <s v="WILLIAM YAMITH"/>
    <s v="CASTRO MENDOZA"/>
    <n v="573205725218"/>
    <n v="71718"/>
    <x v="3"/>
    <x v="0"/>
    <s v="Exclelente servicio y marca recomendada"/>
    <m/>
    <m/>
    <m/>
    <m/>
    <m/>
  </r>
  <r>
    <d v="2025-10-23T00:00:00"/>
    <x v="3"/>
    <x v="11"/>
    <s v="OMAR FARIDH"/>
    <s v="LAMPREA CORREDOR"/>
    <n v="573012552644"/>
    <n v="71771"/>
    <x v="3"/>
    <x v="0"/>
    <s v="Buena experiencia y volvería siempre"/>
    <m/>
    <m/>
    <m/>
    <m/>
    <m/>
  </r>
  <r>
    <d v="2025-10-23T00:00:00"/>
    <x v="3"/>
    <x v="11"/>
    <s v="LIGIA JUDITH"/>
    <s v="GUIO SILVA"/>
    <n v="573143718658"/>
    <n v="71675"/>
    <x v="3"/>
    <x v="0"/>
    <s v="Muy buen servicio estoy satisfecha"/>
    <m/>
    <m/>
    <m/>
    <m/>
    <m/>
  </r>
  <r>
    <d v="2025-10-23T00:00:00"/>
    <x v="3"/>
    <x v="11"/>
    <s v="OSCAR"/>
    <s v="CEDIEL"/>
    <n v="573154771538"/>
    <n v="71520"/>
    <x v="3"/>
    <x v="0"/>
    <s v="Excelente servicio esta vez_x000a_Diferente al de la vez pasada"/>
    <m/>
    <m/>
    <m/>
    <m/>
    <m/>
  </r>
  <r>
    <d v="2025-10-23T00:00:00"/>
    <x v="3"/>
    <x v="11"/>
    <s v="GREDY"/>
    <s v="ASCANIO TORO"/>
    <n v="573108213734"/>
    <n v="71751"/>
    <x v="3"/>
    <x v="0"/>
    <s v="Eficiencia"/>
    <m/>
    <m/>
    <m/>
    <m/>
    <m/>
  </r>
  <r>
    <d v="2025-10-22T00:00:00"/>
    <x v="3"/>
    <x v="11"/>
    <s v="YEISON JAVIER"/>
    <s v="GORDILLO GARZON"/>
    <n v="573003704143"/>
    <n v="71852"/>
    <x v="3"/>
    <x v="0"/>
    <m/>
    <m/>
    <m/>
    <m/>
    <m/>
    <m/>
  </r>
  <r>
    <d v="2025-10-22T00:00:00"/>
    <x v="3"/>
    <x v="11"/>
    <s v="YEISON JAVIER"/>
    <s v="GORDILLO GARZON"/>
    <n v="573003704143"/>
    <n v="71852"/>
    <x v="3"/>
    <x v="0"/>
    <s v="Estoy satisfecho"/>
    <m/>
    <m/>
    <m/>
    <m/>
    <m/>
  </r>
  <r>
    <d v="2025-10-22T00:00:00"/>
    <x v="3"/>
    <x v="11"/>
    <s v="DIEGO ANDRES"/>
    <s v="CARVAJAL"/>
    <n v="573152952029"/>
    <n v="71076"/>
    <x v="2"/>
    <x v="0"/>
    <s v="Pienso que se debe ser más exhaustivo en las pruebas de las patinetas antes de la entrega al cliente en todo aspecto comparativamente como se hace en un carro cuando sale de un concesionario que ha sido validado , verificado y testeado para dar confiabilidad  del detalle de cada prueba que se hace sobre la patineta para un buen soporte documental"/>
    <m/>
    <m/>
    <m/>
    <m/>
    <m/>
  </r>
  <r>
    <d v="2025-10-22T00:00:00"/>
    <x v="3"/>
    <x v="11"/>
    <s v="MANUEL DAVID"/>
    <s v="SAAVEDRA SEGURA"/>
    <n v="573142819694"/>
    <n v="71545"/>
    <x v="3"/>
    <x v="0"/>
    <m/>
    <m/>
    <m/>
    <m/>
    <m/>
    <m/>
  </r>
  <r>
    <d v="2025-10-22T00:00:00"/>
    <x v="3"/>
    <x v="11"/>
    <s v="ANGGIE STHEFANNI"/>
    <s v="BARREIRO CARVAJAL"/>
    <n v="573156233482"/>
    <n v="71814"/>
    <x v="3"/>
    <x v="0"/>
    <m/>
    <m/>
    <m/>
    <m/>
    <m/>
    <m/>
  </r>
  <r>
    <d v="2025-10-22T00:00:00"/>
    <x v="3"/>
    <x v="11"/>
    <s v="NICOLAS"/>
    <s v="ROBLEDO IRIARTE"/>
    <n v="573213931468"/>
    <n v="71730"/>
    <x v="3"/>
    <x v="0"/>
    <s v="Muy bueno"/>
    <m/>
    <m/>
    <m/>
    <m/>
    <m/>
  </r>
  <r>
    <d v="2025-10-22T00:00:00"/>
    <x v="3"/>
    <x v="11"/>
    <s v="MARCELA PATRICIA"/>
    <s v="CHUNZA RODRIGUEZ"/>
    <n v="573208785871"/>
    <n v="71325"/>
    <x v="3"/>
    <x v="0"/>
    <s v="La experiencia es buena combinan diversión y diseño en cada rodada"/>
    <m/>
    <m/>
    <m/>
    <m/>
    <m/>
  </r>
  <r>
    <d v="2025-10-22T00:00:00"/>
    <x v="3"/>
    <x v="11"/>
    <s v="ALEJANDRO"/>
    <s v="CIFUENTES ORTEGA"/>
    <n v="573213729706"/>
    <n v="71832"/>
    <x v="3"/>
    <x v="0"/>
    <s v="La atención del taller me parece excelente. La calidad de la patineta y las piezas no tanto."/>
    <m/>
    <m/>
    <m/>
    <m/>
    <m/>
  </r>
  <r>
    <d v="2025-10-22T00:00:00"/>
    <x v="3"/>
    <x v="11"/>
    <s v="CARLOS MARIO"/>
    <s v="SANIN ALZATE"/>
    <n v="573174223676"/>
    <n v="65586"/>
    <x v="3"/>
    <x v="0"/>
    <s v="Buenas atención"/>
    <m/>
    <m/>
    <m/>
    <m/>
    <m/>
  </r>
  <r>
    <d v="2025-10-22T00:00:00"/>
    <x v="3"/>
    <x v="11"/>
    <s v="FELIPE GAITÁN"/>
    <s v="MICHELSEN"/>
    <n v="573213505198"/>
    <n v="71256"/>
    <x v="3"/>
    <x v="0"/>
    <s v="Mi experiencia con MINCA durante los últimos cuatro años ha sido excepcional, desde la calidad del producto hasta la atención y el servicio. Lo recomiendo totalmente."/>
    <m/>
    <m/>
    <m/>
    <m/>
    <m/>
  </r>
  <r>
    <d v="2025-10-21T00:00:00"/>
    <x v="3"/>
    <x v="11"/>
    <s v="FREDDY ALEXANDER"/>
    <s v="GOMEZ MORALES"/>
    <n v="573116922344"/>
    <n v="71485"/>
    <x v="3"/>
    <x v="1"/>
    <s v="Muy demorada la respuesta del contact service"/>
    <m/>
    <m/>
    <m/>
    <m/>
    <m/>
  </r>
  <r>
    <d v="2025-10-11T00:00:00"/>
    <x v="3"/>
    <x v="12"/>
    <s v="JHANN CARLOS"/>
    <s v="DAZA DIAZ"/>
    <n v="573102548992"/>
    <n v="71146"/>
    <x v="2"/>
    <x v="1"/>
    <m/>
    <m/>
    <m/>
    <m/>
    <m/>
    <m/>
  </r>
  <r>
    <d v="2025-10-11T00:00:00"/>
    <x v="3"/>
    <x v="12"/>
    <s v="EDWARD DANIEL"/>
    <s v="TRIANA RODRÍGUEZ"/>
    <n v="573124813136"/>
    <n v="71186"/>
    <x v="3"/>
    <x v="0"/>
    <s v="Buen servicio"/>
    <m/>
    <m/>
    <m/>
    <m/>
    <m/>
  </r>
  <r>
    <d v="2025-10-11T00:00:00"/>
    <x v="3"/>
    <x v="12"/>
    <s v="YEFERSON"/>
    <s v="ACOSTA"/>
    <n v="573145270271"/>
    <n v="71027"/>
    <x v="3"/>
    <x v="0"/>
    <s v="Excelente servicio 👏🏻"/>
    <m/>
    <m/>
    <m/>
    <m/>
    <m/>
  </r>
  <r>
    <d v="2025-10-11T00:00:00"/>
    <x v="3"/>
    <x v="12"/>
    <s v="FREDDY ALEJANDRO"/>
    <s v="CASALLAS RODRIGUEZ"/>
    <n v="573123444470"/>
    <n v="70151"/>
    <x v="3"/>
    <x v="0"/>
    <m/>
    <m/>
    <m/>
    <m/>
    <m/>
    <m/>
  </r>
  <r>
    <d v="2025-10-11T00:00:00"/>
    <x v="3"/>
    <x v="12"/>
    <s v="JORGE EDUARDO"/>
    <s v="MEJIA"/>
    <n v="573012741837"/>
    <n v="70809"/>
    <x v="3"/>
    <x v="0"/>
    <s v="En fin de semana en la sede de Cedritos, la persona que atiende en el taller no da a basto"/>
    <m/>
    <m/>
    <m/>
    <m/>
    <m/>
  </r>
  <r>
    <d v="2025-10-11T00:00:00"/>
    <x v="3"/>
    <x v="12"/>
    <s v="JUAN GABRIEL"/>
    <s v="PARRA GARCIA"/>
    <n v="573150008854"/>
    <n v="52988"/>
    <x v="3"/>
    <x v="0"/>
    <s v="Siempre me ha ido bien con ustedes"/>
    <m/>
    <m/>
    <m/>
    <m/>
    <m/>
  </r>
  <r>
    <d v="2025-10-11T00:00:00"/>
    <x v="3"/>
    <x v="12"/>
    <s v="ANDRES"/>
    <s v="HAMON SILVA"/>
    <n v="573014772992"/>
    <n v="70970"/>
    <x v="3"/>
    <x v="0"/>
    <s v="El servicio bueno y la amabilidad de las personas en el taller excelente"/>
    <m/>
    <m/>
    <m/>
    <m/>
    <m/>
  </r>
  <r>
    <d v="2025-10-11T00:00:00"/>
    <x v="3"/>
    <x v="12"/>
    <s v="LADY CAROLINA"/>
    <s v="GAMBOA RUIZ"/>
    <n v="573232285900"/>
    <n v="70798"/>
    <x v="3"/>
    <x v="0"/>
    <s v="Muy amable y eficiente _x000a_Muchas gracias 😊"/>
    <m/>
    <m/>
    <m/>
    <m/>
    <m/>
  </r>
  <r>
    <d v="2025-10-10T00:00:00"/>
    <x v="3"/>
    <x v="12"/>
    <s v="NICOLAS"/>
    <s v="PASTRANA BONILLA"/>
    <n v="573023158933"/>
    <n v="71086"/>
    <x v="3"/>
    <x v="0"/>
    <s v="La atención de entrada fue rápida, me hicieron el trabajo por garantía. Estuvo bien"/>
    <m/>
    <m/>
    <m/>
    <m/>
    <m/>
  </r>
  <r>
    <d v="2025-10-10T00:00:00"/>
    <x v="3"/>
    <x v="12"/>
    <s v="ROBINSON"/>
    <s v="MENA PEÑA"/>
    <n v="573217775093"/>
    <n v="70609"/>
    <x v="3"/>
    <x v="0"/>
    <s v="Óptimo no tengo ninguna queja mi experiencia con mi minca 800 a sido muy buena"/>
    <m/>
    <m/>
    <m/>
    <m/>
    <m/>
  </r>
  <r>
    <d v="2025-10-10T00:00:00"/>
    <x v="3"/>
    <x v="12"/>
    <s v="IVAN RICARDO"/>
    <s v="MURCIA GARCIA"/>
    <n v="573012338211"/>
    <n v="71105"/>
    <x v="3"/>
    <x v="0"/>
    <s v="El servicio que prestaron fue bueno, sin embargo no se encontraban todos los repuestos que se necesitaban y ya es la segunda vez que pasa, a tener en cuenta porque es tiempo que el cliente invierte en ir hasta las sedes y la idea es estar completamente satisfecho y tener la patineta 100% al día"/>
    <m/>
    <m/>
    <m/>
    <m/>
    <m/>
  </r>
  <r>
    <d v="2025-10-10T00:00:00"/>
    <x v="3"/>
    <x v="12"/>
    <s v="ANGELA BEATRIS"/>
    <s v="TORRES TAMAYO"/>
    <n v="573016624321"/>
    <n v="69764"/>
    <x v="2"/>
    <x v="1"/>
    <s v="Fatal. Las personas del taller y la de recepción dejaron muy apretada la patineta, imposible de plegar. Para ajustar incluso el manubrio tenían que golpear para que encajara."/>
    <m/>
    <m/>
    <m/>
    <m/>
    <m/>
  </r>
  <r>
    <d v="2025-10-10T00:00:00"/>
    <x v="3"/>
    <x v="12"/>
    <s v="JAIME NICOLÁS"/>
    <s v="RIAÑO ROJAS"/>
    <n v="573124316582"/>
    <n v="70617"/>
    <x v="3"/>
    <x v="0"/>
    <s v="En realidad me parece muy bueno el soporte que brindan a la hora de mantenimientos y demás, la información es clara, tengo solo un pero, la lleve porque se dañó el espejo izquierdo y 5 días después de dejarla me comentan que no hay espejo para remplazar, además dejaron el tornillo roto en donde estaba no se molestaron ni siquiera en sacarlo, eso me deja desilusionado. 😞"/>
    <m/>
    <m/>
    <m/>
    <m/>
    <m/>
  </r>
  <r>
    <d v="2025-10-10T00:00:00"/>
    <x v="3"/>
    <x v="12"/>
    <s v="MARIA ANGELICA"/>
    <s v="COMBARIZA CONTRERAS"/>
    <n v="573016731684"/>
    <n v="71001"/>
    <x v="3"/>
    <x v="0"/>
    <s v="El servicio es rapido y es de buena calidad"/>
    <m/>
    <m/>
    <m/>
    <m/>
    <m/>
  </r>
  <r>
    <d v="2025-10-10T00:00:00"/>
    <x v="3"/>
    <x v="12"/>
    <s v="MIGUEL ALBERTO"/>
    <s v="BOCCARDO WITZKE"/>
    <n v="573173031731"/>
    <n v="70903"/>
    <x v="3"/>
    <x v="0"/>
    <s v="El CRM no funcionó para avisarme que la patineta estaba lista, tuve que escribir para saber qué había pasado con ella, hablé con Marcela por acá, me dijo que estaba lista y al día siguiente me llegó un mensaje por acá que estaba lista y que la fuera a buscar para que no me cobraran almacenaje... si el sistema no funcionó para yo ir cuando me la prometieron, no deben mandar el mensaje de presión de los 5 días"/>
    <m/>
    <m/>
    <m/>
    <m/>
    <m/>
  </r>
  <r>
    <d v="2025-10-10T00:00:00"/>
    <x v="3"/>
    <x v="12"/>
    <s v="YULY TATIANA"/>
    <s v="LOPEZ MENDEZ"/>
    <n v="573104928077"/>
    <n v="71045"/>
    <x v="2"/>
    <x v="1"/>
    <m/>
    <m/>
    <m/>
    <m/>
    <m/>
    <m/>
  </r>
  <r>
    <d v="2025-10-10T00:00:00"/>
    <x v="3"/>
    <x v="12"/>
    <s v="YULY TATIANA"/>
    <s v="LOPEZ MENDEZ"/>
    <n v="573104928077"/>
    <n v="71045"/>
    <x v="2"/>
    <x v="1"/>
    <m/>
    <m/>
    <m/>
    <m/>
    <m/>
    <m/>
  </r>
  <r>
    <d v="2025-10-10T00:00:00"/>
    <x v="3"/>
    <x v="12"/>
    <s v="HAROLD DAVID"/>
    <s v="MOLANO TOLOZA"/>
    <n v="573124715942"/>
    <n v="70591"/>
    <x v="3"/>
    <x v="0"/>
    <s v="Fue mejor de lo que esperaba, la atención, el servicio, la revisión y todo! Estoy enamorado"/>
    <m/>
    <m/>
    <m/>
    <m/>
    <m/>
  </r>
  <r>
    <d v="2025-10-10T00:00:00"/>
    <x v="3"/>
    <x v="12"/>
    <s v="JUAN CAMILO"/>
    <s v="ORDÓÑEZ"/>
    <n v="573183437769"/>
    <n v="70571"/>
    <x v="3"/>
    <x v="0"/>
    <s v="La tenvion y servicio siempre a la orden del cliente, tal vez tratar de que los tiempos en taller se reduzcan un poco, de resto 👍🏻"/>
    <m/>
    <m/>
    <m/>
    <m/>
    <m/>
  </r>
  <r>
    <d v="2025-10-10T00:00:00"/>
    <x v="3"/>
    <x v="12"/>
    <s v="CARLOS ARTACHO"/>
    <s v="ABASCAR"/>
    <n v="573180765198"/>
    <n v="70730"/>
    <x v="3"/>
    <x v="0"/>
    <s v="Todo excelente . El servicio técnico según lo esperado"/>
    <m/>
    <m/>
    <m/>
    <m/>
    <m/>
  </r>
  <r>
    <d v="2025-10-10T00:00:00"/>
    <x v="3"/>
    <x v="12"/>
    <s v="CRISTHIAN ANDRES"/>
    <s v="OVIEDO MONTALVO"/>
    <n v="573108466025"/>
    <n v="70748"/>
    <x v="3"/>
    <x v="0"/>
    <s v="Debería haber la opción de cambiar el guardabarros de la Minca 2400 versión anterior ( la de suspensión delantera hidráulica) siempre me ensucia mucho cuando salgo. Por favor habiliten esa mejora para nuestras mincas 2400 que ya tenemos"/>
    <m/>
    <m/>
    <m/>
    <m/>
    <m/>
  </r>
  <r>
    <d v="2025-10-10T00:00:00"/>
    <x v="3"/>
    <x v="12"/>
    <s v="ANDRES FELIPE"/>
    <s v="YEPES CHARRY"/>
    <n v="573007575295"/>
    <n v="70604"/>
    <x v="3"/>
    <x v="0"/>
    <s v="Confianza en la patineta, el servicio y el trabajo"/>
    <m/>
    <m/>
    <m/>
    <m/>
    <m/>
  </r>
  <r>
    <d v="2025-10-10T00:00:00"/>
    <x v="3"/>
    <x v="12"/>
    <s v="LINA MARCELA"/>
    <s v="YEPES SALAZAR"/>
    <n v="573507408240"/>
    <n v="70948"/>
    <x v="3"/>
    <x v="0"/>
    <s v="Mi primer mantenimiento y me encantó la atención y la agilidad en el mantenimiento, me entregaron mi Minca limpiecita, muy bien ajustada, mejor dicho como nueva. Gracias"/>
    <m/>
    <m/>
    <m/>
    <m/>
    <m/>
  </r>
  <r>
    <d v="2025-10-09T00:00:00"/>
    <x v="3"/>
    <x v="12"/>
    <s v="MABEL"/>
    <s v="CAMACHO MENDES"/>
    <n v="573168754789"/>
    <n v="70759"/>
    <x v="3"/>
    <x v="0"/>
    <s v="Estoy contestando la encuesta sin saber cómo se desempeñe la patineta después del mantenimiento. En el primer mantenimiento, la patineta salió con un ruido que esperamos esta vez se elimine por completo"/>
    <m/>
    <m/>
    <m/>
    <m/>
    <m/>
  </r>
  <r>
    <d v="2025-10-09T00:00:00"/>
    <x v="3"/>
    <x v="12"/>
    <s v="EDWAR IGNACIO"/>
    <s v="PATIÑO DIEZ"/>
    <n v="573006976004"/>
    <n v="69046"/>
    <x v="3"/>
    <x v="0"/>
    <s v="Volví a confiar en la marca ya que la garantía se hizo efectiva nuevamente mincalover"/>
    <m/>
    <m/>
    <m/>
    <m/>
    <m/>
  </r>
  <r>
    <d v="2025-10-09T00:00:00"/>
    <x v="3"/>
    <x v="12"/>
    <s v="JHON"/>
    <s v="CABEZAS MORA"/>
    <n v="573223967588"/>
    <n v="70639"/>
    <x v="3"/>
    <x v="0"/>
    <s v="Super, me siento muy cómodo y mas tranquilo es un poco difícil adaptarse a este tipo de transporte pero son muy buenas las patinetas 🙏🏻"/>
    <m/>
    <m/>
    <m/>
    <m/>
    <m/>
  </r>
  <r>
    <d v="2025-10-09T00:00:00"/>
    <x v="3"/>
    <x v="12"/>
    <s v="SANTIAGO"/>
    <s v="NEIRA BUILES"/>
    <n v="573144141911"/>
    <n v="70752"/>
    <x v="3"/>
    <x v="1"/>
    <s v="Muy serios y no me dijeron nada con respecto a mis puntos que queria que revisaran"/>
    <m/>
    <m/>
    <m/>
    <m/>
    <m/>
  </r>
  <r>
    <d v="2025-10-09T00:00:00"/>
    <x v="3"/>
    <x v="12"/>
    <s v="WEIFORT STIVEN"/>
    <s v="ALVAREZ VEGA"/>
    <n v="573004535064"/>
    <n v="70736"/>
    <x v="2"/>
    <x v="0"/>
    <s v="Me deja muy arrepentido el haber hecho una compra con su marca _x000a_Es muy oportunista el hacer el cobro de un mantenimiento a una patineta que ni siquiera lleva los 6 meses de garantía aparte de cobrarme hasta las despinchada que es  otras ocasiones me dijeron que no las cobraban _x000a_La patineta llevaba un guardabarros roto y está sin pastillas de frenos no era más pero se me hace excesivo el cobro no estoy nada contento y no entiendo cómo trabaja una empresa como ustedes donde nos les interese fidelizar su clientela y hagan este tipo de arbitrariedades"/>
    <m/>
    <m/>
    <m/>
    <m/>
    <m/>
  </r>
  <r>
    <d v="2025-10-09T00:00:00"/>
    <x v="3"/>
    <x v="12"/>
    <s v="NICOLAS"/>
    <s v="FERREIRA VECERRA"/>
    <n v="573186310037"/>
    <n v="68374"/>
    <x v="3"/>
    <x v="0"/>
    <m/>
    <m/>
    <m/>
    <m/>
    <m/>
    <m/>
  </r>
  <r>
    <d v="2025-10-09T00:00:00"/>
    <x v="3"/>
    <x v="12"/>
    <s v="SERGIO ANDRES"/>
    <s v="MORALES GARCIA"/>
    <n v="573057468938"/>
    <n v="70584"/>
    <x v="3"/>
    <x v="0"/>
    <m/>
    <m/>
    <m/>
    <m/>
    <m/>
    <m/>
  </r>
  <r>
    <d v="2025-10-09T00:00:00"/>
    <x v="3"/>
    <x v="12"/>
    <s v="DIANA"/>
    <s v="NEME"/>
    <n v="573124571216"/>
    <n v="70710"/>
    <x v="2"/>
    <x v="1"/>
    <s v="He llevado varias veces la patineta al taller y siento que no le revisan todo solo lo que uno les indica y no siento que le hagan pruebas"/>
    <m/>
    <m/>
    <m/>
    <m/>
    <m/>
  </r>
  <r>
    <d v="2025-10-09T00:00:00"/>
    <x v="3"/>
    <x v="12"/>
    <s v="JULIAN"/>
    <s v="TRIANA"/>
    <n v="573107767503"/>
    <n v="70888"/>
    <x v="3"/>
    <x v="0"/>
    <s v="La revisión estuvo muy bien la entregan en impecable estado, tengo pendiente cambiar el cable de freno trasero ya que se daño, espero que cuando se encuentre disponible se encuentre dentro de la garantia"/>
    <m/>
    <m/>
    <m/>
    <m/>
    <m/>
  </r>
  <r>
    <d v="2025-10-09T00:00:00"/>
    <x v="3"/>
    <x v="12"/>
    <s v="VIVIANA"/>
    <s v="CAMPOS ROMERO"/>
    <n v="573053876259"/>
    <n v="70862"/>
    <x v="3"/>
    <x v="0"/>
    <s v="Muy buena la atención prestada, fue tapido el mantenimiento"/>
    <m/>
    <m/>
    <m/>
    <m/>
    <m/>
  </r>
  <r>
    <d v="2025-10-09T00:00:00"/>
    <x v="3"/>
    <x v="12"/>
    <s v="ANGIE CAROLINA"/>
    <s v="PARADA TRIVIÑO"/>
    <n v="573024032169"/>
    <n v="70870"/>
    <x v="3"/>
    <x v="0"/>
    <s v="Tienen una excelente atención y muy efectivos en el momento de entregar mi patineta muchas gracias  🙂"/>
    <m/>
    <m/>
    <m/>
    <m/>
    <m/>
  </r>
  <r>
    <d v="2025-10-09T00:00:00"/>
    <x v="3"/>
    <x v="12"/>
    <s v="PAULA CAMILA"/>
    <s v="MARENTES HERRERA"/>
    <n v="573157697167"/>
    <n v="69297"/>
    <x v="3"/>
    <x v="0"/>
    <s v="Sugiero que vayan comentando la situación a tiempo cuando algo no lo tienen"/>
    <m/>
    <m/>
    <m/>
    <m/>
    <m/>
  </r>
  <r>
    <d v="2025-10-09T00:00:00"/>
    <x v="3"/>
    <x v="12"/>
    <s v="VALENTINA"/>
    <s v="ARJONA CAÑON"/>
    <n v="573154411011"/>
    <n v="70714"/>
    <x v="2"/>
    <x v="0"/>
    <s v="El servicio todo bien, solo que al entregar la patineta me ma entregan sin carga, no es posible llegar así a ningun lado"/>
    <m/>
    <m/>
    <m/>
    <m/>
    <m/>
  </r>
  <r>
    <d v="2025-10-09T00:00:00"/>
    <x v="3"/>
    <x v="12"/>
    <s v="MARTHA MILENA"/>
    <s v="GARCIA"/>
    <n v="573006994121"/>
    <n v="70211"/>
    <x v="3"/>
    <x v="0"/>
    <m/>
    <m/>
    <m/>
    <m/>
    <m/>
    <m/>
  </r>
  <r>
    <d v="2025-10-09T00:00:00"/>
    <x v="3"/>
    <x v="12"/>
    <s v="CRISTHIAN"/>
    <s v="ORJUELA"/>
    <n v="573123623475"/>
    <n v="70523"/>
    <x v="2"/>
    <x v="0"/>
    <s v="Sugeriría que antes de entregar una patineta, verifiquen que todo se encuentra en orden, ya que lleve mi patineta para mantenimiento y me la entregaron con un sonido en la suspensión, aparentemente no la habían lubricado, volví y la llevé para que revisaran y después de andarla un par de calles, encontré que el sonido continuaba"/>
    <m/>
    <m/>
    <m/>
    <m/>
    <m/>
  </r>
  <r>
    <d v="2025-10-08T00:00:00"/>
    <x v="3"/>
    <x v="12"/>
    <s v="MARIELA"/>
    <s v="OVALLE"/>
    <n v="573114855584"/>
    <n v="70708"/>
    <x v="2"/>
    <x v="0"/>
    <m/>
    <m/>
    <m/>
    <m/>
    <m/>
    <m/>
  </r>
  <r>
    <d v="2025-10-08T00:00:00"/>
    <x v="3"/>
    <x v="12"/>
    <s v="SARA INVERSIONES"/>
    <s v="SARA INVERSIONES"/>
    <n v="573164735991"/>
    <n v="69090"/>
    <x v="3"/>
    <x v="0"/>
    <s v="Siempre han sido muy amables y con buena actitud de servicio"/>
    <m/>
    <m/>
    <m/>
    <m/>
    <m/>
  </r>
  <r>
    <d v="2025-10-08T00:00:00"/>
    <x v="3"/>
    <x v="12"/>
    <s v="RODOLFO"/>
    <s v="VERANO HERNANDEZ"/>
    <n v="573212899543"/>
    <n v="70290"/>
    <x v="3"/>
    <x v="0"/>
    <s v="Cómo recomendación, se debe prestar más atención a la impermeabilización de la patineta teniendo en cuenta que es para la calle y por ende se puede mojar en todos sus dispositivos bajo la lluvia. Gracias"/>
    <m/>
    <m/>
    <m/>
    <m/>
    <m/>
  </r>
  <r>
    <d v="2025-10-08T00:00:00"/>
    <x v="3"/>
    <x v="12"/>
    <s v="WILLIAN"/>
    <s v="AMAYA ALBORNOZ"/>
    <n v="573166276493"/>
    <n v="70774"/>
    <x v="3"/>
    <x v="0"/>
    <s v="todo bien"/>
    <m/>
    <m/>
    <m/>
    <m/>
    <m/>
  </r>
  <r>
    <d v="2025-10-08T00:00:00"/>
    <x v="3"/>
    <x v="12"/>
    <s v="SANTIAGO"/>
    <s v="REYES CORRECHA"/>
    <n v="573228565504"/>
    <n v="70927"/>
    <x v="3"/>
    <x v="0"/>
    <s v="N/A"/>
    <m/>
    <m/>
    <m/>
    <m/>
    <m/>
  </r>
  <r>
    <d v="2025-10-08T00:00:00"/>
    <x v="3"/>
    <x v="12"/>
    <s v="MAICOL STIVEN"/>
    <s v="ALVARADO SIATOVA"/>
    <n v="573142767341"/>
    <n v="70833"/>
    <x v="3"/>
    <x v="0"/>
    <s v="Bueno"/>
    <m/>
    <m/>
    <m/>
    <m/>
    <m/>
  </r>
  <r>
    <d v="2025-10-08T00:00:00"/>
    <x v="3"/>
    <x v="12"/>
    <s v="ANGELICA  MARIA"/>
    <s v="CAYSEDO"/>
    <n v="573002414100"/>
    <n v="70559"/>
    <x v="3"/>
    <x v="0"/>
    <s v="Es una excelente experiencia, me encanta minca"/>
    <m/>
    <m/>
    <m/>
    <m/>
    <m/>
  </r>
  <r>
    <d v="2025-10-08T00:00:00"/>
    <x v="3"/>
    <x v="12"/>
    <s v="HELMUTH"/>
    <s v="VARGAS PEREZ"/>
    <n v="573124242298"/>
    <n v="70860"/>
    <x v="4"/>
    <x v="0"/>
    <m/>
    <m/>
    <m/>
    <m/>
    <m/>
    <m/>
  </r>
  <r>
    <d v="2025-10-08T00:00:00"/>
    <x v="3"/>
    <x v="12"/>
    <s v="ANDREW CAMILO"/>
    <s v="SANCHEZ"/>
    <n v="573209682722"/>
    <n v="70506"/>
    <x v="3"/>
    <x v="0"/>
    <m/>
    <m/>
    <m/>
    <m/>
    <m/>
    <m/>
  </r>
  <r>
    <d v="2025-10-08T00:00:00"/>
    <x v="3"/>
    <x v="12"/>
    <s v="CATALINA"/>
    <s v="LEON CERPA"/>
    <n v="573143231387"/>
    <n v="70850"/>
    <x v="3"/>
    <x v="0"/>
    <s v="Excelente trabajo y atención"/>
    <m/>
    <m/>
    <m/>
    <m/>
    <m/>
  </r>
  <r>
    <d v="2025-10-08T00:00:00"/>
    <x v="3"/>
    <x v="12"/>
    <s v="AURA JUDITH"/>
    <s v="GOMEZ MEZA"/>
    <n v="573143339248"/>
    <n v="70893"/>
    <x v="3"/>
    <x v="0"/>
    <s v="Excelente servicio tecnico"/>
    <m/>
    <m/>
    <m/>
    <m/>
    <m/>
  </r>
  <r>
    <d v="2025-10-07T00:00:00"/>
    <x v="3"/>
    <x v="12"/>
    <s v="DANIEL"/>
    <s v="MONTALVO"/>
    <n v="573176461517"/>
    <n v="70631"/>
    <x v="3"/>
    <x v="0"/>
    <m/>
    <m/>
    <m/>
    <m/>
    <m/>
    <m/>
  </r>
  <r>
    <d v="2025-10-07T00:00:00"/>
    <x v="3"/>
    <x v="12"/>
    <s v="INDIRA GIRLEZA"/>
    <s v="CASTELLANOS MARTINEZ"/>
    <n v="573112644003"/>
    <n v="70011"/>
    <x v="3"/>
    <x v="0"/>
    <s v="Excelente atención, pero sugerencias por favor sería genial que tengas todos los respuestos de la Minca y gracias."/>
    <m/>
    <m/>
    <m/>
    <m/>
    <m/>
  </r>
  <r>
    <d v="2025-10-07T00:00:00"/>
    <x v="3"/>
    <x v="12"/>
    <s v="ESTUDIO TERRAZZO SAS"/>
    <s v="ESTUDIO TERRAZZO SAS"/>
    <n v="573209490395"/>
    <n v="70884"/>
    <x v="3"/>
    <x v="0"/>
    <s v="Muy atentos y rápido el servicio"/>
    <m/>
    <m/>
    <m/>
    <m/>
    <m/>
  </r>
  <r>
    <d v="2025-10-07T00:00:00"/>
    <x v="3"/>
    <x v="12"/>
    <s v="INGRID ADELAIDE"/>
    <s v="CHACON ACOSTA"/>
    <n v="573102199997"/>
    <n v="70066"/>
    <x v="2"/>
    <x v="0"/>
    <s v="He tenido muchos inconvenientes con el producto y por ende muchas visitas a servicios técnicos y siempre o reincide una falla o algo nuevo sucede, el producto es conveniente por movilidad pero no estoy muy satisfecho con el producto después de poco mas de 1 año de haberla adquirido"/>
    <m/>
    <m/>
    <m/>
    <m/>
    <m/>
  </r>
  <r>
    <d v="2025-10-07T00:00:00"/>
    <x v="3"/>
    <x v="12"/>
    <s v="ALBERTO NICOLAS"/>
    <s v="PARRA ACERO"/>
    <n v="573004274481"/>
    <n v="70384"/>
    <x v="3"/>
    <x v="0"/>
    <s v="Me habría gustado que fuera más rápido el servicio porque estuve sin mi scooter casi 8 días, pero entiendo que eran temas electrónicos y es mejor evitar daños más grandes"/>
    <m/>
    <m/>
    <m/>
    <m/>
    <m/>
  </r>
  <r>
    <d v="2025-10-07T00:00:00"/>
    <x v="3"/>
    <x v="12"/>
    <s v="JUAN  DIEGO"/>
    <s v="JARAMILLO  GUTIERREZ"/>
    <n v="573204279679"/>
    <n v="70849"/>
    <x v="3"/>
    <x v="0"/>
    <s v="Estuvo bien._x000a_Pero sería bueno siempre tener presente el tema de la garantía. Porque gracias a eso podrían cobrar arreglar que no deberían ser cobrados"/>
    <m/>
    <m/>
    <m/>
    <m/>
    <m/>
  </r>
  <r>
    <d v="2025-10-07T00:00:00"/>
    <x v="3"/>
    <x v="12"/>
    <s v="YENSY NATALITH"/>
    <s v="JIMENEZ RIASCOS"/>
    <n v="573123591063"/>
    <n v="69904"/>
    <x v="3"/>
    <x v="0"/>
    <s v="Solo me molestó el tema del tiempo que estuvo la patineta en el taller. 15 días exactamente y el día que yo la ingresé, al día siguiente me llegó la cotización para autorizar y autoricé todo y se demoró 15 días. Lo cual se me hizo mucho tiempo. Pero de resto bien"/>
    <m/>
    <m/>
    <m/>
    <m/>
    <m/>
  </r>
  <r>
    <d v="2025-10-07T00:00:00"/>
    <x v="3"/>
    <x v="12"/>
    <s v="RENATO"/>
    <s v="BAÑOS ZARATE"/>
    <n v="573103278772"/>
    <n v="70585"/>
    <x v="3"/>
    <x v="1"/>
    <s v="Me parece increíble que al recoger la patineta la devuelvan en el mismo estado y no tengan la mínima cortesía de una limpieza …."/>
    <m/>
    <m/>
    <m/>
    <m/>
    <m/>
  </r>
  <r>
    <d v="2025-10-07T00:00:00"/>
    <x v="3"/>
    <x v="12"/>
    <s v="ANDRES FELIPE"/>
    <s v="OSSA NARANJO"/>
    <n v="573003986514"/>
    <n v="70685"/>
    <x v="3"/>
    <x v="0"/>
    <s v="Buen servicio tecnico"/>
    <m/>
    <m/>
    <m/>
    <m/>
    <m/>
  </r>
  <r>
    <d v="2025-10-07T00:00:00"/>
    <x v="3"/>
    <x v="12"/>
    <s v="VALERIA"/>
    <s v="RONDON RINCON"/>
    <n v="573017919938"/>
    <n v="70777"/>
    <x v="3"/>
    <x v="0"/>
    <s v="Muy amables, buena atención"/>
    <m/>
    <m/>
    <m/>
    <m/>
    <m/>
  </r>
  <r>
    <d v="2025-10-07T00:00:00"/>
    <x v="3"/>
    <x v="12"/>
    <s v="ALEJANDRO"/>
    <s v="ESTUPIÑÁN FRANCO"/>
    <n v="573105709077"/>
    <n v="70086"/>
    <x v="2"/>
    <x v="0"/>
    <s v="Revisar a detalle la scooter según la novedad que presente el cliente, ir un poco mas allá de la revisión general"/>
    <m/>
    <m/>
    <m/>
    <m/>
    <m/>
  </r>
  <r>
    <d v="2025-10-07T00:00:00"/>
    <x v="3"/>
    <x v="12"/>
    <s v="MARIA DEL PILAR"/>
    <s v="CUERVO ORTIZ"/>
    <n v="573103370363"/>
    <n v="70658"/>
    <x v="3"/>
    <x v="0"/>
    <s v="Muy buen servicio"/>
    <m/>
    <m/>
    <m/>
    <m/>
    <m/>
  </r>
  <r>
    <d v="2025-10-06T00:00:00"/>
    <x v="3"/>
    <x v="12"/>
    <s v="ELIECER DAVID"/>
    <s v="GOMEZ VILLAMIL"/>
    <n v="573164964457"/>
    <n v="70532"/>
    <x v="3"/>
    <x v="0"/>
    <s v="Van mejorando en Medellín, ya que el taller antes el servicio era regular, cambiaron al técnico y está mejorando"/>
    <m/>
    <m/>
    <m/>
    <m/>
    <m/>
  </r>
  <r>
    <d v="2025-10-06T00:00:00"/>
    <x v="3"/>
    <x v="12"/>
    <s v="JUAN FELIPE"/>
    <s v="LIZARAZO REYES"/>
    <n v="573045927935"/>
    <n v="70693"/>
    <x v="4"/>
    <x v="2"/>
    <s v="Estaba el motor dañado, salió rodando del sitio, pauperrima atencion"/>
    <m/>
    <m/>
    <m/>
    <m/>
    <m/>
  </r>
  <r>
    <d v="2025-10-06T00:00:00"/>
    <x v="3"/>
    <x v="12"/>
    <s v="MANUELA"/>
    <s v="VERGARA RIVILLAS"/>
    <n v="573103476975"/>
    <n v="70753"/>
    <x v="3"/>
    <x v="0"/>
    <s v="Tuve problemas con la recepción de los mensajes para ingresar, pero el personal fue muy amable y atento"/>
    <m/>
    <m/>
    <m/>
    <m/>
    <m/>
  </r>
  <r>
    <d v="2025-10-06T00:00:00"/>
    <x v="3"/>
    <x v="12"/>
    <s v="PARTNERS"/>
    <s v="360 SAS"/>
    <n v="573004533773"/>
    <n v="68833"/>
    <x v="3"/>
    <x v="0"/>
    <s v="Buen servicio"/>
    <m/>
    <m/>
    <m/>
    <m/>
    <m/>
  </r>
  <r>
    <d v="2025-10-06T00:00:00"/>
    <x v="3"/>
    <x v="12"/>
    <s v="MARIA ANGELICA"/>
    <s v="SARMIENTO BELTRAN"/>
    <n v="573167295020"/>
    <n v="70336"/>
    <x v="4"/>
    <x v="1"/>
    <s v="Antes de realizar cualquier ajuste en las cotizaciones,ordenes y demás deben ser validadas directamente con el propietario, ya que como bn lo han exigido siempre es el propietario que debe dar la previa autorización"/>
    <m/>
    <m/>
    <m/>
    <m/>
    <m/>
  </r>
  <r>
    <d v="2025-10-06T00:00:00"/>
    <x v="3"/>
    <x v="12"/>
    <s v="ANDRES STIVEN"/>
    <s v="GOMEZ TEGUA"/>
    <n v="573024611512"/>
    <n v="70620"/>
    <x v="3"/>
    <x v="0"/>
    <s v="Respaldo de la marca"/>
    <m/>
    <m/>
    <m/>
    <m/>
    <m/>
  </r>
  <r>
    <d v="2025-10-06T00:00:00"/>
    <x v="3"/>
    <x v="12"/>
    <s v="HEYDY VANESA"/>
    <s v="AMAYA RODRIGUEZ"/>
    <n v="573138624997"/>
    <n v="70627"/>
    <x v="3"/>
    <x v="0"/>
    <s v="Sería chévere que ofrecerán el servicio de lavado_x000a_Fuera del mantenimiento"/>
    <m/>
    <m/>
    <m/>
    <m/>
    <m/>
  </r>
  <r>
    <d v="2025-10-06T00:00:00"/>
    <x v="3"/>
    <x v="12"/>
    <s v="JUAN SEBASTIAN"/>
    <s v="USSA SALCEDO"/>
    <n v="573124901709"/>
    <n v="70481"/>
    <x v="3"/>
    <x v="0"/>
    <s v="Excelente tiempo de respuesta y muy buen servicio se sintio la diferencia 100%"/>
    <m/>
    <m/>
    <m/>
    <m/>
    <m/>
  </r>
  <r>
    <d v="2025-10-06T00:00:00"/>
    <x v="3"/>
    <x v="12"/>
    <s v="ALBERTO"/>
    <s v="VILLAMARIN"/>
    <n v="573134403104"/>
    <n v="69331"/>
    <x v="3"/>
    <x v="1"/>
    <s v="La experiencia fue muy mala en esta oportunidad debido a varios factores: 1. Autorice el trabajo por Whats Up según mis necesidades; pero pasado el tiempo, no había comunicación, entonces decidí ir al taller. No estaba lista por falta de autorización. 2 entonces autorice que se realizara el mantenimiento y se despinchara (razón por la que la llevaba al taller) y cuando fui le habían cambiado la llanta, sin mi autorización. Eso me parece un mal servicio."/>
    <m/>
    <m/>
    <m/>
    <m/>
    <m/>
  </r>
  <r>
    <d v="2025-10-06T00:00:00"/>
    <x v="3"/>
    <x v="12"/>
    <s v="JOHN HENDRYX"/>
    <s v="COLORADO ROMERO"/>
    <n v="573127718065"/>
    <n v="70766"/>
    <x v="3"/>
    <x v="0"/>
    <s v="Reo que es la mejor opción calidad precio y la estética de la patineta es espectacular solo le pondríais un guarda fangos delantero para esa patineta. Por todo lo demás es espectacular!"/>
    <m/>
    <m/>
    <m/>
    <m/>
    <m/>
  </r>
  <r>
    <d v="2025-10-06T00:00:00"/>
    <x v="3"/>
    <x v="12"/>
    <s v="SALES ANDSERVICES TECHNOLOGY SYSTEMS S A S"/>
    <s v="SALES ANDSERVICES TECHNOLOGY SYSTEMS S A S"/>
    <n v="573165314287"/>
    <n v="70569"/>
    <x v="2"/>
    <x v="1"/>
    <m/>
    <m/>
    <m/>
    <m/>
    <m/>
    <m/>
  </r>
  <r>
    <d v="2025-10-04T00:00:00"/>
    <x v="3"/>
    <x v="13"/>
    <s v="JUAN DAVID"/>
    <s v="CIPAGAUTA"/>
    <n v="573164729099"/>
    <n v="70091"/>
    <x v="2"/>
    <x v="1"/>
    <m/>
    <m/>
    <m/>
    <m/>
    <m/>
    <m/>
  </r>
  <r>
    <d v="2025-10-04T00:00:00"/>
    <x v="3"/>
    <x v="13"/>
    <s v="CARLOS ARTURO"/>
    <s v="PORTILLO CRUZ"/>
    <n v="573505816828"/>
    <n v="70526"/>
    <x v="3"/>
    <x v="0"/>
    <s v="Excelente servicio y atención, con referencia a su mantenimiento sugiero realizar una verificación más profunda de las fallas dado que en ocasiones he vuelto por fallas similares o que se pudieron evidenciar en el mantenimiento preventivo. Gracias"/>
    <m/>
    <m/>
    <m/>
    <m/>
    <m/>
  </r>
  <r>
    <d v="2025-10-04T00:00:00"/>
    <x v="3"/>
    <x v="13"/>
    <s v="JULIAN"/>
    <s v="CORTES BAEZ"/>
    <n v="573137319209"/>
    <n v="69629"/>
    <x v="3"/>
    <x v="0"/>
    <s v="La marca me parece muy buena, la atención, tiempo de respuesta y calidad del producto excelentes, feliz con mi Minca"/>
    <m/>
    <m/>
    <m/>
    <m/>
    <m/>
  </r>
  <r>
    <d v="2025-10-04T00:00:00"/>
    <x v="3"/>
    <x v="13"/>
    <s v="LUIS FERNANDO"/>
    <s v="ROMÁN OSPINA"/>
    <n v="573105544342"/>
    <n v="70085"/>
    <x v="3"/>
    <x v="0"/>
    <s v="Atención óptima desde el ingreso"/>
    <m/>
    <m/>
    <m/>
    <m/>
    <m/>
  </r>
  <r>
    <d v="2025-10-04T00:00:00"/>
    <x v="3"/>
    <x v="13"/>
    <s v="JUAN PABLO"/>
    <s v="MORENO CONTRERAS"/>
    <n v="573226858232"/>
    <n v="70337"/>
    <x v="3"/>
    <x v="0"/>
    <s v="Interesante sería darle prioridad a los que venimos desde afuera de la ciudad, para poder tener ese mantenimiento en el mismo día.  Mi caso, vengo desde la Mesa Cundinamarca, 110 km es recorrido en la y regreso, 3 peajes de los caros."/>
    <m/>
    <m/>
    <m/>
    <m/>
    <m/>
  </r>
  <r>
    <d v="2025-10-04T00:00:00"/>
    <x v="3"/>
    <x v="13"/>
    <s v="WILLIAM ANDRES"/>
    <s v="SIERRA SANCHEZ"/>
    <n v="573013290493"/>
    <n v="70159"/>
    <x v="3"/>
    <x v="1"/>
    <s v="Vivo en ese taller, hago lo que me piden siempre, le compré forro para el agua, le compré impermeabilización, voy cada que cumplo un kilometraje a que le hagan mantenimiento. Pero vivo en ese taller. Y es un vehículo que tiene menos de un año de comprado. El ANS de tres días que te dicen en recepción cuando entregas la scooter nunca se cumple, yo debo esperar alrededor de ~8 días para la salida."/>
    <m/>
    <m/>
    <m/>
    <m/>
    <m/>
  </r>
  <r>
    <d v="2025-10-04T00:00:00"/>
    <x v="3"/>
    <x v="13"/>
    <s v="ANNA MILOSLAVA"/>
    <s v="TAJC HERRERA"/>
    <n v="573102058710"/>
    <n v="69631"/>
    <x v="3"/>
    <x v="0"/>
    <s v="El servicio fue bueno, insistieron hasta encontrar el daño. La atención en punto, buena muy amables"/>
    <m/>
    <m/>
    <m/>
    <m/>
    <m/>
  </r>
  <r>
    <d v="2025-10-04T00:00:00"/>
    <x v="3"/>
    <x v="13"/>
    <s v="YENIFER"/>
    <s v="NAVAS ROJAS"/>
    <n v="573107503032"/>
    <n v="70501"/>
    <x v="3"/>
    <x v="0"/>
    <s v="Excelente servicio muchas gracias"/>
    <m/>
    <m/>
    <m/>
    <m/>
    <m/>
  </r>
  <r>
    <d v="2025-10-04T00:00:00"/>
    <x v="3"/>
    <x v="13"/>
    <s v="JOSE LUIS"/>
    <s v="ESPITIA ZAMBRANO"/>
    <n v="573112974457"/>
    <n v="70562"/>
    <x v="3"/>
    <x v="0"/>
    <s v="Hola"/>
    <m/>
    <m/>
    <m/>
    <m/>
    <m/>
  </r>
  <r>
    <d v="2025-10-04T00:00:00"/>
    <x v="3"/>
    <x v="13"/>
    <s v="FELIPE"/>
    <s v="TOLOZA CONTRERAS"/>
    <n v="573124145562"/>
    <n v="70176"/>
    <x v="3"/>
    <x v="0"/>
    <s v="Excelente servicio"/>
    <m/>
    <m/>
    <m/>
    <m/>
    <m/>
  </r>
  <r>
    <d v="2025-10-04T00:00:00"/>
    <x v="3"/>
    <x v="13"/>
    <s v="JHON"/>
    <s v="CARRILLO"/>
    <n v="573177841020"/>
    <n v="70161"/>
    <x v="3"/>
    <x v="0"/>
    <s v="La marca es muy buena, de hecho tuve la versión anterior 2022 y me fue muy bien"/>
    <m/>
    <m/>
    <m/>
    <m/>
    <m/>
  </r>
  <r>
    <d v="2025-10-03T00:00:00"/>
    <x v="3"/>
    <x v="13"/>
    <s v="FLORALBA"/>
    <s v="ROJAS CARRERO"/>
    <n v="573053708688"/>
    <n v="70225"/>
    <x v="3"/>
    <x v="0"/>
    <s v="Excelente servicio"/>
    <m/>
    <m/>
    <m/>
    <m/>
    <m/>
  </r>
  <r>
    <d v="2025-10-03T00:00:00"/>
    <x v="3"/>
    <x v="13"/>
    <s v="GINA"/>
    <s v="VILLAMIL PAEZ"/>
    <n v="573022532053"/>
    <n v="70365"/>
    <x v="4"/>
    <x v="2"/>
    <s v="Lleve la patineta por mantenimiento preventivo y me realizaron una cotización por cosas adicionales que iban dentro del mantenimiento preventivo. Al consultar me informaron que solo por revisar cobran el mantenimiento preventivo y por limpiar. Es exagerado el cobro teniendo en cuenta además que la patineta se lleva a la mismo servicio de mantenimiento de minca."/>
    <m/>
    <m/>
    <m/>
    <m/>
    <m/>
  </r>
  <r>
    <d v="2025-10-03T00:00:00"/>
    <x v="3"/>
    <x v="13"/>
    <s v="GINA"/>
    <s v="VILLAMIL PAEZ"/>
    <n v="573022532053"/>
    <n v="70365"/>
    <x v="4"/>
    <x v="2"/>
    <s v="Lleve la patineta por mantenimiento preventivo y me realizaron una cotización por cosas adicionales que iban dentro del mantenimiento preventivo. Al consultar me informaron que solo por revisar cobran el mantenimiento preventivo y por limpiar. Es exagerado el cobro teniendo en cuenta además que la patineta se lleva a la mismo servicio de mantenimiento de minca."/>
    <m/>
    <m/>
    <m/>
    <m/>
    <m/>
  </r>
  <r>
    <d v="2025-10-03T00:00:00"/>
    <x v="3"/>
    <x v="13"/>
    <s v="SOFIA"/>
    <s v="DIAZ BRUNAL"/>
    <n v="573152833976"/>
    <n v="70570"/>
    <x v="3"/>
    <x v="0"/>
    <s v="Muy buen porce9s de mantenimiento y bastante eficiente"/>
    <m/>
    <m/>
    <m/>
    <m/>
    <m/>
  </r>
  <r>
    <d v="2025-10-03T00:00:00"/>
    <x v="3"/>
    <x v="13"/>
    <s v="CLAUDIA JIMENA"/>
    <s v="PALACIOS BERNAL"/>
    <n v="573114831327"/>
    <n v="70632"/>
    <x v="3"/>
    <x v="0"/>
    <s v="Servicio amable"/>
    <m/>
    <m/>
    <m/>
    <m/>
    <m/>
  </r>
  <r>
    <d v="2025-10-03T00:00:00"/>
    <x v="3"/>
    <x v="13"/>
    <s v="ALEXANDER"/>
    <s v="NORIEGA PEINADO"/>
    <n v="573172739003"/>
    <n v="70565"/>
    <x v="3"/>
    <x v="0"/>
    <s v="Atención muy buena, atendieron todas mis solicitudes y mi patineta quedó nuevamente en óptimas condiciones. Gracias!!!"/>
    <m/>
    <m/>
    <m/>
    <m/>
    <m/>
  </r>
  <r>
    <d v="2025-10-03T00:00:00"/>
    <x v="3"/>
    <x v="13"/>
    <s v="MIGUEL"/>
    <s v="BRIJALDO ALBA"/>
    <n v="573167522290"/>
    <n v="70543"/>
    <x v="3"/>
    <x v="0"/>
    <s v="Muy buena y rápida la atención"/>
    <m/>
    <m/>
    <m/>
    <m/>
    <m/>
  </r>
  <r>
    <d v="2025-10-03T00:00:00"/>
    <x v="3"/>
    <x v="13"/>
    <s v="SERGIO NICOLAS"/>
    <s v="RUIZ PEÑA"/>
    <n v="573195909001"/>
    <n v="70556"/>
    <x v="3"/>
    <x v="0"/>
    <s v="Excelente"/>
    <m/>
    <m/>
    <m/>
    <m/>
    <m/>
  </r>
  <r>
    <d v="2025-10-03T00:00:00"/>
    <x v="3"/>
    <x v="13"/>
    <s v="JAIRO ALONSO"/>
    <s v="ORDOÑEZ CAICEDO"/>
    <n v="573214118647"/>
    <n v="70063"/>
    <x v="3"/>
    <x v="0"/>
    <s v="Cuando se le hace mantenimiento sería bueno que le la entregarán con buena carga del resto excelente"/>
    <m/>
    <m/>
    <m/>
    <m/>
    <m/>
  </r>
  <r>
    <d v="2025-10-03T00:00:00"/>
    <x v="3"/>
    <x v="13"/>
    <s v="IVAN CAMILO"/>
    <s v="VILLARRAGA RIAÑO"/>
    <n v="573167474592"/>
    <n v="70522"/>
    <x v="3"/>
    <x v="0"/>
    <s v="Exelente servicio y muy contento con la atención"/>
    <m/>
    <m/>
    <m/>
    <m/>
    <m/>
  </r>
  <r>
    <d v="2025-10-03T00:00:00"/>
    <x v="3"/>
    <x v="13"/>
    <s v="JUAN FELIPE"/>
    <s v="ALVAREZ RIZZO"/>
    <n v="573155277625"/>
    <n v="70486"/>
    <x v="3"/>
    <x v="0"/>
    <s v="Fue muy buena y rápida."/>
    <m/>
    <m/>
    <m/>
    <m/>
    <m/>
  </r>
  <r>
    <d v="2025-10-03T00:00:00"/>
    <x v="3"/>
    <x v="13"/>
    <s v="EDELMIRA"/>
    <s v="ACOSTA ZAMBRANO"/>
    <n v="573208333020"/>
    <n v="69702"/>
    <x v="3"/>
    <x v="0"/>
    <s v="Muy confiable y responsable"/>
    <m/>
    <m/>
    <m/>
    <m/>
    <m/>
  </r>
  <r>
    <d v="2025-10-03T00:00:00"/>
    <x v="3"/>
    <x v="13"/>
    <s v="GERALDINE"/>
    <s v="TORRES CHACON"/>
    <n v="573152760538"/>
    <n v="69819"/>
    <x v="3"/>
    <x v="0"/>
    <s v="Los tiempos de entrega"/>
    <s v="Angie Montoya"/>
    <m/>
    <s v="2025-10-03T11:52:02-05:00"/>
    <m/>
    <m/>
  </r>
  <r>
    <d v="2025-10-03T00:00:00"/>
    <x v="3"/>
    <x v="13"/>
    <s v="PAULINA"/>
    <s v="ARANGO LORZA"/>
    <n v="573002263898"/>
    <n v="70447"/>
    <x v="3"/>
    <x v="0"/>
    <s v="Fueron muy amables, atentos y eficientes"/>
    <m/>
    <m/>
    <m/>
    <m/>
    <m/>
  </r>
  <r>
    <d v="2025-10-03T00:00:00"/>
    <x v="3"/>
    <x v="13"/>
    <s v="MANUEL ALEJANDRO"/>
    <s v="RAIGOZO REY"/>
    <n v="573118400324"/>
    <n v="70466"/>
    <x v="3"/>
    <x v="0"/>
    <s v="Todo muy bien"/>
    <m/>
    <m/>
    <m/>
    <m/>
    <m/>
  </r>
  <r>
    <d v="2025-10-03T00:00:00"/>
    <x v="3"/>
    <x v="13"/>
    <s v="WILLIAM ARTURO"/>
    <s v="HERNANDEZ VALLEJO"/>
    <n v="573102988470"/>
    <n v="70025"/>
    <x v="3"/>
    <x v="0"/>
    <s v="Hasta el momento me ha parecido muy buena la postventa."/>
    <m/>
    <m/>
    <m/>
    <m/>
    <m/>
  </r>
  <r>
    <d v="2025-10-02T00:00:00"/>
    <x v="3"/>
    <x v="13"/>
    <s v="PEDRO JUAN"/>
    <s v="PABLO MORENO"/>
    <n v="573102688114"/>
    <n v="70492"/>
    <x v="3"/>
    <x v="0"/>
    <s v="Muy bueno y felicitaciones a las personas que me atendieron hoy en la mañana"/>
    <m/>
    <m/>
    <m/>
    <m/>
    <m/>
  </r>
  <r>
    <d v="2025-10-02T00:00:00"/>
    <x v="3"/>
    <x v="13"/>
    <s v="KILINSMANN"/>
    <s v="LEMUS BONILLA"/>
    <n v="573008489988"/>
    <n v="70503"/>
    <x v="3"/>
    <x v="0"/>
    <s v="Exelente servicio y eficacia"/>
    <m/>
    <m/>
    <m/>
    <m/>
    <m/>
  </r>
  <r>
    <d v="2025-10-02T00:00:00"/>
    <x v="3"/>
    <x v="13"/>
    <s v="JULIAN EDUARDO"/>
    <s v="RIVERA RUBIANO"/>
    <n v="573208122310"/>
    <n v="69934"/>
    <x v="3"/>
    <x v="0"/>
    <s v="Quiero felicitar al personal técnico del taller de chico ya que su agilidad su oportuna atención y su eficacia a la hora de resolver los problemas es algo de felicitar"/>
    <m/>
    <m/>
    <m/>
    <m/>
    <m/>
  </r>
  <r>
    <d v="2025-10-02T00:00:00"/>
    <x v="3"/>
    <x v="13"/>
    <s v="DAVID FELIPE"/>
    <s v="GAITAN PACHON"/>
    <n v="573183831271"/>
    <n v="70390"/>
    <x v="3"/>
    <x v="0"/>
    <s v="Amables y sencillos, muy fácil el proceso y calidad"/>
    <m/>
    <m/>
    <m/>
    <m/>
    <m/>
  </r>
  <r>
    <d v="2025-10-02T00:00:00"/>
    <x v="3"/>
    <x v="13"/>
    <s v="YUDY PATRICIA"/>
    <s v="ENCISO MARIN"/>
    <n v="573007786192"/>
    <n v="70291"/>
    <x v="3"/>
    <x v="0"/>
    <s v="Maravillso todo! El servicio inigualable. Muy ordenados"/>
    <m/>
    <m/>
    <m/>
    <m/>
    <m/>
  </r>
  <r>
    <d v="2025-10-02T00:00:00"/>
    <x v="3"/>
    <x v="13"/>
    <s v="ANDRES FELIPE"/>
    <s v="OTALORA CALA"/>
    <n v="573123750446"/>
    <n v="70126"/>
    <x v="3"/>
    <x v="0"/>
    <s v="Por favor ampliar horarios para recoger las patinetas"/>
    <m/>
    <m/>
    <m/>
    <m/>
    <m/>
  </r>
  <r>
    <d v="2025-10-02T00:00:00"/>
    <x v="3"/>
    <x v="13"/>
    <s v="MARCOLINO"/>
    <s v="CARO"/>
    <n v="573125129843"/>
    <n v="70407"/>
    <x v="3"/>
    <x v="0"/>
    <m/>
    <m/>
    <m/>
    <m/>
    <m/>
    <m/>
  </r>
  <r>
    <d v="2025-10-02T00:00:00"/>
    <x v="3"/>
    <x v="13"/>
    <s v="NICOLAS ALFREDO"/>
    <s v="RONCERIA RODRIGUEZ"/>
    <n v="573138915056"/>
    <n v="69811"/>
    <x v="3"/>
    <x v="0"/>
    <s v="Me pareció muy buen servicio ya que se tuvo que cambiar el motor y se aplicó la garantía, lo único no tan bueno es que se demoró poco más de una semana, pero en general muy bien"/>
    <m/>
    <m/>
    <m/>
    <m/>
    <m/>
  </r>
  <r>
    <d v="2025-10-02T00:00:00"/>
    <x v="3"/>
    <x v="13"/>
    <s v="Diego Enrique"/>
    <s v="Castillo Lancheros"/>
    <n v="573160534041"/>
    <n v="70188"/>
    <x v="3"/>
    <x v="0"/>
    <s v="Deberían avisar que la scooter  no la entregan con carga. Porque en mi caso no tenía cargador. O mejor, que pudiera estar cargada al recogerla. Gracias"/>
    <m/>
    <m/>
    <m/>
    <m/>
    <m/>
  </r>
  <r>
    <d v="2025-10-02T00:00:00"/>
    <x v="3"/>
    <x v="13"/>
    <s v="EDWIN LEONARDO"/>
    <s v="GUERRERO DAZA"/>
    <n v="573115911716"/>
    <n v="70448"/>
    <x v="3"/>
    <x v="0"/>
    <s v="Sería muy bueno revisar los horarios de atención, por temas laborales es muy dificil ajustarse a esos horarios"/>
    <m/>
    <m/>
    <m/>
    <m/>
    <m/>
  </r>
  <r>
    <d v="2025-10-02T00:00:00"/>
    <x v="3"/>
    <x v="13"/>
    <s v="SERGIO"/>
    <s v="OVALLE CAYON"/>
    <n v="573153968522"/>
    <n v="69972"/>
    <x v="3"/>
    <x v="0"/>
    <m/>
    <m/>
    <m/>
    <m/>
    <m/>
    <m/>
  </r>
  <r>
    <d v="2025-10-01T00:00:00"/>
    <x v="3"/>
    <x v="13"/>
    <s v="DANIEL"/>
    <s v="ALARCON"/>
    <n v="573178863621"/>
    <n v="70391"/>
    <x v="4"/>
    <x v="1"/>
    <s v="Mi patineta entro 3 veces al taller por un pinchazo, al final encontré la mala reparación realizada, el parche instalado generó un &quot;huevo&quot; ocasiónando extrema vibración, el taller ofreció cambio de rueda en la cuarta entrada al taller, pero no la cambiaron, creo arreglaron bien el pinchazo pero sigue la vibración."/>
    <m/>
    <m/>
    <m/>
    <m/>
    <m/>
  </r>
  <r>
    <d v="2025-09-29T00:00:00"/>
    <x v="4"/>
    <x v="13"/>
    <s v="Juan Carlos"/>
    <s v="Rodriguez"/>
    <n v="573012141145"/>
    <n v="69756"/>
    <x v="5"/>
    <x v="4"/>
    <m/>
    <m/>
    <m/>
    <m/>
    <m/>
    <m/>
  </r>
  <r>
    <d v="2025-09-29T00:00:00"/>
    <x v="4"/>
    <x v="13"/>
    <s v="Juan David"/>
    <s v="Gomez Eusse"/>
    <n v="573113465552"/>
    <n v="70261"/>
    <x v="3"/>
    <x v="5"/>
    <s v="https://manybot-files.s3.eu-central-1.amazonaws.com/530239/wa/2025/09/29/original_788bb7fbebce3415f870a2c814c3d168.jpeg"/>
    <m/>
    <s v="Bueno"/>
    <m/>
    <m/>
    <m/>
  </r>
  <r>
    <d v="2025-09-29T00:00:00"/>
    <x v="4"/>
    <x v="13"/>
    <s v="Natalia Isabel"/>
    <s v="Manco Maza"/>
    <n v="573233064812"/>
    <n v="70288"/>
    <x v="5"/>
    <x v="4"/>
    <m/>
    <m/>
    <m/>
    <m/>
    <m/>
    <m/>
  </r>
  <r>
    <d v="2025-09-29T00:00:00"/>
    <x v="4"/>
    <x v="13"/>
    <s v="Mateo"/>
    <s v="Monsalve"/>
    <n v="573136363746"/>
    <n v="70259"/>
    <x v="5"/>
    <x v="4"/>
    <m/>
    <m/>
    <m/>
    <m/>
    <m/>
    <m/>
  </r>
  <r>
    <d v="2025-09-29T00:00:00"/>
    <x v="4"/>
    <x v="13"/>
    <s v="Omar Hernando"/>
    <s v="Chaparro Rojas"/>
    <n v="573194439714"/>
    <n v="69555"/>
    <x v="5"/>
    <x v="4"/>
    <m/>
    <m/>
    <m/>
    <m/>
    <m/>
    <m/>
  </r>
  <r>
    <d v="2025-09-29T00:00:00"/>
    <x v="4"/>
    <x v="13"/>
    <s v="Paula Daniela"/>
    <s v="Sandoval Ospina"/>
    <n v="573143920126"/>
    <n v="70281"/>
    <x v="4"/>
    <x v="6"/>
    <m/>
    <m/>
    <s v="Malo"/>
    <m/>
    <m/>
    <m/>
  </r>
  <r>
    <d v="2025-09-29T00:00:00"/>
    <x v="4"/>
    <x v="13"/>
    <s v="Santiago"/>
    <s v="Paez Aljure"/>
    <n v="573112290779"/>
    <n v="69998"/>
    <x v="5"/>
    <x v="4"/>
    <m/>
    <m/>
    <m/>
    <m/>
    <m/>
    <m/>
  </r>
  <r>
    <d v="2025-09-29T00:00:00"/>
    <x v="4"/>
    <x v="13"/>
    <s v="Andres"/>
    <s v="Hernandez"/>
    <n v="573203414170"/>
    <n v="70056"/>
    <x v="5"/>
    <x v="4"/>
    <m/>
    <m/>
    <m/>
    <m/>
    <m/>
    <m/>
  </r>
  <r>
    <d v="2025-09-29T00:00:00"/>
    <x v="4"/>
    <x v="13"/>
    <s v="Alferd Jose"/>
    <s v="Valera Leon"/>
    <n v="573213147935"/>
    <n v="69971"/>
    <x v="5"/>
    <x v="4"/>
    <m/>
    <m/>
    <m/>
    <m/>
    <m/>
    <m/>
  </r>
  <r>
    <d v="2025-09-29T00:00:00"/>
    <x v="4"/>
    <x v="13"/>
    <s v="Fernaldo"/>
    <s v="Mogollon Cruz"/>
    <n v="573115562762"/>
    <n v="70044"/>
    <x v="5"/>
    <x v="4"/>
    <m/>
    <m/>
    <m/>
    <m/>
    <m/>
    <m/>
  </r>
  <r>
    <d v="2025-09-29T00:00:00"/>
    <x v="4"/>
    <x v="13"/>
    <s v="Daniel"/>
    <s v="Torres Martinez"/>
    <n v="573043772117"/>
    <n v="69461"/>
    <x v="5"/>
    <x v="4"/>
    <m/>
    <m/>
    <m/>
    <m/>
    <m/>
    <m/>
  </r>
  <r>
    <d v="2025-09-29T00:00:00"/>
    <x v="4"/>
    <x v="13"/>
    <s v="Cristian Camilo"/>
    <s v="Juyo Romero"/>
    <n v="573107529171"/>
    <n v="69933"/>
    <x v="3"/>
    <x v="7"/>
    <m/>
    <m/>
    <s v="Regular"/>
    <m/>
    <m/>
    <m/>
  </r>
  <r>
    <d v="2025-09-27T00:00:00"/>
    <x v="4"/>
    <x v="14"/>
    <s v="Eriselh"/>
    <s v="Rebolledo"/>
    <n v="573013858281"/>
    <n v="68731"/>
    <x v="5"/>
    <x v="4"/>
    <m/>
    <m/>
    <m/>
    <m/>
    <m/>
    <m/>
  </r>
  <r>
    <d v="2025-09-27T00:00:00"/>
    <x v="4"/>
    <x v="14"/>
    <s v="Laura Carolina"/>
    <s v="VelÁsquez Gaona"/>
    <n v="573214715784"/>
    <n v="69688"/>
    <x v="3"/>
    <x v="8"/>
    <m/>
    <m/>
    <s v="Malo"/>
    <m/>
    <m/>
    <m/>
  </r>
  <r>
    <d v="2025-09-27T00:00:00"/>
    <x v="4"/>
    <x v="14"/>
    <s v="La Mafe Mendez Sas"/>
    <s v="La Mafe Mendez Sas"/>
    <n v="573143630175"/>
    <n v="70074"/>
    <x v="5"/>
    <x v="4"/>
    <m/>
    <m/>
    <m/>
    <m/>
    <m/>
    <m/>
  </r>
  <r>
    <d v="2025-09-27T00:00:00"/>
    <x v="4"/>
    <x v="14"/>
    <s v="Andres Mauricio"/>
    <s v="Arias Betacourth"/>
    <n v="573154949266"/>
    <n v="69520"/>
    <x v="3"/>
    <x v="9"/>
    <s v="https://manybot-files.s3.eu-central-1.amazonaws.com/530239/wa/2025/09/27/original_6434ab46853f823285b285ecbd4e35a9.jpeg"/>
    <m/>
    <s v="Bueno"/>
    <m/>
    <m/>
    <m/>
  </r>
  <r>
    <d v="2025-09-27T00:00:00"/>
    <x v="4"/>
    <x v="14"/>
    <s v="Elisa"/>
    <s v="Castrillon Palacio"/>
    <n v="573016682343"/>
    <n v="69634"/>
    <x v="5"/>
    <x v="4"/>
    <m/>
    <m/>
    <m/>
    <m/>
    <m/>
    <m/>
  </r>
  <r>
    <d v="2025-09-27T00:00:00"/>
    <x v="4"/>
    <x v="14"/>
    <s v="Mayra Alejandra"/>
    <s v="Larios Benavides"/>
    <n v="573177260070"/>
    <n v="69651"/>
    <x v="3"/>
    <x v="10"/>
    <s v="https://manybot-files.s3.eu-central-1.amazonaws.com/530239/wa/2025/09/27/original_e88a961df489d8e44d3886553e27702e.jpeg"/>
    <m/>
    <s v="Bueno"/>
    <m/>
    <m/>
    <m/>
  </r>
  <r>
    <d v="2025-09-27T00:00:00"/>
    <x v="4"/>
    <x v="14"/>
    <s v="Juan Manuel"/>
    <s v="Torres Ayala"/>
    <n v="573153461693"/>
    <n v="69636"/>
    <x v="5"/>
    <x v="4"/>
    <m/>
    <m/>
    <m/>
    <m/>
    <m/>
    <m/>
  </r>
  <r>
    <d v="2025-09-27T00:00:00"/>
    <x v="4"/>
    <x v="14"/>
    <s v="Jessica"/>
    <s v="Montero Suarez"/>
    <n v="573194240646"/>
    <n v="69990"/>
    <x v="3"/>
    <x v="11"/>
    <s v="https://manybot-files.s3.eu-central-1.amazonaws.com/530239/wa/2025/09/27/original_7789a8001de248b658a9190d7c4fded2.jpeg"/>
    <m/>
    <s v="Bueno"/>
    <m/>
    <m/>
    <m/>
  </r>
  <r>
    <d v="2025-09-27T00:00:00"/>
    <x v="4"/>
    <x v="14"/>
    <s v="Cristian Alexander"/>
    <s v="Puentes Rozo"/>
    <n v="573002980698"/>
    <n v="67861"/>
    <x v="3"/>
    <x v="12"/>
    <s v="https://manybot-files.s3.eu-central-1.amazonaws.com/530239/wa/2025/09/27/original_d0c017e057796af25c22859d562617a7.jpeg"/>
    <m/>
    <s v="Bueno"/>
    <m/>
    <m/>
    <m/>
  </r>
  <r>
    <d v="2025-09-26T00:00:00"/>
    <x v="4"/>
    <x v="14"/>
    <s v="GABRIEL"/>
    <s v="GUTIERREZ"/>
    <m/>
    <n v="69372"/>
    <x v="3"/>
    <x v="13"/>
    <s v="https://storage.googleapis.com/tapthetable/assets/1989204/inbox/573114418400/723430187418006.jpeg"/>
    <s v="Valentina Ayala prieba"/>
    <s v="Bueno"/>
    <s v="2025-09-26T17:26:32-05:00"/>
    <m/>
    <m/>
  </r>
  <r>
    <d v="2025-09-26T00:00:00"/>
    <x v="4"/>
    <x v="14"/>
    <s v="VALENTINA"/>
    <s v="AYALA QUINCHE"/>
    <m/>
    <n v="70060"/>
    <x v="3"/>
    <x v="14"/>
    <s v="https://storage.googleapis.com/tapthetable/assets/1989204/inbox/573194527981/1257058552861562.jpeg"/>
    <s v="Valentina"/>
    <s v="Bueno"/>
    <s v="2025-09-26T13:25:25-05:00"/>
    <m/>
    <m/>
  </r>
  <r>
    <d v="2025-09-26T00:00:00"/>
    <x v="4"/>
    <x v="14"/>
    <s v="Bryan Ricardo"/>
    <s v="Mendez Alvarado"/>
    <n v="573155272705"/>
    <n v="70021"/>
    <x v="3"/>
    <x v="15"/>
    <s v="https://manybot-files.s3.eu-central-1.amazonaws.com/530239/wa/2025/09/26/original_b6a54a23e3901e3033a6448c9e9edd40.jpeg"/>
    <m/>
    <s v="Bueno"/>
    <m/>
    <m/>
    <m/>
  </r>
  <r>
    <d v="2025-09-26T00:00:00"/>
    <x v="4"/>
    <x v="14"/>
    <s v="Juan Carlos"/>
    <s v="Ceron Rincon"/>
    <n v="573102116532"/>
    <n v="70004"/>
    <x v="5"/>
    <x v="4"/>
    <m/>
    <m/>
    <m/>
    <m/>
    <m/>
    <m/>
  </r>
  <r>
    <d v="2025-09-26T00:00:00"/>
    <x v="4"/>
    <x v="14"/>
    <s v="Karen"/>
    <s v="Cantor"/>
    <n v="573022452467"/>
    <n v="69711"/>
    <x v="3"/>
    <x v="16"/>
    <s v="https://manybot-files.s3.eu-central-1.amazonaws.com/530239/wa/2025/09/26/original_8ffdf3efed98bd2d1d823a2b69a8bcb8.jpeg"/>
    <m/>
    <s v="Bueno"/>
    <m/>
    <m/>
    <m/>
  </r>
  <r>
    <d v="2025-09-26T00:00:00"/>
    <x v="4"/>
    <x v="14"/>
    <s v="Juan Pablo"/>
    <s v="Salazar"/>
    <n v="573105655570"/>
    <n v="69888"/>
    <x v="5"/>
    <x v="4"/>
    <m/>
    <m/>
    <m/>
    <m/>
    <m/>
    <m/>
  </r>
  <r>
    <d v="2025-09-26T00:00:00"/>
    <x v="4"/>
    <x v="14"/>
    <s v="Andrey Alejandro"/>
    <s v="Ayala Martinez"/>
    <n v="573138409601"/>
    <n v="69796"/>
    <x v="3"/>
    <x v="0"/>
    <s v="https://manybot-files.s3.eu-central-1.amazonaws.com/530239/wa/2025/09/26/original_61c7f0d2e2383d2186c97cdf94aa967a.jpeg"/>
    <m/>
    <s v="Bueno"/>
    <m/>
    <m/>
    <m/>
  </r>
  <r>
    <d v="2025-09-26T00:00:00"/>
    <x v="4"/>
    <x v="14"/>
    <s v="Maria Rebeca"/>
    <s v="Echeverri De Chaux"/>
    <n v="573232301851"/>
    <n v="70083"/>
    <x v="5"/>
    <x v="4"/>
    <m/>
    <m/>
    <m/>
    <m/>
    <m/>
    <m/>
  </r>
  <r>
    <d v="2025-09-26T00:00:00"/>
    <x v="4"/>
    <x v="14"/>
    <s v="Roximer Alejandra"/>
    <s v="Rodriguez"/>
    <n v="573209638298"/>
    <n v="70002"/>
    <x v="5"/>
    <x v="4"/>
    <m/>
    <m/>
    <m/>
    <m/>
    <m/>
    <m/>
  </r>
  <r>
    <d v="2025-09-26T00:00:00"/>
    <x v="4"/>
    <x v="14"/>
    <s v="Michell Chiquinquira"/>
    <s v="Martinez Portillo"/>
    <n v="573169862872"/>
    <n v="70000"/>
    <x v="3"/>
    <x v="4"/>
    <m/>
    <m/>
    <s v="Bueno"/>
    <m/>
    <m/>
    <m/>
  </r>
  <r>
    <d v="2025-09-26T00:00:00"/>
    <x v="4"/>
    <x v="14"/>
    <s v="Hugo"/>
    <s v="Cordero"/>
    <n v="573113223985"/>
    <n v="69864"/>
    <x v="5"/>
    <x v="4"/>
    <m/>
    <m/>
    <m/>
    <m/>
    <m/>
    <m/>
  </r>
  <r>
    <d v="2025-09-26T00:00:00"/>
    <x v="4"/>
    <x v="14"/>
    <s v="Kevin Eduard"/>
    <s v="Valencia Suarez"/>
    <n v="573128610004"/>
    <n v="64501"/>
    <x v="3"/>
    <x v="17"/>
    <s v="https://manybot-files.s3.eu-central-1.amazonaws.com/530239/wa/2025/09/26/original_0b5c0033d25be505e53e997d9a2a5691.jpeg"/>
    <m/>
    <s v="Bueno"/>
    <m/>
    <m/>
    <m/>
  </r>
  <r>
    <d v="2025-09-26T00:00:00"/>
    <x v="4"/>
    <x v="14"/>
    <s v="Diana Milena"/>
    <s v="Chaves Rivera"/>
    <n v="573138911715"/>
    <n v="70036"/>
    <x v="5"/>
    <x v="4"/>
    <m/>
    <m/>
    <m/>
    <m/>
    <m/>
    <m/>
  </r>
  <r>
    <d v="2025-09-26T00:00:00"/>
    <x v="4"/>
    <x v="14"/>
    <s v="Juan Paulo"/>
    <s v="OrtegÓn Valencia"/>
    <n v="573188432149"/>
    <n v="69981"/>
    <x v="5"/>
    <x v="4"/>
    <m/>
    <m/>
    <m/>
    <m/>
    <m/>
    <m/>
  </r>
  <r>
    <d v="2025-09-25T00:00:00"/>
    <x v="4"/>
    <x v="14"/>
    <s v="Edgard"/>
    <s v="Gonzalez Romero"/>
    <n v="573125409487"/>
    <n v="69576"/>
    <x v="5"/>
    <x v="4"/>
    <m/>
    <m/>
    <m/>
    <m/>
    <m/>
    <m/>
  </r>
  <r>
    <d v="2025-09-25T00:00:00"/>
    <x v="4"/>
    <x v="14"/>
    <s v="Erika Yazmin"/>
    <s v="Anacona OrdoÑez"/>
    <n v="573208856738"/>
    <n v="69955"/>
    <x v="5"/>
    <x v="4"/>
    <m/>
    <m/>
    <m/>
    <m/>
    <m/>
    <m/>
  </r>
  <r>
    <d v="2025-09-25T00:00:00"/>
    <x v="4"/>
    <x v="14"/>
    <s v="Diego David"/>
    <s v="Restrepo Barrios"/>
    <n v="573103365215"/>
    <n v="69999"/>
    <x v="5"/>
    <x v="4"/>
    <m/>
    <m/>
    <m/>
    <m/>
    <m/>
    <m/>
  </r>
  <r>
    <d v="2025-09-25T00:00:00"/>
    <x v="4"/>
    <x v="14"/>
    <s v="Jairo Camilo"/>
    <s v="RiaÑo Posada"/>
    <n v="573184471286"/>
    <n v="69896"/>
    <x v="3"/>
    <x v="18"/>
    <s v="https://manybot-files.s3.eu-central-1.amazonaws.com/530239/wa/2025/09/26/original_a1ad74c1cf430a5268e3cf611c650359.jpeg"/>
    <m/>
    <s v="Bueno"/>
    <m/>
    <m/>
    <m/>
  </r>
  <r>
    <d v="2025-09-25T00:00:00"/>
    <x v="4"/>
    <x v="14"/>
    <s v="Charlis Darwin"/>
    <s v="Queralez"/>
    <n v="573213224362"/>
    <n v="69784"/>
    <x v="5"/>
    <x v="4"/>
    <m/>
    <m/>
    <m/>
    <m/>
    <m/>
    <m/>
  </r>
  <r>
    <d v="2025-09-25T00:00:00"/>
    <x v="4"/>
    <x v="14"/>
    <s v="Julio Enrique"/>
    <s v="Pedraza Beltran"/>
    <n v="573224409713"/>
    <n v="69926"/>
    <x v="3"/>
    <x v="19"/>
    <s v="Clic"/>
    <m/>
    <s v="Bueno"/>
    <m/>
    <m/>
    <m/>
  </r>
  <r>
    <d v="2025-09-25T00:00:00"/>
    <x v="4"/>
    <x v="14"/>
    <s v="Camilo"/>
    <s v="Villarreal"/>
    <n v="573024546138"/>
    <n v="69815"/>
    <x v="5"/>
    <x v="4"/>
    <m/>
    <m/>
    <m/>
    <m/>
    <m/>
    <m/>
  </r>
  <r>
    <d v="2025-09-25T00:00:00"/>
    <x v="4"/>
    <x v="14"/>
    <s v="Salome"/>
    <s v="Vasquez Arango"/>
    <n v="573205023387"/>
    <n v="69500"/>
    <x v="5"/>
    <x v="4"/>
    <m/>
    <m/>
    <m/>
    <m/>
    <m/>
    <m/>
  </r>
  <r>
    <d v="2025-09-25T00:00:00"/>
    <x v="4"/>
    <x v="14"/>
    <s v="Alexandra"/>
    <s v="CastaÑo"/>
    <n v="573107457856"/>
    <n v="69937"/>
    <x v="5"/>
    <x v="4"/>
    <m/>
    <m/>
    <m/>
    <m/>
    <m/>
    <m/>
  </r>
  <r>
    <d v="2025-09-25T00:00:00"/>
    <x v="4"/>
    <x v="14"/>
    <s v="Cristian"/>
    <s v="Melecio Cardona"/>
    <n v="573153372736"/>
    <n v="69562"/>
    <x v="3"/>
    <x v="20"/>
    <s v="https://manybot-files.s3.eu-central-1.amazonaws.com/530239/wa/2025/09/25/original_af033eedcde51b989ae88cba685e58d5.jpeg"/>
    <m/>
    <s v="Bueno"/>
    <m/>
    <m/>
    <m/>
  </r>
  <r>
    <d v="2025-09-25T00:00:00"/>
    <x v="4"/>
    <x v="14"/>
    <s v="William FabiÁn"/>
    <s v="Poveda Sanchez"/>
    <n v="573118249933"/>
    <n v="69915"/>
    <x v="5"/>
    <x v="4"/>
    <m/>
    <m/>
    <m/>
    <m/>
    <m/>
    <m/>
  </r>
  <r>
    <d v="2025-09-25T00:00:00"/>
    <x v="4"/>
    <x v="14"/>
    <s v="Carlos Andres"/>
    <s v="Torres Palencia"/>
    <n v="573152150014"/>
    <n v="69761"/>
    <x v="5"/>
    <x v="4"/>
    <m/>
    <m/>
    <m/>
    <m/>
    <m/>
    <m/>
  </r>
  <r>
    <d v="2025-09-24T00:00:00"/>
    <x v="4"/>
    <x v="14"/>
    <s v="Juan Felipe"/>
    <s v="Erazo Cucalon"/>
    <n v="573152877076"/>
    <n v="69676"/>
    <x v="5"/>
    <x v="4"/>
    <m/>
    <m/>
    <m/>
    <m/>
    <m/>
    <m/>
  </r>
  <r>
    <d v="2025-09-24T00:00:00"/>
    <x v="4"/>
    <x v="14"/>
    <s v="Diego"/>
    <s v="RodrÍguez"/>
    <n v="573134007854"/>
    <n v="69337"/>
    <x v="3"/>
    <x v="21"/>
    <s v="https://manybot-files.s3.eu-central-1.amazonaws.com/530239/wa/2025/09/24/original_f0a0a68631809f8fa030a981c61a4497.jpeg"/>
    <m/>
    <s v="Bueno"/>
    <m/>
    <m/>
    <m/>
  </r>
  <r>
    <d v="2025-09-24T00:00:00"/>
    <x v="4"/>
    <x v="14"/>
    <s v="Andres"/>
    <s v="Charry"/>
    <n v="573175542315"/>
    <n v="68128"/>
    <x v="5"/>
    <x v="4"/>
    <m/>
    <m/>
    <m/>
    <m/>
    <m/>
    <m/>
  </r>
  <r>
    <d v="2025-09-24T00:00:00"/>
    <x v="4"/>
    <x v="14"/>
    <s v="Sergio"/>
    <s v="Zambrano"/>
    <n v="573115835495"/>
    <n v="68840"/>
    <x v="3"/>
    <x v="22"/>
    <s v="https://manybot-files.s3.eu-central-1.amazonaws.com/530239/wa/2025/09/29/original_4af759d7903a1ce6c5bd97d02bbcc9d1.jpeg"/>
    <m/>
    <s v="Bueno"/>
    <m/>
    <m/>
    <m/>
  </r>
  <r>
    <d v="2025-09-24T00:00:00"/>
    <x v="4"/>
    <x v="14"/>
    <s v="Kevin"/>
    <s v="Parra Tijaro"/>
    <n v="573143390903"/>
    <n v="69914"/>
    <x v="5"/>
    <x v="4"/>
    <m/>
    <m/>
    <m/>
    <m/>
    <m/>
    <m/>
  </r>
  <r>
    <d v="2025-09-24T00:00:00"/>
    <x v="4"/>
    <x v="14"/>
    <s v="Diana Carolina"/>
    <s v="Cutiva Alvarez"/>
    <n v="573207692944"/>
    <n v="69584"/>
    <x v="3"/>
    <x v="23"/>
    <s v="Clic"/>
    <m/>
    <s v="Bueno"/>
    <m/>
    <m/>
    <m/>
  </r>
  <r>
    <d v="2025-09-24T00:00:00"/>
    <x v="4"/>
    <x v="14"/>
    <s v="Fabian Eduardo"/>
    <s v="Barragan  Castro"/>
    <n v="573003356313"/>
    <n v="68111"/>
    <x v="5"/>
    <x v="4"/>
    <m/>
    <m/>
    <m/>
    <m/>
    <m/>
    <m/>
  </r>
  <r>
    <d v="2025-09-24T00:00:00"/>
    <x v="4"/>
    <x v="14"/>
    <s v="Eliecer David"/>
    <s v="Gomez Villamil"/>
    <n v="573164964457"/>
    <n v="67304"/>
    <x v="2"/>
    <x v="24"/>
    <m/>
    <m/>
    <s v="Regular"/>
    <m/>
    <m/>
    <m/>
  </r>
  <r>
    <d v="2025-09-24T00:00:00"/>
    <x v="4"/>
    <x v="14"/>
    <s v="Camilo Andres"/>
    <s v="Andrade Buendia"/>
    <n v="573502404334"/>
    <n v="69499"/>
    <x v="3"/>
    <x v="4"/>
    <m/>
    <m/>
    <s v="Regular"/>
    <m/>
    <m/>
    <m/>
  </r>
  <r>
    <d v="2025-09-23T00:00:00"/>
    <x v="4"/>
    <x v="14"/>
    <s v="Diana"/>
    <s v="Delgado"/>
    <n v="573127919453"/>
    <n v="69332"/>
    <x v="5"/>
    <x v="4"/>
    <m/>
    <m/>
    <m/>
    <m/>
    <m/>
    <m/>
  </r>
  <r>
    <d v="2025-09-23T00:00:00"/>
    <x v="4"/>
    <x v="14"/>
    <s v="Juan"/>
    <s v="Garcia"/>
    <n v="573218026936"/>
    <n v="69609"/>
    <x v="5"/>
    <x v="4"/>
    <m/>
    <m/>
    <m/>
    <m/>
    <m/>
    <m/>
  </r>
  <r>
    <d v="2025-09-23T00:00:00"/>
    <x v="4"/>
    <x v="14"/>
    <s v="Aydee"/>
    <s v="Carrazco"/>
    <n v="573232413830"/>
    <n v="68961"/>
    <x v="3"/>
    <x v="25"/>
    <s v="Inicio"/>
    <m/>
    <s v="Bueno"/>
    <m/>
    <m/>
    <m/>
  </r>
  <r>
    <d v="2025-09-23T00:00:00"/>
    <x v="4"/>
    <x v="14"/>
    <s v="Aluminios Canosas"/>
    <s v="Aluminios Canosas"/>
    <n v="573103418591"/>
    <n v="69563"/>
    <x v="5"/>
    <x v="4"/>
    <m/>
    <m/>
    <m/>
    <m/>
    <m/>
    <m/>
  </r>
  <r>
    <d v="2025-09-23T00:00:00"/>
    <x v="4"/>
    <x v="14"/>
    <s v="Camilo Alberto"/>
    <s v="Molano Vega"/>
    <n v="573197793513"/>
    <n v="69766"/>
    <x v="4"/>
    <x v="26"/>
    <m/>
    <m/>
    <s v="Malo"/>
    <m/>
    <m/>
    <m/>
  </r>
  <r>
    <d v="2025-09-23T00:00:00"/>
    <x v="4"/>
    <x v="14"/>
    <s v="Edwin Alexander"/>
    <s v="Escudero Rios"/>
    <n v="573235093092"/>
    <n v="69017"/>
    <x v="5"/>
    <x v="4"/>
    <m/>
    <m/>
    <m/>
    <m/>
    <m/>
    <m/>
  </r>
  <r>
    <d v="2025-09-23T00:00:00"/>
    <x v="4"/>
    <x v="14"/>
    <s v="Kevin"/>
    <s v="Reapira"/>
    <n v="573202714018"/>
    <n v="69817"/>
    <x v="3"/>
    <x v="27"/>
    <s v="https://manybot-files.s3.eu-central-1.amazonaws.com/530239/wa/2025/09/24/original_d0fbaf8eafb49137163c720ec5d0cd73.jpeg"/>
    <m/>
    <s v="Bueno"/>
    <m/>
    <m/>
    <m/>
  </r>
  <r>
    <d v="2025-09-23T00:00:00"/>
    <x v="4"/>
    <x v="14"/>
    <s v="Hernando"/>
    <s v="Ovalle Romero"/>
    <n v="573208336942"/>
    <n v="69783"/>
    <x v="5"/>
    <x v="4"/>
    <m/>
    <m/>
    <m/>
    <m/>
    <m/>
    <m/>
  </r>
  <r>
    <d v="2025-09-23T00:00:00"/>
    <x v="4"/>
    <x v="14"/>
    <s v="Liliana"/>
    <s v="Pisciotti Bayter"/>
    <n v="573204063199"/>
    <n v="69749"/>
    <x v="5"/>
    <x v="4"/>
    <m/>
    <m/>
    <m/>
    <m/>
    <m/>
    <m/>
  </r>
  <r>
    <d v="2025-09-23T00:00:00"/>
    <x v="4"/>
    <x v="14"/>
    <s v="Andres Felipe"/>
    <s v="Escobar Robledo"/>
    <n v="573186532696"/>
    <n v="69524"/>
    <x v="5"/>
    <x v="4"/>
    <m/>
    <m/>
    <m/>
    <m/>
    <m/>
    <m/>
  </r>
  <r>
    <d v="2025-09-23T00:00:00"/>
    <x v="4"/>
    <x v="14"/>
    <s v="Leidi  Fernanda"/>
    <s v="Saenz Piza"/>
    <n v="573134765603"/>
    <n v="69614"/>
    <x v="5"/>
    <x v="4"/>
    <m/>
    <m/>
    <m/>
    <m/>
    <m/>
    <m/>
  </r>
  <r>
    <d v="2025-09-23T00:00:00"/>
    <x v="4"/>
    <x v="14"/>
    <s v="Laura"/>
    <s v="Mallarino"/>
    <n v="573164670347"/>
    <n v="69786"/>
    <x v="5"/>
    <x v="4"/>
    <m/>
    <m/>
    <m/>
    <m/>
    <m/>
    <m/>
  </r>
  <r>
    <d v="2025-09-23T00:00:00"/>
    <x v="4"/>
    <x v="14"/>
    <s v="Silvia Maria"/>
    <s v="Hernandez Otalvaro"/>
    <n v="573166965229"/>
    <n v="69594"/>
    <x v="5"/>
    <x v="4"/>
    <m/>
    <m/>
    <m/>
    <m/>
    <m/>
    <m/>
  </r>
  <r>
    <d v="2025-09-23T00:00:00"/>
    <x v="4"/>
    <x v="14"/>
    <s v="John Ricardo"/>
    <s v="Peralta Morales"/>
    <n v="573204534192"/>
    <n v="69443"/>
    <x v="5"/>
    <x v="4"/>
    <m/>
    <m/>
    <m/>
    <m/>
    <m/>
    <m/>
  </r>
  <r>
    <d v="2025-09-23T00:00:00"/>
    <x v="4"/>
    <x v="14"/>
    <s v="Santiago"/>
    <s v="Saenz Tenorio"/>
    <n v="573133888961"/>
    <n v="69400"/>
    <x v="5"/>
    <x v="4"/>
    <m/>
    <m/>
    <m/>
    <m/>
    <m/>
    <m/>
  </r>
  <r>
    <d v="2025-09-22T00:00:00"/>
    <x v="4"/>
    <x v="14"/>
    <s v="Daniel Fernando"/>
    <s v="Tupaz Almeida"/>
    <n v="573223046540"/>
    <n v="69727"/>
    <x v="5"/>
    <x v="4"/>
    <m/>
    <m/>
    <m/>
    <m/>
    <m/>
    <m/>
  </r>
  <r>
    <d v="2025-09-22T00:00:00"/>
    <x v="4"/>
    <x v="14"/>
    <s v="Blanca Janneth"/>
    <s v="Salamanca Callejas"/>
    <n v="573204747722"/>
    <n v="68114"/>
    <x v="3"/>
    <x v="28"/>
    <s v="https://manybot-files.s3.eu-central-1.amazonaws.com/530239/wa/2025/09/23/original_9004c7c439b534bf4383a0fabaa5b5a6.jpeg"/>
    <m/>
    <s v="Bueno"/>
    <m/>
    <m/>
    <m/>
  </r>
  <r>
    <d v="2025-09-22T00:00:00"/>
    <x v="4"/>
    <x v="14"/>
    <s v="Danny Bryan"/>
    <s v="Acero Morales"/>
    <n v="573134908635"/>
    <n v="69273"/>
    <x v="5"/>
    <x v="4"/>
    <m/>
    <m/>
    <m/>
    <m/>
    <m/>
    <m/>
  </r>
  <r>
    <d v="2025-09-22T00:00:00"/>
    <x v="4"/>
    <x v="14"/>
    <s v="Astrid"/>
    <s v="Vargas Vargas"/>
    <n v="573134938587"/>
    <n v="69705"/>
    <x v="5"/>
    <x v="4"/>
    <m/>
    <m/>
    <m/>
    <m/>
    <m/>
    <m/>
  </r>
  <r>
    <d v="2025-09-22T00:00:00"/>
    <x v="4"/>
    <x v="14"/>
    <s v="Andres Felipe"/>
    <s v="Gonzalez Cardenas"/>
    <n v="573142486873"/>
    <n v="69685"/>
    <x v="3"/>
    <x v="29"/>
    <s v="https://manybot-files.s3.eu-central-1.amazonaws.com/530239/wa/2025/09/22/original_2c048b9fc04bf06cb7ba9708d083573a.jpeg"/>
    <m/>
    <s v="Bueno"/>
    <m/>
    <m/>
    <m/>
  </r>
  <r>
    <d v="2025-09-22T00:00:00"/>
    <x v="4"/>
    <x v="14"/>
    <s v="Anyi Katherine"/>
    <s v="Escobar Gonzalez"/>
    <n v="573212067957"/>
    <n v="69320"/>
    <x v="3"/>
    <x v="4"/>
    <m/>
    <m/>
    <s v="Bueno"/>
    <m/>
    <m/>
    <m/>
  </r>
  <r>
    <d v="2025-09-22T00:00:00"/>
    <x v="4"/>
    <x v="14"/>
    <s v="Camila Andrea"/>
    <s v="Solorzano Garcia"/>
    <n v="573507664258"/>
    <n v="69687"/>
    <x v="3"/>
    <x v="30"/>
    <s v="Inicio"/>
    <m/>
    <s v="Bueno"/>
    <m/>
    <m/>
    <m/>
  </r>
  <r>
    <d v="2025-09-22T00:00:00"/>
    <x v="4"/>
    <x v="14"/>
    <s v="Javier"/>
    <s v="Pachecho Ochoa"/>
    <n v="573012562150"/>
    <n v="68949"/>
    <x v="5"/>
    <x v="4"/>
    <m/>
    <m/>
    <m/>
    <m/>
    <m/>
    <m/>
  </r>
  <r>
    <d v="2025-09-22T00:00:00"/>
    <x v="4"/>
    <x v="14"/>
    <s v="Liseth"/>
    <s v="Rozo"/>
    <n v="573226836211"/>
    <n v="69620"/>
    <x v="5"/>
    <x v="4"/>
    <m/>
    <m/>
    <m/>
    <m/>
    <m/>
    <m/>
  </r>
  <r>
    <d v="2025-09-20T00:00:00"/>
    <x v="4"/>
    <x v="15"/>
    <s v="Meliza Alexandra"/>
    <s v="Rivera MuÑoz"/>
    <n v="573005726379"/>
    <n v="66472"/>
    <x v="5"/>
    <x v="4"/>
    <m/>
    <m/>
    <m/>
    <m/>
    <m/>
    <m/>
  </r>
  <r>
    <d v="2025-09-20T00:00:00"/>
    <x v="4"/>
    <x v="15"/>
    <s v="Andres"/>
    <s v="Gamez"/>
    <n v="573138589185"/>
    <n v="69398"/>
    <x v="5"/>
    <x v="4"/>
    <m/>
    <m/>
    <m/>
    <m/>
    <m/>
    <m/>
  </r>
  <r>
    <d v="2025-09-20T00:00:00"/>
    <x v="4"/>
    <x v="15"/>
    <s v="Lina Marcela"/>
    <s v="CastaÑeda  Martinez"/>
    <n v="573108906380"/>
    <n v="68351"/>
    <x v="5"/>
    <x v="4"/>
    <m/>
    <m/>
    <m/>
    <m/>
    <m/>
    <m/>
  </r>
  <r>
    <d v="2025-09-20T00:00:00"/>
    <x v="4"/>
    <x v="15"/>
    <s v="Alejandro"/>
    <s v="FlÓrez Romero"/>
    <n v="573112194242"/>
    <n v="65665"/>
    <x v="3"/>
    <x v="31"/>
    <m/>
    <m/>
    <s v="Regular"/>
    <m/>
    <m/>
    <m/>
  </r>
  <r>
    <d v="2025-09-20T00:00:00"/>
    <x v="4"/>
    <x v="15"/>
    <s v="Jenny Carolina"/>
    <s v="Figueroa Hernandez"/>
    <n v="573142378612"/>
    <n v="69455"/>
    <x v="5"/>
    <x v="4"/>
    <m/>
    <m/>
    <m/>
    <m/>
    <m/>
    <m/>
  </r>
  <r>
    <d v="2025-09-20T00:00:00"/>
    <x v="4"/>
    <x v="15"/>
    <s v="Julian Santiago"/>
    <s v="Roldan"/>
    <n v="573127316418"/>
    <n v="69084"/>
    <x v="3"/>
    <x v="32"/>
    <s v="https://manybot-files.s3.eu-central-1.amazonaws.com/530239/wa/2025/09/20/original_69c89440a0e3ef9cd09aa21bda25da6d.jpeg"/>
    <m/>
    <s v="Bueno"/>
    <m/>
    <m/>
    <m/>
  </r>
  <r>
    <d v="2025-09-20T00:00:00"/>
    <x v="4"/>
    <x v="15"/>
    <s v="Andres Felipe"/>
    <s v="Serna Calderon"/>
    <n v="573117980428"/>
    <n v="69589"/>
    <x v="5"/>
    <x v="4"/>
    <m/>
    <m/>
    <m/>
    <m/>
    <m/>
    <m/>
  </r>
  <r>
    <d v="2025-09-20T00:00:00"/>
    <x v="4"/>
    <x v="15"/>
    <s v="Ivan Camilo"/>
    <s v="Tacuma Blanco"/>
    <n v="573124583270"/>
    <n v="69502"/>
    <x v="3"/>
    <x v="33"/>
    <s v="Inicio"/>
    <m/>
    <s v="Bueno"/>
    <m/>
    <m/>
    <m/>
  </r>
  <r>
    <d v="2025-09-20T00:00:00"/>
    <x v="4"/>
    <x v="15"/>
    <s v="Camila"/>
    <s v="Medina"/>
    <n v="573107637720"/>
    <n v="69375"/>
    <x v="5"/>
    <x v="4"/>
    <m/>
    <m/>
    <m/>
    <m/>
    <m/>
    <m/>
  </r>
  <r>
    <d v="2025-09-20T00:00:00"/>
    <x v="4"/>
    <x v="15"/>
    <s v="Francisco"/>
    <s v="Rojas Suarez"/>
    <n v="573202305640"/>
    <n v="69433"/>
    <x v="5"/>
    <x v="4"/>
    <m/>
    <m/>
    <m/>
    <m/>
    <m/>
    <m/>
  </r>
  <r>
    <d v="2025-09-20T00:00:00"/>
    <x v="4"/>
    <x v="15"/>
    <s v="Carlos Andres"/>
    <s v="Sanchez Rueda"/>
    <n v="573123760513"/>
    <n v="69607"/>
    <x v="5"/>
    <x v="4"/>
    <m/>
    <m/>
    <m/>
    <m/>
    <m/>
    <m/>
  </r>
  <r>
    <d v="2025-09-20T00:00:00"/>
    <x v="4"/>
    <x v="15"/>
    <s v="Santiago"/>
    <s v="Romero Rodriguez"/>
    <n v="573232933777"/>
    <n v="69113"/>
    <x v="5"/>
    <x v="4"/>
    <m/>
    <m/>
    <m/>
    <m/>
    <m/>
    <m/>
  </r>
  <r>
    <d v="2025-09-19T00:00:00"/>
    <x v="4"/>
    <x v="15"/>
    <s v="Francisco Javier"/>
    <s v="Torres Gaitan"/>
    <n v="573212348805"/>
    <n v="69546"/>
    <x v="3"/>
    <x v="34"/>
    <s v="Inicio"/>
    <m/>
    <s v="Bueno"/>
    <m/>
    <m/>
    <m/>
  </r>
  <r>
    <d v="2025-09-19T00:00:00"/>
    <x v="4"/>
    <x v="15"/>
    <s v="Gabriela"/>
    <s v="Jimenez Rincon"/>
    <n v="573132337616"/>
    <n v="69370"/>
    <x v="5"/>
    <x v="4"/>
    <m/>
    <m/>
    <m/>
    <m/>
    <m/>
    <m/>
  </r>
  <r>
    <d v="2025-09-19T00:00:00"/>
    <x v="4"/>
    <x v="15"/>
    <s v="Jairo"/>
    <s v="Garcia Ramirez"/>
    <n v="573103614755"/>
    <n v="69465"/>
    <x v="5"/>
    <x v="4"/>
    <m/>
    <m/>
    <m/>
    <m/>
    <m/>
    <m/>
  </r>
  <r>
    <d v="2025-09-19T00:00:00"/>
    <x v="4"/>
    <x v="15"/>
    <s v="Miguel Guillermo"/>
    <s v="Ñungo Casallas"/>
    <n v="573187123653"/>
    <n v="69423"/>
    <x v="5"/>
    <x v="4"/>
    <m/>
    <m/>
    <m/>
    <m/>
    <m/>
    <m/>
  </r>
  <r>
    <d v="2025-09-19T00:00:00"/>
    <x v="4"/>
    <x v="15"/>
    <s v="Johan Camilo"/>
    <s v="Diaz Perez"/>
    <n v="573229298821"/>
    <n v="69470"/>
    <x v="5"/>
    <x v="4"/>
    <m/>
    <m/>
    <m/>
    <m/>
    <m/>
    <m/>
  </r>
  <r>
    <d v="2025-09-19T00:00:00"/>
    <x v="4"/>
    <x v="15"/>
    <s v="Yoan Camilo"/>
    <s v="Cardenas Zapata"/>
    <n v="573173174372"/>
    <n v="67350"/>
    <x v="3"/>
    <x v="35"/>
    <s v="https://manybot-files.s3.eu-central-1.amazonaws.com/530239/wa/2025/09/19/original_c6ba0672b7e3568b796b1a65625d09f9.jpeg"/>
    <m/>
    <s v="Bueno"/>
    <m/>
    <m/>
    <m/>
  </r>
  <r>
    <d v="2025-09-19T00:00:00"/>
    <x v="4"/>
    <x v="15"/>
    <s v="Daniela"/>
    <s v="Malagon Bocarejo"/>
    <n v="573203603614"/>
    <n v="69114"/>
    <x v="5"/>
    <x v="4"/>
    <m/>
    <m/>
    <m/>
    <m/>
    <m/>
    <m/>
  </r>
  <r>
    <d v="2025-09-19T00:00:00"/>
    <x v="4"/>
    <x v="15"/>
    <s v="David"/>
    <s v="Ramirez Holguin"/>
    <n v="573123790371"/>
    <n v="69436"/>
    <x v="5"/>
    <x v="4"/>
    <m/>
    <m/>
    <m/>
    <m/>
    <m/>
    <m/>
  </r>
  <r>
    <d v="2025-09-19T00:00:00"/>
    <x v="4"/>
    <x v="15"/>
    <s v="Maria Fernanda"/>
    <s v="Perez Velandia"/>
    <n v="573232350705"/>
    <n v="69496"/>
    <x v="5"/>
    <x v="4"/>
    <m/>
    <m/>
    <m/>
    <m/>
    <m/>
    <m/>
  </r>
  <r>
    <d v="2025-09-19T00:00:00"/>
    <x v="4"/>
    <x v="15"/>
    <s v="Oscar Sebastian"/>
    <s v="Puentes Arevalo"/>
    <n v="573016135249"/>
    <n v="69473"/>
    <x v="2"/>
    <x v="36"/>
    <m/>
    <m/>
    <s v="Bueno"/>
    <m/>
    <m/>
    <m/>
  </r>
  <r>
    <d v="2025-09-19T00:00:00"/>
    <x v="4"/>
    <x v="15"/>
    <s v="Mayra Alejandra"/>
    <s v="Leyton Alvarez"/>
    <n v="573053500381"/>
    <n v="69217"/>
    <x v="3"/>
    <x v="37"/>
    <s v="https://manybot-files.s3.eu-central-1.amazonaws.com/530239/wa/2025/09/19/original_678f46af4f4f2aae2f8a1c3fc3b31c4f.jpeg"/>
    <m/>
    <s v="Bueno"/>
    <m/>
    <m/>
    <m/>
  </r>
  <r>
    <d v="2025-09-18T00:00:00"/>
    <x v="4"/>
    <x v="15"/>
    <s v="Rolan"/>
    <s v="Barrera"/>
    <n v="573219770216"/>
    <n v="69396"/>
    <x v="5"/>
    <x v="4"/>
    <m/>
    <m/>
    <m/>
    <m/>
    <m/>
    <m/>
  </r>
  <r>
    <d v="2025-09-18T00:00:00"/>
    <x v="4"/>
    <x v="15"/>
    <s v="Adriana"/>
    <s v="Perez"/>
    <n v="573115759194"/>
    <n v="69282"/>
    <x v="5"/>
    <x v="4"/>
    <m/>
    <m/>
    <m/>
    <m/>
    <m/>
    <m/>
  </r>
  <r>
    <d v="2025-09-18T00:00:00"/>
    <x v="4"/>
    <x v="15"/>
    <s v="Yerson Yair"/>
    <s v="Salamanca Henao"/>
    <n v="573203762219"/>
    <n v="69227"/>
    <x v="5"/>
    <x v="4"/>
    <m/>
    <m/>
    <m/>
    <m/>
    <m/>
    <m/>
  </r>
  <r>
    <d v="2025-09-18T00:00:00"/>
    <x v="4"/>
    <x v="15"/>
    <s v="Mario Fernando"/>
    <s v="Ramirez Guio"/>
    <n v="573057636871"/>
    <n v="69355"/>
    <x v="3"/>
    <x v="38"/>
    <s v="https://manybot-files.s3.eu-central-1.amazonaws.com/530239/wa/2025/09/18/original_3b014f90d935bc7e17f9d0cd9e5ea196.jpeg"/>
    <m/>
    <s v="Bueno"/>
    <m/>
    <m/>
    <m/>
  </r>
  <r>
    <d v="2025-09-18T00:00:00"/>
    <x v="4"/>
    <x v="15"/>
    <s v="Carlos Enrique"/>
    <s v="Castellanos Sanchez"/>
    <n v="573185179773"/>
    <n v="69380"/>
    <x v="3"/>
    <x v="4"/>
    <m/>
    <m/>
    <s v="Bueno"/>
    <m/>
    <m/>
    <m/>
  </r>
  <r>
    <d v="2025-09-18T00:00:00"/>
    <x v="4"/>
    <x v="15"/>
    <s v="Guillaume"/>
    <s v="Garey"/>
    <n v="573158866064"/>
    <n v="69047"/>
    <x v="5"/>
    <x v="4"/>
    <m/>
    <m/>
    <m/>
    <m/>
    <m/>
    <m/>
  </r>
  <r>
    <d v="2025-09-18T00:00:00"/>
    <x v="4"/>
    <x v="15"/>
    <s v="Marleny Aurora"/>
    <s v="Lara Bernal"/>
    <n v="573124373483"/>
    <n v="69151"/>
    <x v="5"/>
    <x v="4"/>
    <m/>
    <m/>
    <m/>
    <m/>
    <m/>
    <m/>
  </r>
  <r>
    <d v="2025-09-17T00:00:00"/>
    <x v="4"/>
    <x v="15"/>
    <s v="Juan Camilo"/>
    <s v="Zambrano  Madera"/>
    <n v="573105253157"/>
    <n v="69049"/>
    <x v="5"/>
    <x v="4"/>
    <m/>
    <m/>
    <m/>
    <m/>
    <m/>
    <m/>
  </r>
  <r>
    <d v="2025-09-17T00:00:00"/>
    <x v="4"/>
    <x v="15"/>
    <s v="Carlos Andres"/>
    <s v="De La Rosa MuÑoz"/>
    <n v="573042032890"/>
    <n v="69215"/>
    <x v="3"/>
    <x v="39"/>
    <s v="Clic"/>
    <m/>
    <s v="Bueno"/>
    <m/>
    <m/>
    <m/>
  </r>
  <r>
    <d v="2025-09-17T00:00:00"/>
    <x v="4"/>
    <x v="15"/>
    <s v="Zamir Yesid"/>
    <s v="Baron Cuevas"/>
    <n v="573007494584"/>
    <n v="69012"/>
    <x v="3"/>
    <x v="0"/>
    <s v="Inicio"/>
    <m/>
    <s v="Bueno"/>
    <m/>
    <m/>
    <m/>
  </r>
  <r>
    <d v="2025-09-17T00:00:00"/>
    <x v="4"/>
    <x v="15"/>
    <s v="Daniel Enrique"/>
    <s v="Paez Puentes"/>
    <n v="573124471647"/>
    <n v="68972"/>
    <x v="5"/>
    <x v="4"/>
    <m/>
    <m/>
    <m/>
    <m/>
    <m/>
    <m/>
  </r>
  <r>
    <d v="2025-09-17T00:00:00"/>
    <x v="4"/>
    <x v="15"/>
    <s v="Kevin Andrees"/>
    <s v="Rios Polo"/>
    <n v="573023542592"/>
    <n v="69069"/>
    <x v="5"/>
    <x v="4"/>
    <m/>
    <m/>
    <m/>
    <m/>
    <m/>
    <m/>
  </r>
  <r>
    <d v="2025-09-17T00:00:00"/>
    <x v="4"/>
    <x v="15"/>
    <s v="Lorena Isabel"/>
    <s v="Anibal Velasquez"/>
    <n v="573044904621"/>
    <n v="68954"/>
    <x v="3"/>
    <x v="40"/>
    <s v="Clic"/>
    <m/>
    <s v="Bueno"/>
    <m/>
    <m/>
    <m/>
  </r>
  <r>
    <d v="2025-09-17T00:00:00"/>
    <x v="4"/>
    <x v="15"/>
    <s v="Cristian Camilo"/>
    <s v="Bohorquez Ortega"/>
    <n v="573183907779"/>
    <n v="69198"/>
    <x v="5"/>
    <x v="4"/>
    <m/>
    <m/>
    <m/>
    <m/>
    <m/>
    <m/>
  </r>
  <r>
    <d v="2025-09-17T00:00:00"/>
    <x v="4"/>
    <x v="15"/>
    <s v="Jonathan Slim"/>
    <s v="Mora Colina"/>
    <n v="573133405488"/>
    <n v="69257"/>
    <x v="5"/>
    <x v="4"/>
    <m/>
    <m/>
    <m/>
    <m/>
    <m/>
    <m/>
  </r>
  <r>
    <d v="2025-09-17T00:00:00"/>
    <x v="4"/>
    <x v="15"/>
    <s v="Stevenson"/>
    <s v="Mena Serna"/>
    <n v="573237404803"/>
    <n v="68741"/>
    <x v="3"/>
    <x v="41"/>
    <s v="https://manybot-files.s3.eu-central-1.amazonaws.com/530239/wa/2025/09/17/original_413ce5bcac7c041f48914b2f60115515.jpeg"/>
    <m/>
    <s v="Bueno"/>
    <m/>
    <m/>
    <m/>
  </r>
  <r>
    <d v="2025-09-17T00:00:00"/>
    <x v="4"/>
    <x v="15"/>
    <s v="Johely"/>
    <s v="Lopez Pachon"/>
    <n v="573042430700"/>
    <n v="69290"/>
    <x v="3"/>
    <x v="42"/>
    <s v="Clic"/>
    <m/>
    <s v="Bueno"/>
    <m/>
    <m/>
    <m/>
  </r>
  <r>
    <d v="2025-09-17T00:00:00"/>
    <x v="4"/>
    <x v="15"/>
    <s v="Carol Lorena"/>
    <s v="Rico Morales"/>
    <n v="573202718072"/>
    <n v="68647"/>
    <x v="5"/>
    <x v="4"/>
    <m/>
    <m/>
    <m/>
    <m/>
    <m/>
    <m/>
  </r>
  <r>
    <d v="2025-09-17T00:00:00"/>
    <x v="4"/>
    <x v="15"/>
    <s v="Natalia Andrea"/>
    <s v="Zapata Tobon"/>
    <n v="573113966937"/>
    <n v="67939"/>
    <x v="5"/>
    <x v="4"/>
    <m/>
    <m/>
    <m/>
    <m/>
    <m/>
    <m/>
  </r>
  <r>
    <d v="2025-09-17T00:00:00"/>
    <x v="4"/>
    <x v="15"/>
    <s v="Diana"/>
    <s v="Gaviria"/>
    <n v="573133763252"/>
    <n v="66190"/>
    <x v="5"/>
    <x v="4"/>
    <m/>
    <m/>
    <m/>
    <m/>
    <m/>
    <m/>
  </r>
  <r>
    <d v="2025-09-17T00:00:00"/>
    <x v="4"/>
    <x v="15"/>
    <s v="Cristian Andres"/>
    <s v="Gomez Giraldo"/>
    <n v="573215494274"/>
    <n v="68956"/>
    <x v="5"/>
    <x v="4"/>
    <m/>
    <m/>
    <m/>
    <m/>
    <m/>
    <m/>
  </r>
  <r>
    <d v="2025-09-16T00:00:00"/>
    <x v="4"/>
    <x v="15"/>
    <s v="Alex Maishel"/>
    <s v="Vanegas Queeman"/>
    <n v="573001807410"/>
    <n v="68076"/>
    <x v="2"/>
    <x v="43"/>
    <m/>
    <s v="."/>
    <s v="Regular"/>
    <d v="2025-09-24T11:26:18"/>
    <m/>
    <m/>
  </r>
  <r>
    <d v="2025-09-16T00:00:00"/>
    <x v="4"/>
    <x v="15"/>
    <s v="Diego"/>
    <s v="RodrÍguez Barrera"/>
    <n v="573133904841"/>
    <n v="69224"/>
    <x v="5"/>
    <x v="4"/>
    <m/>
    <m/>
    <m/>
    <m/>
    <m/>
    <m/>
  </r>
  <r>
    <d v="2025-09-16T00:00:00"/>
    <x v="4"/>
    <x v="15"/>
    <s v="Marta Lucia"/>
    <s v="Pardo Cardona"/>
    <n v="573107749021"/>
    <n v="68823"/>
    <x v="4"/>
    <x v="44"/>
    <m/>
    <m/>
    <s v="Regular"/>
    <m/>
    <m/>
    <m/>
  </r>
  <r>
    <d v="2025-09-16T00:00:00"/>
    <x v="4"/>
    <x v="15"/>
    <s v="Claudia"/>
    <s v="Guio Moreno"/>
    <n v="573124485168"/>
    <n v="69185"/>
    <x v="5"/>
    <x v="4"/>
    <m/>
    <m/>
    <m/>
    <m/>
    <m/>
    <m/>
  </r>
  <r>
    <d v="2025-09-16T00:00:00"/>
    <x v="4"/>
    <x v="15"/>
    <s v="Ivon Tatiana"/>
    <s v="Morantes Ibarra"/>
    <n v="573162314499"/>
    <n v="68790"/>
    <x v="5"/>
    <x v="4"/>
    <m/>
    <m/>
    <m/>
    <m/>
    <m/>
    <m/>
  </r>
  <r>
    <d v="2025-09-16T00:00:00"/>
    <x v="4"/>
    <x v="15"/>
    <s v="Jose Orlando"/>
    <s v="Castillo"/>
    <n v="573106052567"/>
    <n v="68582"/>
    <x v="3"/>
    <x v="45"/>
    <s v="Inicio"/>
    <m/>
    <s v="Bueno"/>
    <m/>
    <m/>
    <m/>
  </r>
  <r>
    <d v="2025-09-16T00:00:00"/>
    <x v="4"/>
    <x v="15"/>
    <s v="Juan Fernando"/>
    <s v="Villanueva"/>
    <n v="573184969635"/>
    <n v="67930"/>
    <x v="5"/>
    <x v="4"/>
    <m/>
    <m/>
    <m/>
    <m/>
    <m/>
    <m/>
  </r>
  <r>
    <d v="2025-09-16T00:00:00"/>
    <x v="4"/>
    <x v="15"/>
    <s v="Jonathan Andres"/>
    <s v="Moreno Rodriguez"/>
    <n v="573175761193"/>
    <n v="68766"/>
    <x v="5"/>
    <x v="4"/>
    <m/>
    <m/>
    <m/>
    <m/>
    <m/>
    <m/>
  </r>
  <r>
    <d v="2025-09-16T00:00:00"/>
    <x v="4"/>
    <x v="15"/>
    <s v="Brayan Alejandro"/>
    <s v="Daza Acevedo"/>
    <n v="573123604429"/>
    <n v="68964"/>
    <x v="5"/>
    <x v="4"/>
    <m/>
    <m/>
    <m/>
    <m/>
    <m/>
    <m/>
  </r>
  <r>
    <d v="2025-09-15T00:00:00"/>
    <x v="4"/>
    <x v="15"/>
    <m/>
    <m/>
    <m/>
    <m/>
    <x v="3"/>
    <x v="46"/>
    <s v="Clic"/>
    <s v="Valentina"/>
    <s v="Bueno"/>
    <s v="2025-09-15T18:42:43-05:00"/>
    <m/>
    <m/>
  </r>
  <r>
    <d v="2025-09-15T00:00:00"/>
    <x v="4"/>
    <x v="15"/>
    <s v="Johan"/>
    <s v="Cahuana"/>
    <n v="573112818604"/>
    <n v="68689"/>
    <x v="3"/>
    <x v="47"/>
    <s v="https://manybot-files.s3.eu-central-1.amazonaws.com/530239/wa/2025/09/15/original_77dcfb5351686f94ee327467a048ab44.jpeg"/>
    <m/>
    <s v="Bueno"/>
    <m/>
    <m/>
    <m/>
  </r>
  <r>
    <d v="2025-09-15T00:00:00"/>
    <x v="4"/>
    <x v="15"/>
    <s v="Camilo"/>
    <s v="MartÍnez"/>
    <n v="573014071159"/>
    <n v="69228"/>
    <x v="5"/>
    <x v="4"/>
    <m/>
    <m/>
    <m/>
    <m/>
    <m/>
    <m/>
  </r>
  <r>
    <d v="2025-09-15T00:00:00"/>
    <x v="4"/>
    <x v="15"/>
    <s v="Patricia"/>
    <s v="Aristizabal Sierra"/>
    <n v="573218806708"/>
    <n v="69116"/>
    <x v="5"/>
    <x v="4"/>
    <m/>
    <m/>
    <m/>
    <m/>
    <m/>
    <m/>
  </r>
  <r>
    <d v="2025-09-15T00:00:00"/>
    <x v="4"/>
    <x v="15"/>
    <s v="Jonathan Esteban"/>
    <s v="Cubillos Vargas"/>
    <n v="573163177121"/>
    <n v="68378"/>
    <x v="5"/>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270FF-B4F4-4E28-A142-447AB2B71A82}" name="TablaDinámica3" cacheId="40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G22:H25" firstHeaderRow="1" firstDataRow="1" firstDataCol="1" rowPageCount="2" colPageCount="1"/>
  <pivotFields count="15">
    <pivotField showAll="0"/>
    <pivotField axis="axisPage" multipleItemSelectionAllowed="1" showAll="0">
      <items count="1062">
        <item x="0"/>
        <item h="1" m="1" x="5"/>
        <item h="1" x="4"/>
        <item h="1" x="3"/>
        <item x="2"/>
        <item m="1" x="30"/>
        <item m="1" x="75"/>
        <item m="1" x="40"/>
        <item m="1" x="29"/>
        <item m="1" x="136"/>
        <item m="1" x="155"/>
        <item m="1" x="120"/>
        <item m="1" x="307"/>
        <item m="1" x="329"/>
        <item m="1" x="306"/>
        <item m="1" x="340"/>
        <item m="1" x="360"/>
        <item m="1" x="185"/>
        <item m="1" x="184"/>
        <item m="1" x="243"/>
        <item m="1" x="242"/>
        <item m="1" x="305"/>
        <item m="1" x="17"/>
        <item m="1" x="74"/>
        <item m="1" x="106"/>
        <item m="1" x="294"/>
        <item m="1" x="119"/>
        <item m="1" x="226"/>
        <item m="1" x="359"/>
        <item m="1" x="241"/>
        <item m="1" x="16"/>
        <item m="1" x="351"/>
        <item m="1" x="234"/>
        <item m="1" x="358"/>
        <item m="1" x="94"/>
        <item m="1" x="39"/>
        <item m="1" x="169"/>
        <item m="1" x="38"/>
        <item m="1" x="28"/>
        <item m="1" x="15"/>
        <item m="1" x="73"/>
        <item m="1" x="154"/>
        <item m="1" x="72"/>
        <item m="1" x="183"/>
        <item m="1" x="14"/>
        <item m="1" x="13"/>
        <item m="1" x="214"/>
        <item m="1" x="105"/>
        <item m="1" x="12"/>
        <item m="1" x="140"/>
        <item m="1" x="27"/>
        <item m="1" x="225"/>
        <item m="1" x="375"/>
        <item m="1" x="224"/>
        <item m="1" x="199"/>
        <item m="1" x="293"/>
        <item m="1" x="37"/>
        <item m="1" x="104"/>
        <item m="1" x="153"/>
        <item m="1" x="233"/>
        <item m="1" x="285"/>
        <item m="1" x="213"/>
        <item m="1" x="168"/>
        <item m="1" x="167"/>
        <item m="1" x="93"/>
        <item m="1" x="374"/>
        <item m="1" x="304"/>
        <item m="1" x="11"/>
        <item m="1" x="276"/>
        <item m="1" x="357"/>
        <item m="1" x="275"/>
        <item m="1" x="103"/>
        <item m="1" x="319"/>
        <item m="1" x="240"/>
        <item m="1" x="292"/>
        <item m="1" x="92"/>
        <item m="1" x="318"/>
        <item m="1" x="91"/>
        <item m="1" x="198"/>
        <item m="1" x="356"/>
        <item m="1" x="355"/>
        <item m="1" x="118"/>
        <item m="1" x="71"/>
        <item m="1" x="212"/>
        <item m="1" x="373"/>
        <item m="1" x="90"/>
        <item m="1" x="135"/>
        <item m="1" x="152"/>
        <item m="1" x="197"/>
        <item m="1" x="166"/>
        <item m="1" x="291"/>
        <item m="1" x="290"/>
        <item m="1" x="303"/>
        <item m="1" x="289"/>
        <item m="1" x="182"/>
        <item m="1" x="232"/>
        <item m="1" x="89"/>
        <item m="1" x="181"/>
        <item m="1" x="274"/>
        <item m="1" x="10"/>
        <item m="1" x="350"/>
        <item m="1" x="372"/>
        <item m="1" x="134"/>
        <item m="1" x="371"/>
        <item m="1" x="302"/>
        <item m="1" x="36"/>
        <item m="1" x="211"/>
        <item m="1" x="102"/>
        <item m="1" x="165"/>
        <item m="1" x="349"/>
        <item m="1" x="180"/>
        <item m="1" x="164"/>
        <item m="1" x="117"/>
        <item m="1" x="9"/>
        <item m="1" x="179"/>
        <item m="1" x="101"/>
        <item m="1" x="70"/>
        <item m="1" x="69"/>
        <item m="1" x="68"/>
        <item m="1" x="67"/>
        <item m="1" x="370"/>
        <item m="1" x="163"/>
        <item m="1" x="8"/>
        <item m="1" x="133"/>
        <item m="1" x="116"/>
        <item m="1" x="162"/>
        <item m="1" x="100"/>
        <item m="1" x="210"/>
        <item m="1" x="132"/>
        <item m="1" x="161"/>
        <item m="1" x="196"/>
        <item m="1" x="317"/>
        <item m="1" x="273"/>
        <item m="1" x="195"/>
        <item m="1" x="348"/>
        <item m="1" x="160"/>
        <item m="1" x="139"/>
        <item m="1" x="138"/>
        <item m="1" x="239"/>
        <item m="1" x="131"/>
        <item m="1" x="7"/>
        <item m="1" x="354"/>
        <item m="1" x="99"/>
        <item m="1" x="130"/>
        <item m="1" x="51"/>
        <item m="1" x="238"/>
        <item m="1" x="98"/>
        <item m="1" x="50"/>
        <item m="1" x="159"/>
        <item m="1" x="26"/>
        <item m="1" x="301"/>
        <item m="1" x="223"/>
        <item m="1" x="231"/>
        <item m="1" x="178"/>
        <item m="1" x="272"/>
        <item m="1" x="328"/>
        <item m="1" x="271"/>
        <item m="1" x="316"/>
        <item m="1" x="158"/>
        <item m="1" x="177"/>
        <item m="1" x="327"/>
        <item m="1" x="209"/>
        <item m="1" x="66"/>
        <item m="1" x="237"/>
        <item m="1" x="288"/>
        <item m="1" x="97"/>
        <item m="1" x="96"/>
        <item m="1" x="315"/>
        <item m="1" x="284"/>
        <item m="1" x="208"/>
        <item m="1" x="207"/>
        <item m="1" x="157"/>
        <item m="1" x="151"/>
        <item m="1" x="326"/>
        <item m="1" x="283"/>
        <item m="1" x="95"/>
        <item m="1" x="353"/>
        <item m="1" x="194"/>
        <item m="1" x="236"/>
        <item m="1" x="150"/>
        <item m="1" x="339"/>
        <item m="1" x="149"/>
        <item m="1" x="380"/>
        <item m="1" x="287"/>
        <item m="1" x="235"/>
        <item m="1" x="338"/>
        <item m="1" x="49"/>
        <item m="1" x="222"/>
        <item m="1" x="176"/>
        <item m="1" x="129"/>
        <item m="1" x="314"/>
        <item m="1" x="65"/>
        <item m="1" x="221"/>
        <item m="1" x="337"/>
        <item m="1" x="352"/>
        <item m="1" x="270"/>
        <item m="1" x="88"/>
        <item m="1" x="257"/>
        <item m="1" x="156"/>
        <item m="1" x="325"/>
        <item m="1" x="64"/>
        <item m="1" x="313"/>
        <item m="1" x="256"/>
        <item m="1" x="48"/>
        <item m="1" x="128"/>
        <item m="1" x="269"/>
        <item m="1" x="369"/>
        <item m="1" x="255"/>
        <item m="1" x="347"/>
        <item m="1" x="268"/>
        <item m="1" x="220"/>
        <item m="1" x="25"/>
        <item m="1" x="115"/>
        <item m="1" x="127"/>
        <item m="1" x="219"/>
        <item m="1" x="368"/>
        <item m="1" x="126"/>
        <item m="1" x="206"/>
        <item m="1" x="267"/>
        <item m="1" x="63"/>
        <item m="1" x="62"/>
        <item m="1" x="114"/>
        <item m="1" x="87"/>
        <item m="1" x="47"/>
        <item m="1" x="35"/>
        <item m="1" x="230"/>
        <item m="1" x="254"/>
        <item m="1" x="367"/>
        <item m="1" x="282"/>
        <item m="1" x="148"/>
        <item m="1" x="61"/>
        <item m="1" x="86"/>
        <item m="1" x="113"/>
        <item m="1" x="286"/>
        <item m="1" x="324"/>
        <item m="1" x="253"/>
        <item m="1" x="125"/>
        <item m="1" x="137"/>
        <item m="1" x="266"/>
        <item m="1" x="300"/>
        <item m="1" x="205"/>
        <item m="1" x="312"/>
        <item m="1" x="252"/>
        <item m="1" x="193"/>
        <item m="1" x="299"/>
        <item m="1" x="60"/>
        <item m="1" x="85"/>
        <item m="1" x="147"/>
        <item m="1" x="124"/>
        <item m="1" x="24"/>
        <item m="1" x="251"/>
        <item m="1" x="265"/>
        <item m="1" x="146"/>
        <item m="1" x="46"/>
        <item m="1" x="204"/>
        <item m="1" x="23"/>
        <item m="1" x="34"/>
        <item m="1" x="281"/>
        <item m="1" x="323"/>
        <item m="1" x="59"/>
        <item m="1" x="366"/>
        <item m="1" x="112"/>
        <item m="1" x="84"/>
        <item m="1" x="192"/>
        <item m="1" x="145"/>
        <item m="1" x="311"/>
        <item m="1" x="264"/>
        <item m="1" x="250"/>
        <item m="1" x="346"/>
        <item m="1" x="263"/>
        <item m="1" x="336"/>
        <item m="1" x="191"/>
        <item m="1" x="262"/>
        <item m="1" x="190"/>
        <item m="1" x="379"/>
        <item m="1" x="175"/>
        <item m="1" x="189"/>
        <item m="1" x="322"/>
        <item m="1" x="45"/>
        <item m="1" x="174"/>
        <item m="1" x="218"/>
        <item m="1" x="345"/>
        <item m="1" x="298"/>
        <item m="1" x="123"/>
        <item m="1" x="22"/>
        <item m="1" x="33"/>
        <item m="1" x="217"/>
        <item m="1" x="229"/>
        <item m="1" x="58"/>
        <item m="1" x="321"/>
        <item m="1" x="57"/>
        <item m="1" x="228"/>
        <item m="1" x="173"/>
        <item m="1" x="21"/>
        <item m="1" x="172"/>
        <item m="1" x="335"/>
        <item m="1" x="216"/>
        <item m="1" x="56"/>
        <item m="1" x="249"/>
        <item m="1" x="280"/>
        <item m="1" x="297"/>
        <item m="1" x="83"/>
        <item m="1" x="55"/>
        <item m="1" x="82"/>
        <item m="1" x="54"/>
        <item m="1" x="44"/>
        <item m="1" x="81"/>
        <item m="1" x="122"/>
        <item m="1" x="32"/>
        <item m="1" x="20"/>
        <item m="1" x="248"/>
        <item m="1" x="377"/>
        <item m="1" x="365"/>
        <item m="1" x="111"/>
        <item m="1" x="378"/>
        <item m="1" x="43"/>
        <item m="1" x="344"/>
        <item m="1" x="80"/>
        <item m="1" x="79"/>
        <item m="1" x="78"/>
        <item m="1" x="31"/>
        <item m="1" x="343"/>
        <item m="1" x="334"/>
        <item m="1" x="261"/>
        <item m="1" x="247"/>
        <item m="1" x="53"/>
        <item m="1" x="364"/>
        <item m="1" x="77"/>
        <item m="1" x="260"/>
        <item m="1" x="110"/>
        <item m="1" x="333"/>
        <item m="1" x="109"/>
        <item m="1" x="363"/>
        <item m="1" x="108"/>
        <item m="1" x="320"/>
        <item m="1" x="259"/>
        <item m="1" x="296"/>
        <item m="1" x="171"/>
        <item m="1" x="144"/>
        <item m="1" x="143"/>
        <item m="1" x="203"/>
        <item m="1" x="376"/>
        <item m="1" x="332"/>
        <item m="1" x="142"/>
        <item m="1" x="19"/>
        <item m="1" x="170"/>
        <item m="1" x="279"/>
        <item m="1" x="278"/>
        <item m="1" x="215"/>
        <item m="1" x="331"/>
        <item m="1" x="141"/>
        <item m="1" x="310"/>
        <item m="1" x="42"/>
        <item m="1" x="121"/>
        <item m="1" x="309"/>
        <item m="1" x="188"/>
        <item m="1" x="295"/>
        <item m="1" x="330"/>
        <item m="1" x="202"/>
        <item m="1" x="342"/>
        <item m="1" x="52"/>
        <item m="1" x="201"/>
        <item m="1" x="341"/>
        <item m="1" x="227"/>
        <item m="1" x="246"/>
        <item m="1" x="187"/>
        <item m="1" x="107"/>
        <item m="1" x="76"/>
        <item m="1" x="200"/>
        <item m="1" x="362"/>
        <item m="1" x="308"/>
        <item m="1" x="258"/>
        <item m="1" x="361"/>
        <item m="1" x="186"/>
        <item m="1" x="245"/>
        <item m="1" x="244"/>
        <item m="1" x="41"/>
        <item m="1" x="277"/>
        <item m="1" x="18"/>
        <item m="1" x="381"/>
        <item m="1" x="944"/>
        <item m="1" x="843"/>
        <item m="1" x="895"/>
        <item m="1" x="894"/>
        <item m="1" x="893"/>
        <item m="1" x="892"/>
        <item m="1" x="630"/>
        <item m="1" x="659"/>
        <item m="1" x="685"/>
        <item m="1" x="583"/>
        <item m="1" x="698"/>
        <item m="1" x="602"/>
        <item m="1" x="863"/>
        <item m="1" x="435"/>
        <item m="1" x="725"/>
        <item m="1" x="590"/>
        <item m="1" x="891"/>
        <item m="1" x="601"/>
        <item m="1" x="402"/>
        <item m="1" x="589"/>
        <item m="1" x="423"/>
        <item m="1" x="831"/>
        <item m="1" x="613"/>
        <item m="1" x="458"/>
        <item m="1" x="520"/>
        <item m="1" x="676"/>
        <item m="1" x="842"/>
        <item m="1" x="675"/>
        <item m="1" x="567"/>
        <item m="1" x="922"/>
        <item m="1" x="779"/>
        <item m="1" x="724"/>
        <item m="1" x="697"/>
        <item m="1" x="784"/>
        <item m="1" x="533"/>
        <item m="1" x="890"/>
        <item m="1" x="612"/>
        <item m="1" x="658"/>
        <item m="1" x="979"/>
        <item m="1" x="657"/>
        <item m="1" x="511"/>
        <item m="1" x="889"/>
        <item m="1" x="830"/>
        <item m="1" x="978"/>
        <item m="1" x="783"/>
        <item m="1" x="547"/>
        <item m="1" x="1010"/>
        <item m="1" x="815"/>
        <item m="1" x="411"/>
        <item m="1" x="804"/>
        <item m="1" x="829"/>
        <item m="1" x="510"/>
        <item m="1" x="674"/>
        <item m="1" x="611"/>
        <item m="1" x="546"/>
        <item m="1" x="509"/>
        <item m="1" x="828"/>
        <item m="1" x="1060"/>
        <item m="1" x="888"/>
        <item m="1" x="998"/>
        <item m="1" x="966"/>
        <item m="1" x="814"/>
        <item m="1" x="532"/>
        <item m="1" x="997"/>
        <item m="1" x="490"/>
        <item m="1" x="921"/>
        <item m="1" x="422"/>
        <item m="1" x="508"/>
        <item m="1" x="920"/>
        <item m="1" x="489"/>
        <item m="1" x="545"/>
        <item m="1" x="1059"/>
        <item m="1" x="707"/>
        <item m="1" x="600"/>
        <item m="1" x="1037"/>
        <item m="1" x="582"/>
        <item m="1" x="629"/>
        <item m="1" x="566"/>
        <item m="1" x="943"/>
        <item m="1" x="696"/>
        <item m="1" x="565"/>
        <item m="1" x="1021"/>
        <item m="1" x="1009"/>
        <item m="1" x="965"/>
        <item m="1" x="410"/>
        <item m="1" x="977"/>
        <item m="1" x="390"/>
        <item m="1" x="389"/>
        <item m="1" x="388"/>
        <item m="1" x="387"/>
        <item m="1" x="386"/>
        <item m="1" x="385"/>
        <item m="1" x="841"/>
        <item m="1" x="519"/>
        <item m="1" x="862"/>
        <item m="1" x="695"/>
        <item m="1" x="581"/>
        <item m="1" x="457"/>
        <item m="1" x="942"/>
        <item m="1" x="887"/>
        <item m="1" x="886"/>
        <item m="1" x="544"/>
        <item m="1" x="580"/>
        <item m="1" x="543"/>
        <item m="1" x="778"/>
        <item m="1" x="656"/>
        <item m="1" x="907"/>
        <item m="1" x="488"/>
        <item m="1" x="861"/>
        <item m="1" x="748"/>
        <item m="1" x="964"/>
        <item m="1" x="421"/>
        <item m="1" x="434"/>
        <item m="1" x="443"/>
        <item m="1" x="487"/>
        <item m="1" x="1020"/>
        <item m="1" x="497"/>
        <item m="1" x="542"/>
        <item m="1" x="885"/>
        <item m="1" x="963"/>
        <item m="1" x="860"/>
        <item m="1" x="996"/>
        <item m="1" x="409"/>
        <item m="1" x="1042"/>
        <item m="1" x="684"/>
        <item m="1" x="479"/>
        <item m="1" x="1019"/>
        <item m="1" x="859"/>
        <item m="1" x="858"/>
        <item m="1" x="610"/>
        <item m="1" x="541"/>
        <item m="1" x="723"/>
        <item m="1" x="478"/>
        <item m="1" x="609"/>
        <item m="1" x="540"/>
        <item m="1" x="477"/>
        <item m="1" x="884"/>
        <item m="1" x="588"/>
        <item m="1" x="476"/>
        <item m="1" x="496"/>
        <item m="1" x="1058"/>
        <item m="1" x="857"/>
        <item m="1" x="813"/>
        <item m="1" x="475"/>
        <item m="1" x="803"/>
        <item m="1" x="507"/>
        <item m="1" x="722"/>
        <item m="1" x="812"/>
        <item m="1" x="408"/>
        <item m="1" x="962"/>
        <item m="1" x="518"/>
        <item m="1" x="539"/>
        <item m="1" x="856"/>
        <item m="1" x="433"/>
        <item m="1" x="474"/>
        <item m="1" x="473"/>
        <item m="1" x="855"/>
        <item m="1" x="401"/>
        <item m="1" x="683"/>
        <item m="1" x="1018"/>
        <item m="1" x="608"/>
        <item m="1" x="706"/>
        <item m="1" x="442"/>
        <item m="1" x="407"/>
        <item m="1" x="883"/>
        <item m="1" x="1041"/>
        <item m="1" x="655"/>
        <item m="1" x="579"/>
        <item m="1" x="400"/>
        <item m="1" x="882"/>
        <item m="1" x="406"/>
        <item m="1" x="1040"/>
        <item m="1" x="607"/>
        <item m="1" x="643"/>
        <item m="1" x="694"/>
        <item m="1" x="456"/>
        <item m="1" x="976"/>
        <item m="1" x="802"/>
        <item m="1" x="486"/>
        <item m="1" x="747"/>
        <item m="1" x="531"/>
        <item m="1" x="1057"/>
        <item m="1" x="840"/>
        <item m="1" x="854"/>
        <item m="1" x="673"/>
        <item m="1" x="995"/>
        <item m="1" x="1039"/>
        <item m="1" x="693"/>
        <item m="1" x="692"/>
        <item m="1" x="919"/>
        <item m="1" x="564"/>
        <item m="1" x="811"/>
        <item m="1" x="906"/>
        <item m="1" x="853"/>
        <item m="1" x="852"/>
        <item m="1" x="801"/>
        <item m="1" x="506"/>
        <item m="1" x="642"/>
        <item m="1" x="399"/>
        <item m="1" x="975"/>
        <item m="1" x="839"/>
        <item m="1" x="905"/>
        <item m="1" x="691"/>
        <item m="1" x="606"/>
        <item m="1" x="974"/>
        <item m="1" x="599"/>
        <item m="1" x="918"/>
        <item m="1" x="472"/>
        <item m="1" x="1056"/>
        <item m="1" x="973"/>
        <item m="1" x="972"/>
        <item m="1" x="705"/>
        <item m="1" x="505"/>
        <item m="1" x="471"/>
        <item m="1" x="721"/>
        <item m="1" x="628"/>
        <item m="1" x="538"/>
        <item m="1" x="1038"/>
        <item m="1" x="455"/>
        <item m="1" x="641"/>
        <item m="1" x="537"/>
        <item m="1" x="800"/>
        <item m="1" x="627"/>
        <item m="1" x="827"/>
        <item m="1" x="690"/>
        <item m="1" x="851"/>
        <item m="1" x="432"/>
        <item m="1" x="720"/>
        <item m="1" x="405"/>
        <item m="1" x="517"/>
        <item m="1" x="971"/>
        <item m="1" x="719"/>
        <item m="1" x="1008"/>
        <item m="1" x="881"/>
        <item m="1" x="718"/>
        <item m="1" x="850"/>
        <item m="1" x="454"/>
        <item m="1" x="777"/>
        <item m="1" x="404"/>
        <item m="1" x="516"/>
        <item m="1" x="1055"/>
        <item m="1" x="605"/>
        <item m="1" x="970"/>
        <item m="1" x="453"/>
        <item m="1" x="969"/>
        <item m="1" x="689"/>
        <item m="1" x="799"/>
        <item m="1" x="578"/>
        <item m="1" x="904"/>
        <item m="1" x="732"/>
        <item m="1" x="776"/>
        <item m="1" x="1007"/>
        <item m="1" x="467"/>
        <item m="1" x="470"/>
        <item m="1" x="849"/>
        <item m="1" x="798"/>
        <item m="1" x="577"/>
        <item m="1" x="515"/>
        <item m="1" x="431"/>
        <item m="1" x="848"/>
        <item m="1" x="604"/>
        <item m="1" x="994"/>
        <item m="1" x="775"/>
        <item m="1" x="384"/>
        <item m="1" x="993"/>
        <item m="1" x="640"/>
        <item m="1" x="992"/>
        <item m="1" x="782"/>
        <item m="1" x="838"/>
        <item m="1" x="781"/>
        <item m="1" x="847"/>
        <item m="1" x="917"/>
        <item m="1" x="717"/>
        <item m="1" x="1054"/>
        <item m="1" x="536"/>
        <item m="1" x="563"/>
        <item m="1" x="968"/>
        <item m="1" x="903"/>
        <item m="1" x="562"/>
        <item m="1" x="1036"/>
        <item m="1" x="1053"/>
        <item m="1" x="469"/>
        <item m="1" x="780"/>
        <item m="1" x="797"/>
        <item m="1" x="576"/>
        <item m="1" x="403"/>
        <item m="1" x="1017"/>
        <item m="1" x="796"/>
        <item m="1" x="530"/>
        <item m="1" x="991"/>
        <item m="1" x="468"/>
        <item m="1" x="846"/>
        <item m="1" x="1035"/>
        <item m="1" x="826"/>
        <item m="1" x="688"/>
        <item m="1" x="845"/>
        <item m="1" x="504"/>
        <item m="1" x="687"/>
        <item m="1" x="575"/>
        <item m="1" x="961"/>
        <item m="1" x="960"/>
        <item m="1" x="535"/>
        <item m="1" x="452"/>
        <item m="1" x="672"/>
        <item m="1" x="810"/>
        <item m="1" x="1034"/>
        <item m="1" x="959"/>
        <item m="1" x="1006"/>
        <item m="1" x="825"/>
        <item m="1" x="1016"/>
        <item m="1" x="485"/>
        <item m="1" x="466"/>
        <item m="1" x="626"/>
        <item m="1" x="958"/>
        <item m="1" x="420"/>
        <item m="1" x="824"/>
        <item m="1" x="465"/>
        <item m="1" x="686"/>
        <item m="1" x="957"/>
        <item m="1" x="398"/>
        <item m="1" x="603"/>
        <item m="1" x="1005"/>
        <item m="1" x="574"/>
        <item m="1" x="967"/>
        <item m="1" x="880"/>
        <item m="1" x="990"/>
        <item m="1" x="464"/>
        <item m="1" x="503"/>
        <item m="1" x="598"/>
        <item m="1" x="746"/>
        <item m="1" x="716"/>
        <item m="1" x="1033"/>
        <item m="1" x="879"/>
        <item m="1" x="534"/>
        <item m="1" x="731"/>
        <item m="1" x="745"/>
        <item m="1" x="878"/>
        <item m="1" x="730"/>
        <item m="1" x="941"/>
        <item m="1" x="654"/>
        <item m="1" x="451"/>
        <item m="1" x="529"/>
        <item m="1" x="989"/>
        <item m="1" x="1015"/>
        <item m="1" x="383"/>
        <item m="1" x="1004"/>
        <item m="1" x="823"/>
        <item m="1" x="484"/>
        <item m="1" x="1014"/>
        <item m="1" x="671"/>
        <item m="1" x="809"/>
        <item m="1" x="1032"/>
        <item m="1" x="822"/>
        <item m="1" x="573"/>
        <item m="1" x="653"/>
        <item m="1" x="956"/>
        <item m="1" x="625"/>
        <item m="1" x="774"/>
        <item m="1" x="821"/>
        <item m="1" x="744"/>
        <item m="1" x="940"/>
        <item m="1" x="820"/>
        <item m="1" x="743"/>
        <item m="1" x="561"/>
        <item m="1" x="1031"/>
        <item m="1" x="670"/>
        <item m="1" x="382"/>
        <item m="1" x="729"/>
        <item m="1" x="1030"/>
        <item m="1" x="808"/>
        <item m="1" x="624"/>
        <item m="1" x="652"/>
        <item m="1" x="441"/>
        <item m="1" x="639"/>
        <item m="1" x="450"/>
        <item m="1" x="495"/>
        <item m="1" x="795"/>
        <item m="1" x="440"/>
        <item m="1" x="397"/>
        <item m="1" x="955"/>
        <item m="1" x="560"/>
        <item m="1" x="1052"/>
        <item m="1" x="682"/>
        <item m="1" x="1013"/>
        <item m="1" x="1029"/>
        <item m="1" x="551"/>
        <item m="1" x="902"/>
        <item m="1" x="528"/>
        <item m="1" x="669"/>
        <item m="1" x="463"/>
        <item m="1" x="794"/>
        <item m="1" x="954"/>
        <item m="1" x="728"/>
        <item m="1" x="668"/>
        <item m="1" x="483"/>
        <item m="1" x="667"/>
        <item m="1" x="837"/>
        <item m="1" x="597"/>
        <item m="1" x="916"/>
        <item m="1" x="773"/>
        <item m="1" x="550"/>
        <item m="1" x="527"/>
        <item m="1" x="877"/>
        <item m="1" x="793"/>
        <item m="1" x="772"/>
        <item m="1" x="953"/>
        <item m="1" x="952"/>
        <item m="1" x="681"/>
        <item m="1" x="939"/>
        <item m="1" x="938"/>
        <item m="1" x="742"/>
        <item m="1" x="937"/>
        <item m="1" x="819"/>
        <item m="1" x="741"/>
        <item m="1" x="836"/>
        <item m="1" x="419"/>
        <item m="1" x="418"/>
        <item m="1" x="876"/>
        <item m="1" x="901"/>
        <item m="1" x="1003"/>
        <item m="1" x="1051"/>
        <item m="1" x="549"/>
        <item m="1" x="587"/>
        <item m="1" x="875"/>
        <item m="1" x="396"/>
        <item m="1" x="1050"/>
        <item m="1" x="502"/>
        <item m="1" x="526"/>
        <item m="1" x="1012"/>
        <item m="1" x="874"/>
        <item m="1" x="835"/>
        <item m="1" x="559"/>
        <item m="1" x="430"/>
        <item m="1" x="638"/>
        <item m="1" x="900"/>
        <item m="1" x="572"/>
        <item m="1" x="1028"/>
        <item m="1" x="680"/>
        <item m="1" x="951"/>
        <item m="1" x="807"/>
        <item m="1" x="715"/>
        <item m="1" x="792"/>
        <item m="1" x="651"/>
        <item m="1" x="623"/>
        <item m="1" x="873"/>
        <item m="1" x="637"/>
        <item m="1" x="704"/>
        <item m="1" x="650"/>
        <item m="1" x="558"/>
        <item m="1" x="557"/>
        <item m="1" x="439"/>
        <item m="1" x="872"/>
        <item m="1" x="596"/>
        <item m="1" x="417"/>
        <item m="1" x="501"/>
        <item m="1" x="395"/>
        <item m="1" x="714"/>
        <item m="1" x="899"/>
        <item m="1" x="791"/>
        <item m="1" x="703"/>
        <item m="1" x="988"/>
        <item m="1" x="556"/>
        <item m="1" x="449"/>
        <item m="1" x="936"/>
        <item m="1" x="771"/>
        <item m="1" x="394"/>
        <item m="1" x="915"/>
        <item m="1" x="622"/>
        <item m="1" x="462"/>
        <item m="1" x="950"/>
        <item m="1" x="987"/>
        <item m="1" x="621"/>
        <item m="1" x="790"/>
        <item m="1" x="429"/>
        <item m="1" x="428"/>
        <item m="1" x="1027"/>
        <item m="1" x="427"/>
        <item m="1" x="461"/>
        <item m="1" x="789"/>
        <item m="1" x="460"/>
        <item m="1" x="713"/>
        <item m="1" x="702"/>
        <item m="1" x="514"/>
        <item m="1" x="806"/>
        <item m="1" x="914"/>
        <item m="1" x="935"/>
        <item m="1" x="727"/>
        <item m="1" x="740"/>
        <item m="1" x="934"/>
        <item m="1" x="871"/>
        <item m="1" x="933"/>
        <item m="1" x="712"/>
        <item m="1" x="701"/>
        <item m="1" x="500"/>
        <item m="1" x="586"/>
        <item m="1" x="870"/>
        <item m="1" x="666"/>
        <item m="1" x="571"/>
        <item m="1" x="679"/>
        <item m="1" x="494"/>
        <item m="1" x="711"/>
        <item m="1" x="416"/>
        <item m="1" x="555"/>
        <item m="1" x="1002"/>
        <item m="1" x="438"/>
        <item m="1" x="448"/>
        <item m="1" x="1026"/>
        <item m="1" x="834"/>
        <item m="1" x="986"/>
        <item m="1" x="1001"/>
        <item m="1" x="554"/>
        <item m="1" x="1025"/>
        <item m="1" x="499"/>
        <item m="1" x="426"/>
        <item m="1" x="513"/>
        <item m="1" x="739"/>
        <item m="1" x="570"/>
        <item m="1" x="393"/>
        <item m="1" x="569"/>
        <item m="1" x="665"/>
        <item m="1" x="738"/>
        <item m="1" x="985"/>
        <item m="1" x="1049"/>
        <item m="1" x="1048"/>
        <item m="1" x="869"/>
        <item m="1" x="700"/>
        <item m="1" x="788"/>
        <item m="1" x="482"/>
        <item m="1" x="392"/>
        <item m="1" x="481"/>
        <item m="1" x="898"/>
        <item m="1" x="553"/>
        <item m="1" x="699"/>
        <item m="1" x="415"/>
        <item m="1" x="620"/>
        <item m="1" x="949"/>
        <item m="1" x="1024"/>
        <item m="1" x="619"/>
        <item m="1" x="805"/>
        <item m="1" x="618"/>
        <item m="1" x="913"/>
        <item m="1" x="664"/>
        <item m="1" x="649"/>
        <item m="1" x="585"/>
        <item m="1" x="897"/>
        <item m="1" x="710"/>
        <item m="1" x="512"/>
        <item m="1" x="787"/>
        <item m="1" x="737"/>
        <item m="1" x="648"/>
        <item m="1" x="525"/>
        <item m="1" x="437"/>
        <item m="1" x="709"/>
        <item m="1" x="932"/>
        <item m="1" x="984"/>
        <item m="1" x="425"/>
        <item m="1" x="1047"/>
        <item m="1" x="636"/>
        <item m="1" x="584"/>
        <item m="1" x="524"/>
        <item m="1" x="1000"/>
        <item m="1" x="868"/>
        <item m="1" x="493"/>
        <item m="1" x="678"/>
        <item m="1" x="617"/>
        <item m="1" x="912"/>
        <item m="1" x="818"/>
        <item m="1" x="786"/>
        <item m="1" x="1046"/>
        <item m="1" x="867"/>
        <item m="1" x="770"/>
        <item m="1" x="1045"/>
        <item m="1" x="414"/>
        <item m="1" x="447"/>
        <item m="1" x="708"/>
        <item m="1" x="595"/>
        <item m="1" x="769"/>
        <item m="1" x="492"/>
        <item m="1" x="866"/>
        <item m="1" x="911"/>
        <item m="1" x="1011"/>
        <item m="1" x="635"/>
        <item m="1" x="594"/>
        <item m="1" x="413"/>
        <item m="1" x="896"/>
        <item m="1" x="593"/>
        <item m="1" x="647"/>
        <item m="1" x="634"/>
        <item m="1" x="736"/>
        <item m="1" x="412"/>
        <item m="1" x="948"/>
        <item m="1" x="931"/>
        <item m="1" x="844"/>
        <item m="1" x="523"/>
        <item m="1" x="633"/>
        <item m="1" x="983"/>
        <item m="1" x="568"/>
        <item m="1" x="424"/>
        <item m="1" x="677"/>
        <item m="1" x="1044"/>
        <item m="1" x="865"/>
        <item m="1" x="864"/>
        <item m="1" x="735"/>
        <item m="1" x="663"/>
        <item m="1" x="910"/>
        <item m="1" x="930"/>
        <item m="1" x="833"/>
        <item m="1" x="616"/>
        <item m="1" x="734"/>
        <item m="1" x="446"/>
        <item m="1" x="662"/>
        <item m="1" x="929"/>
        <item m="1" x="928"/>
        <item m="1" x="646"/>
        <item m="1" x="459"/>
        <item m="1" x="768"/>
        <item m="1" x="632"/>
        <item m="1" x="999"/>
        <item m="1" x="1043"/>
        <item m="1" x="947"/>
        <item m="1" x="615"/>
        <item m="1" x="1023"/>
        <item m="1" x="927"/>
        <item m="1" x="982"/>
        <item m="1" x="946"/>
        <item m="1" x="645"/>
        <item m="1" x="726"/>
        <item m="1" x="445"/>
        <item m="1" x="522"/>
        <item m="1" x="926"/>
        <item m="1" x="925"/>
        <item m="1" x="444"/>
        <item m="1" x="924"/>
        <item m="1" x="832"/>
        <item m="1" x="521"/>
        <item m="1" x="491"/>
        <item m="1" x="436"/>
        <item m="1" x="480"/>
        <item m="1" x="817"/>
        <item m="1" x="923"/>
        <item m="1" x="592"/>
        <item m="1" x="644"/>
        <item m="1" x="909"/>
        <item m="1" x="498"/>
        <item m="1" x="614"/>
        <item m="1" x="945"/>
        <item m="1" x="391"/>
        <item m="1" x="548"/>
        <item m="1" x="785"/>
        <item m="1" x="981"/>
        <item m="1" x="816"/>
        <item m="1" x="980"/>
        <item m="1" x="661"/>
        <item m="1" x="908"/>
        <item m="1" x="591"/>
        <item m="1" x="631"/>
        <item m="1" x="552"/>
        <item m="1" x="660"/>
        <item m="1" x="733"/>
        <item m="1" x="767"/>
        <item m="1" x="766"/>
        <item m="1" x="1022"/>
        <item m="1" x="765"/>
        <item m="1" x="764"/>
        <item m="1" x="763"/>
        <item m="1" x="762"/>
        <item m="1" x="761"/>
        <item m="1" x="760"/>
        <item m="1" x="759"/>
        <item m="1" x="758"/>
        <item m="1" x="757"/>
        <item m="1" x="756"/>
        <item m="1" x="755"/>
        <item m="1" x="754"/>
        <item m="1" x="753"/>
        <item m="1" x="752"/>
        <item m="1" x="751"/>
        <item m="1" x="750"/>
        <item m="1" x="749"/>
        <item m="1" x="6"/>
        <item x="1"/>
        <item t="default"/>
      </items>
    </pivotField>
    <pivotField axis="axisPage" multipleItemSelectionAllowed="1" showAll="0">
      <items count="23">
        <item h="1" m="1" x="21"/>
        <item h="1" m="1" x="20"/>
        <item h="1" m="1" x="19"/>
        <item h="1" m="1" x="18"/>
        <item h="1" m="1" x="17"/>
        <item h="1" m="1" x="16"/>
        <item h="1" x="15"/>
        <item h="1" x="14"/>
        <item h="1" x="13"/>
        <item h="1" x="12"/>
        <item h="1" x="11"/>
        <item h="1" x="10"/>
        <item h="1" x="9"/>
        <item h="1" x="8"/>
        <item h="1" x="7"/>
        <item h="1" x="6"/>
        <item h="1" x="3"/>
        <item h="1" x="4"/>
        <item h="1" x="5"/>
        <item x="0"/>
        <item h="1" x="1"/>
        <item h="1" x="2"/>
        <item t="default"/>
      </items>
    </pivotField>
    <pivotField showAll="0"/>
    <pivotField showAll="0"/>
    <pivotField showAll="0"/>
    <pivotField showAll="0"/>
    <pivotField showAll="0"/>
    <pivotField axis="axisRow" dataField="1" showAll="0">
      <items count="117">
        <item x="0"/>
        <item x="2"/>
        <item x="1"/>
        <item x="4"/>
        <item x="3"/>
        <item x="5"/>
        <item x="6"/>
        <item x="7"/>
        <item x="8"/>
        <item x="9"/>
        <item m="1" x="104"/>
        <item m="1" x="105"/>
        <item x="12"/>
        <item x="13"/>
        <item m="1" x="106"/>
        <item x="15"/>
        <item x="16"/>
        <item m="1" x="107"/>
        <item x="17"/>
        <item x="18"/>
        <item x="19"/>
        <item x="20"/>
        <item x="21"/>
        <item x="22"/>
        <item m="1" x="108"/>
        <item x="24"/>
        <item x="25"/>
        <item x="26"/>
        <item x="27"/>
        <item x="28"/>
        <item x="29"/>
        <item x="30"/>
        <item x="31"/>
        <item x="32"/>
        <item x="33"/>
        <item x="34"/>
        <item m="1" x="109"/>
        <item x="36"/>
        <item x="37"/>
        <item x="38"/>
        <item x="39"/>
        <item x="40"/>
        <item x="41"/>
        <item x="42"/>
        <item x="43"/>
        <item x="44"/>
        <item x="45"/>
        <item x="46"/>
        <item x="47"/>
        <item m="1" x="48"/>
        <item m="1" x="49"/>
        <item m="1" x="50"/>
        <item m="1" x="51"/>
        <item m="1" x="52"/>
        <item m="1" x="53"/>
        <item m="1" x="110"/>
        <item m="1" x="55"/>
        <item m="1" x="56"/>
        <item m="1" x="57"/>
        <item m="1" x="58"/>
        <item m="1" x="59"/>
        <item m="1" x="60"/>
        <item m="1" x="61"/>
        <item m="1" x="62"/>
        <item m="1" x="111"/>
        <item m="1" x="112"/>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x="14"/>
        <item m="1" x="93"/>
        <item m="1" x="113"/>
        <item m="1" x="95"/>
        <item m="1" x="96"/>
        <item m="1" x="97"/>
        <item m="1" x="114"/>
        <item m="1" x="99"/>
        <item m="1" x="100"/>
        <item m="1" x="115"/>
        <item m="1" x="102"/>
        <item m="1" x="103"/>
        <item x="10"/>
        <item x="11"/>
        <item x="23"/>
        <item x="35"/>
        <item m="1" x="54"/>
        <item m="1" x="63"/>
        <item m="1" x="64"/>
        <item m="1" x="94"/>
        <item m="1" x="98"/>
        <item m="1" x="101"/>
        <item t="default"/>
      </items>
    </pivotField>
    <pivotField showAll="0"/>
    <pivotField showAll="0"/>
    <pivotField showAll="0"/>
    <pivotField showAll="0"/>
    <pivotField showAll="0"/>
    <pivotField showAll="0"/>
  </pivotFields>
  <rowFields count="1">
    <field x="8"/>
  </rowFields>
  <rowItems count="3">
    <i>
      <x/>
    </i>
    <i>
      <x v="2"/>
    </i>
    <i t="grand">
      <x/>
    </i>
  </rowItems>
  <colItems count="1">
    <i/>
  </colItems>
  <pageFields count="2">
    <pageField fld="1" hier="-1"/>
    <pageField fld="2" hier="-1"/>
  </pageFields>
  <dataFields count="1">
    <dataField name="Cuenta de Pregunta 2" fld="8"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E30E2-3AEF-40F7-94C6-A98F422CAABC}" name="TablaDinámica2" cacheId="40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A22:B25" firstHeaderRow="1" firstDataRow="1" firstDataCol="1" rowPageCount="2" colPageCount="1"/>
  <pivotFields count="15">
    <pivotField showAll="0"/>
    <pivotField axis="axisPage" multipleItemSelectionAllowed="1" showAll="0">
      <items count="1062">
        <item x="2"/>
        <item m="1" x="30"/>
        <item m="1" x="75"/>
        <item m="1" x="40"/>
        <item m="1" x="29"/>
        <item m="1" x="136"/>
        <item m="1" x="155"/>
        <item m="1" x="120"/>
        <item m="1" x="307"/>
        <item m="1" x="329"/>
        <item m="1" x="306"/>
        <item m="1" x="340"/>
        <item m="1" x="360"/>
        <item m="1" x="185"/>
        <item m="1" x="184"/>
        <item m="1" x="243"/>
        <item m="1" x="242"/>
        <item m="1" x="305"/>
        <item m="1" x="17"/>
        <item m="1" x="74"/>
        <item m="1" x="106"/>
        <item m="1" x="294"/>
        <item m="1" x="119"/>
        <item m="1" x="226"/>
        <item m="1" x="359"/>
        <item m="1" x="241"/>
        <item m="1" x="16"/>
        <item m="1" x="351"/>
        <item m="1" x="234"/>
        <item m="1" x="358"/>
        <item m="1" x="94"/>
        <item m="1" x="39"/>
        <item m="1" x="169"/>
        <item m="1" x="38"/>
        <item m="1" x="28"/>
        <item m="1" x="15"/>
        <item m="1" x="73"/>
        <item m="1" x="154"/>
        <item m="1" x="72"/>
        <item m="1" x="183"/>
        <item m="1" x="14"/>
        <item m="1" x="13"/>
        <item m="1" x="214"/>
        <item m="1" x="105"/>
        <item m="1" x="12"/>
        <item m="1" x="140"/>
        <item m="1" x="27"/>
        <item m="1" x="225"/>
        <item m="1" x="375"/>
        <item m="1" x="224"/>
        <item m="1" x="199"/>
        <item m="1" x="293"/>
        <item m="1" x="37"/>
        <item m="1" x="104"/>
        <item m="1" x="153"/>
        <item m="1" x="233"/>
        <item m="1" x="285"/>
        <item m="1" x="213"/>
        <item m="1" x="168"/>
        <item m="1" x="167"/>
        <item m="1" x="93"/>
        <item m="1" x="374"/>
        <item m="1" x="304"/>
        <item m="1" x="11"/>
        <item m="1" x="276"/>
        <item m="1" x="357"/>
        <item m="1" x="275"/>
        <item m="1" x="103"/>
        <item m="1" x="319"/>
        <item m="1" x="240"/>
        <item m="1" x="292"/>
        <item m="1" x="92"/>
        <item m="1" x="318"/>
        <item m="1" x="91"/>
        <item m="1" x="198"/>
        <item m="1" x="356"/>
        <item m="1" x="355"/>
        <item m="1" x="118"/>
        <item m="1" x="71"/>
        <item m="1" x="212"/>
        <item m="1" x="373"/>
        <item m="1" x="90"/>
        <item m="1" x="135"/>
        <item m="1" x="152"/>
        <item m="1" x="197"/>
        <item m="1" x="166"/>
        <item m="1" x="291"/>
        <item m="1" x="290"/>
        <item m="1" x="303"/>
        <item m="1" x="289"/>
        <item m="1" x="182"/>
        <item m="1" x="232"/>
        <item m="1" x="89"/>
        <item m="1" x="181"/>
        <item m="1" x="274"/>
        <item m="1" x="10"/>
        <item m="1" x="350"/>
        <item m="1" x="372"/>
        <item m="1" x="134"/>
        <item m="1" x="371"/>
        <item m="1" x="302"/>
        <item m="1" x="36"/>
        <item m="1" x="211"/>
        <item m="1" x="102"/>
        <item m="1" x="165"/>
        <item m="1" x="349"/>
        <item m="1" x="180"/>
        <item m="1" x="164"/>
        <item m="1" x="117"/>
        <item m="1" x="9"/>
        <item m="1" x="179"/>
        <item m="1" x="101"/>
        <item m="1" x="70"/>
        <item m="1" x="69"/>
        <item m="1" x="68"/>
        <item m="1" x="67"/>
        <item m="1" x="370"/>
        <item m="1" x="163"/>
        <item m="1" x="8"/>
        <item m="1" x="133"/>
        <item m="1" x="116"/>
        <item m="1" x="162"/>
        <item m="1" x="100"/>
        <item m="1" x="210"/>
        <item m="1" x="132"/>
        <item m="1" x="161"/>
        <item m="1" x="196"/>
        <item m="1" x="317"/>
        <item m="1" x="273"/>
        <item m="1" x="195"/>
        <item m="1" x="348"/>
        <item m="1" x="160"/>
        <item m="1" x="139"/>
        <item m="1" x="138"/>
        <item m="1" x="239"/>
        <item m="1" x="131"/>
        <item m="1" x="7"/>
        <item m="1" x="354"/>
        <item m="1" x="99"/>
        <item m="1" x="130"/>
        <item m="1" x="51"/>
        <item m="1" x="238"/>
        <item m="1" x="98"/>
        <item m="1" x="50"/>
        <item m="1" x="159"/>
        <item m="1" x="26"/>
        <item m="1" x="301"/>
        <item m="1" x="223"/>
        <item m="1" x="231"/>
        <item m="1" x="178"/>
        <item m="1" x="272"/>
        <item m="1" x="328"/>
        <item m="1" x="271"/>
        <item m="1" x="316"/>
        <item m="1" x="158"/>
        <item m="1" x="177"/>
        <item m="1" x="327"/>
        <item m="1" x="209"/>
        <item m="1" x="66"/>
        <item m="1" x="237"/>
        <item m="1" x="288"/>
        <item m="1" x="97"/>
        <item m="1" x="96"/>
        <item m="1" x="315"/>
        <item m="1" x="284"/>
        <item m="1" x="208"/>
        <item m="1" x="207"/>
        <item m="1" x="157"/>
        <item m="1" x="151"/>
        <item m="1" x="326"/>
        <item m="1" x="283"/>
        <item m="1" x="95"/>
        <item m="1" x="353"/>
        <item m="1" x="194"/>
        <item m="1" x="236"/>
        <item m="1" x="150"/>
        <item m="1" x="339"/>
        <item m="1" x="149"/>
        <item m="1" x="380"/>
        <item m="1" x="287"/>
        <item m="1" x="235"/>
        <item m="1" x="338"/>
        <item m="1" x="49"/>
        <item m="1" x="222"/>
        <item m="1" x="176"/>
        <item m="1" x="129"/>
        <item m="1" x="314"/>
        <item m="1" x="65"/>
        <item m="1" x="221"/>
        <item m="1" x="337"/>
        <item m="1" x="352"/>
        <item m="1" x="270"/>
        <item m="1" x="88"/>
        <item m="1" x="257"/>
        <item m="1" x="156"/>
        <item m="1" x="325"/>
        <item m="1" x="64"/>
        <item m="1" x="313"/>
        <item m="1" x="256"/>
        <item m="1" x="48"/>
        <item m="1" x="128"/>
        <item m="1" x="269"/>
        <item m="1" x="369"/>
        <item m="1" x="255"/>
        <item m="1" x="347"/>
        <item m="1" x="268"/>
        <item m="1" x="220"/>
        <item m="1" x="25"/>
        <item m="1" x="115"/>
        <item m="1" x="127"/>
        <item m="1" x="219"/>
        <item m="1" x="368"/>
        <item m="1" x="126"/>
        <item m="1" x="206"/>
        <item m="1" x="267"/>
        <item m="1" x="63"/>
        <item m="1" x="62"/>
        <item m="1" x="114"/>
        <item m="1" x="87"/>
        <item m="1" x="47"/>
        <item m="1" x="35"/>
        <item m="1" x="230"/>
        <item m="1" x="254"/>
        <item m="1" x="367"/>
        <item m="1" x="282"/>
        <item m="1" x="148"/>
        <item m="1" x="61"/>
        <item m="1" x="86"/>
        <item m="1" x="113"/>
        <item m="1" x="286"/>
        <item m="1" x="324"/>
        <item m="1" x="253"/>
        <item m="1" x="125"/>
        <item m="1" x="137"/>
        <item m="1" x="266"/>
        <item m="1" x="300"/>
        <item m="1" x="205"/>
        <item m="1" x="312"/>
        <item m="1" x="252"/>
        <item m="1" x="193"/>
        <item m="1" x="299"/>
        <item m="1" x="60"/>
        <item m="1" x="85"/>
        <item m="1" x="147"/>
        <item m="1" x="124"/>
        <item m="1" x="24"/>
        <item m="1" x="251"/>
        <item m="1" x="265"/>
        <item m="1" x="146"/>
        <item m="1" x="46"/>
        <item m="1" x="204"/>
        <item m="1" x="23"/>
        <item m="1" x="34"/>
        <item m="1" x="281"/>
        <item m="1" x="323"/>
        <item m="1" x="59"/>
        <item m="1" x="366"/>
        <item m="1" x="112"/>
        <item m="1" x="84"/>
        <item m="1" x="192"/>
        <item m="1" x="145"/>
        <item m="1" x="311"/>
        <item m="1" x="264"/>
        <item m="1" x="250"/>
        <item m="1" x="346"/>
        <item m="1" x="263"/>
        <item m="1" x="336"/>
        <item m="1" x="191"/>
        <item m="1" x="262"/>
        <item m="1" x="190"/>
        <item m="1" x="379"/>
        <item m="1" x="175"/>
        <item m="1" x="189"/>
        <item m="1" x="322"/>
        <item m="1" x="45"/>
        <item m="1" x="174"/>
        <item m="1" x="218"/>
        <item m="1" x="345"/>
        <item m="1" x="298"/>
        <item m="1" x="123"/>
        <item m="1" x="22"/>
        <item m="1" x="33"/>
        <item m="1" x="217"/>
        <item m="1" x="229"/>
        <item m="1" x="58"/>
        <item m="1" x="321"/>
        <item m="1" x="57"/>
        <item m="1" x="228"/>
        <item m="1" x="173"/>
        <item m="1" x="21"/>
        <item m="1" x="172"/>
        <item m="1" x="335"/>
        <item m="1" x="216"/>
        <item m="1" x="56"/>
        <item m="1" x="249"/>
        <item m="1" x="280"/>
        <item m="1" x="297"/>
        <item m="1" x="83"/>
        <item m="1" x="55"/>
        <item m="1" x="82"/>
        <item m="1" x="54"/>
        <item m="1" x="44"/>
        <item m="1" x="81"/>
        <item m="1" x="122"/>
        <item m="1" x="32"/>
        <item m="1" x="20"/>
        <item m="1" x="248"/>
        <item m="1" x="377"/>
        <item m="1" x="365"/>
        <item m="1" x="111"/>
        <item m="1" x="378"/>
        <item m="1" x="43"/>
        <item m="1" x="344"/>
        <item m="1" x="80"/>
        <item m="1" x="79"/>
        <item m="1" x="78"/>
        <item m="1" x="31"/>
        <item m="1" x="343"/>
        <item m="1" x="334"/>
        <item m="1" x="261"/>
        <item m="1" x="247"/>
        <item m="1" x="53"/>
        <item m="1" x="364"/>
        <item m="1" x="77"/>
        <item m="1" x="260"/>
        <item m="1" x="110"/>
        <item m="1" x="333"/>
        <item m="1" x="109"/>
        <item m="1" x="363"/>
        <item m="1" x="108"/>
        <item m="1" x="320"/>
        <item m="1" x="259"/>
        <item m="1" x="296"/>
        <item m="1" x="171"/>
        <item m="1" x="144"/>
        <item m="1" x="143"/>
        <item m="1" x="203"/>
        <item m="1" x="376"/>
        <item m="1" x="332"/>
        <item m="1" x="142"/>
        <item m="1" x="19"/>
        <item m="1" x="170"/>
        <item m="1" x="279"/>
        <item m="1" x="278"/>
        <item m="1" x="215"/>
        <item m="1" x="331"/>
        <item m="1" x="141"/>
        <item m="1" x="310"/>
        <item m="1" x="42"/>
        <item m="1" x="121"/>
        <item m="1" x="309"/>
        <item m="1" x="188"/>
        <item m="1" x="295"/>
        <item m="1" x="330"/>
        <item m="1" x="202"/>
        <item m="1" x="342"/>
        <item m="1" x="52"/>
        <item m="1" x="201"/>
        <item m="1" x="341"/>
        <item m="1" x="227"/>
        <item m="1" x="246"/>
        <item m="1" x="187"/>
        <item m="1" x="107"/>
        <item m="1" x="76"/>
        <item m="1" x="200"/>
        <item m="1" x="362"/>
        <item m="1" x="308"/>
        <item m="1" x="258"/>
        <item m="1" x="361"/>
        <item m="1" x="186"/>
        <item m="1" x="245"/>
        <item m="1" x="244"/>
        <item m="1" x="41"/>
        <item m="1" x="277"/>
        <item m="1" x="18"/>
        <item m="1" x="381"/>
        <item m="1" x="944"/>
        <item m="1" x="843"/>
        <item m="1" x="895"/>
        <item m="1" x="894"/>
        <item m="1" x="893"/>
        <item m="1" x="892"/>
        <item m="1" x="630"/>
        <item m="1" x="659"/>
        <item m="1" x="685"/>
        <item m="1" x="583"/>
        <item m="1" x="698"/>
        <item m="1" x="602"/>
        <item m="1" x="863"/>
        <item m="1" x="435"/>
        <item m="1" x="725"/>
        <item m="1" x="590"/>
        <item m="1" x="891"/>
        <item m="1" x="601"/>
        <item m="1" x="402"/>
        <item m="1" x="589"/>
        <item m="1" x="423"/>
        <item m="1" x="831"/>
        <item m="1" x="613"/>
        <item m="1" x="458"/>
        <item m="1" x="520"/>
        <item m="1" x="676"/>
        <item m="1" x="842"/>
        <item m="1" x="675"/>
        <item m="1" x="567"/>
        <item m="1" x="922"/>
        <item m="1" x="779"/>
        <item m="1" x="724"/>
        <item m="1" x="697"/>
        <item m="1" x="784"/>
        <item m="1" x="533"/>
        <item m="1" x="890"/>
        <item m="1" x="612"/>
        <item m="1" x="658"/>
        <item m="1" x="979"/>
        <item m="1" x="657"/>
        <item m="1" x="511"/>
        <item m="1" x="889"/>
        <item m="1" x="830"/>
        <item m="1" x="978"/>
        <item m="1" x="783"/>
        <item m="1" x="547"/>
        <item m="1" x="1010"/>
        <item m="1" x="815"/>
        <item m="1" x="411"/>
        <item m="1" x="804"/>
        <item m="1" x="829"/>
        <item m="1" x="510"/>
        <item m="1" x="674"/>
        <item m="1" x="611"/>
        <item m="1" x="546"/>
        <item m="1" x="509"/>
        <item m="1" x="828"/>
        <item m="1" x="1060"/>
        <item m="1" x="888"/>
        <item m="1" x="998"/>
        <item m="1" x="966"/>
        <item m="1" x="814"/>
        <item m="1" x="532"/>
        <item m="1" x="997"/>
        <item m="1" x="490"/>
        <item m="1" x="921"/>
        <item m="1" x="422"/>
        <item m="1" x="508"/>
        <item m="1" x="920"/>
        <item m="1" x="489"/>
        <item m="1" x="545"/>
        <item m="1" x="1059"/>
        <item m="1" x="707"/>
        <item m="1" x="600"/>
        <item m="1" x="1037"/>
        <item m="1" x="582"/>
        <item m="1" x="629"/>
        <item m="1" x="566"/>
        <item m="1" x="943"/>
        <item m="1" x="696"/>
        <item m="1" x="565"/>
        <item m="1" x="1021"/>
        <item m="1" x="1009"/>
        <item m="1" x="965"/>
        <item m="1" x="410"/>
        <item m="1" x="977"/>
        <item m="1" x="390"/>
        <item m="1" x="389"/>
        <item m="1" x="388"/>
        <item m="1" x="387"/>
        <item m="1" x="386"/>
        <item m="1" x="385"/>
        <item m="1" x="841"/>
        <item m="1" x="519"/>
        <item m="1" x="862"/>
        <item m="1" x="695"/>
        <item m="1" x="581"/>
        <item m="1" x="457"/>
        <item m="1" x="942"/>
        <item m="1" x="887"/>
        <item m="1" x="886"/>
        <item m="1" x="544"/>
        <item m="1" x="580"/>
        <item m="1" x="543"/>
        <item m="1" x="778"/>
        <item m="1" x="656"/>
        <item m="1" x="907"/>
        <item m="1" x="488"/>
        <item m="1" x="861"/>
        <item m="1" x="748"/>
        <item m="1" x="964"/>
        <item m="1" x="421"/>
        <item m="1" x="434"/>
        <item m="1" x="443"/>
        <item m="1" x="487"/>
        <item m="1" x="1020"/>
        <item m="1" x="497"/>
        <item m="1" x="542"/>
        <item m="1" x="885"/>
        <item m="1" x="963"/>
        <item m="1" x="860"/>
        <item m="1" x="996"/>
        <item m="1" x="409"/>
        <item m="1" x="1042"/>
        <item m="1" x="684"/>
        <item m="1" x="479"/>
        <item m="1" x="1019"/>
        <item m="1" x="859"/>
        <item m="1" x="858"/>
        <item m="1" x="610"/>
        <item m="1" x="541"/>
        <item m="1" x="723"/>
        <item m="1" x="478"/>
        <item m="1" x="609"/>
        <item m="1" x="540"/>
        <item m="1" x="477"/>
        <item m="1" x="884"/>
        <item m="1" x="588"/>
        <item m="1" x="476"/>
        <item m="1" x="496"/>
        <item m="1" x="1058"/>
        <item m="1" x="857"/>
        <item m="1" x="813"/>
        <item m="1" x="475"/>
        <item m="1" x="803"/>
        <item m="1" x="507"/>
        <item m="1" x="722"/>
        <item m="1" x="812"/>
        <item m="1" x="408"/>
        <item m="1" x="962"/>
        <item m="1" x="518"/>
        <item m="1" x="539"/>
        <item m="1" x="856"/>
        <item m="1" x="433"/>
        <item m="1" x="474"/>
        <item m="1" x="473"/>
        <item m="1" x="855"/>
        <item m="1" x="401"/>
        <item m="1" x="683"/>
        <item m="1" x="1018"/>
        <item m="1" x="608"/>
        <item m="1" x="706"/>
        <item m="1" x="442"/>
        <item m="1" x="407"/>
        <item m="1" x="883"/>
        <item m="1" x="1041"/>
        <item m="1" x="655"/>
        <item m="1" x="579"/>
        <item m="1" x="400"/>
        <item m="1" x="882"/>
        <item m="1" x="406"/>
        <item m="1" x="1040"/>
        <item m="1" x="607"/>
        <item m="1" x="643"/>
        <item m="1" x="694"/>
        <item m="1" x="456"/>
        <item m="1" x="976"/>
        <item m="1" x="802"/>
        <item m="1" x="486"/>
        <item m="1" x="747"/>
        <item m="1" x="531"/>
        <item m="1" x="1057"/>
        <item m="1" x="840"/>
        <item m="1" x="854"/>
        <item m="1" x="673"/>
        <item m="1" x="995"/>
        <item m="1" x="1039"/>
        <item m="1" x="693"/>
        <item m="1" x="692"/>
        <item m="1" x="919"/>
        <item m="1" x="564"/>
        <item m="1" x="811"/>
        <item m="1" x="906"/>
        <item m="1" x="853"/>
        <item m="1" x="852"/>
        <item m="1" x="801"/>
        <item m="1" x="506"/>
        <item m="1" x="642"/>
        <item m="1" x="399"/>
        <item m="1" x="975"/>
        <item m="1" x="839"/>
        <item m="1" x="905"/>
        <item m="1" x="691"/>
        <item m="1" x="606"/>
        <item m="1" x="974"/>
        <item m="1" x="599"/>
        <item m="1" x="918"/>
        <item m="1" x="472"/>
        <item m="1" x="1056"/>
        <item m="1" x="973"/>
        <item m="1" x="972"/>
        <item m="1" x="705"/>
        <item m="1" x="505"/>
        <item m="1" x="471"/>
        <item m="1" x="721"/>
        <item m="1" x="628"/>
        <item m="1" x="538"/>
        <item m="1" x="1038"/>
        <item m="1" x="455"/>
        <item m="1" x="641"/>
        <item m="1" x="537"/>
        <item m="1" x="800"/>
        <item m="1" x="627"/>
        <item m="1" x="827"/>
        <item m="1" x="690"/>
        <item m="1" x="851"/>
        <item m="1" x="432"/>
        <item m="1" x="720"/>
        <item m="1" x="405"/>
        <item m="1" x="517"/>
        <item m="1" x="971"/>
        <item m="1" x="719"/>
        <item m="1" x="1008"/>
        <item m="1" x="881"/>
        <item m="1" x="718"/>
        <item m="1" x="850"/>
        <item m="1" x="454"/>
        <item m="1" x="777"/>
        <item m="1" x="404"/>
        <item m="1" x="516"/>
        <item m="1" x="1055"/>
        <item m="1" x="605"/>
        <item m="1" x="970"/>
        <item m="1" x="453"/>
        <item m="1" x="969"/>
        <item m="1" x="689"/>
        <item m="1" x="799"/>
        <item m="1" x="578"/>
        <item m="1" x="904"/>
        <item m="1" x="732"/>
        <item m="1" x="776"/>
        <item m="1" x="1007"/>
        <item m="1" x="467"/>
        <item m="1" x="470"/>
        <item m="1" x="849"/>
        <item m="1" x="798"/>
        <item m="1" x="577"/>
        <item m="1" x="515"/>
        <item m="1" x="431"/>
        <item m="1" x="848"/>
        <item m="1" x="604"/>
        <item m="1" x="994"/>
        <item m="1" x="775"/>
        <item m="1" x="384"/>
        <item m="1" x="993"/>
        <item m="1" x="640"/>
        <item m="1" x="992"/>
        <item m="1" x="782"/>
        <item m="1" x="838"/>
        <item m="1" x="781"/>
        <item m="1" x="847"/>
        <item m="1" x="917"/>
        <item m="1" x="717"/>
        <item m="1" x="1054"/>
        <item m="1" x="536"/>
        <item m="1" x="563"/>
        <item m="1" x="968"/>
        <item m="1" x="903"/>
        <item m="1" x="562"/>
        <item m="1" x="1036"/>
        <item m="1" x="1053"/>
        <item m="1" x="469"/>
        <item m="1" x="780"/>
        <item m="1" x="797"/>
        <item m="1" x="576"/>
        <item m="1" x="403"/>
        <item m="1" x="1017"/>
        <item m="1" x="796"/>
        <item m="1" x="530"/>
        <item m="1" x="991"/>
        <item m="1" x="468"/>
        <item m="1" x="846"/>
        <item m="1" x="1035"/>
        <item m="1" x="826"/>
        <item m="1" x="688"/>
        <item m="1" x="845"/>
        <item m="1" x="504"/>
        <item m="1" x="687"/>
        <item m="1" x="575"/>
        <item m="1" x="961"/>
        <item m="1" x="960"/>
        <item m="1" x="535"/>
        <item m="1" x="452"/>
        <item m="1" x="672"/>
        <item m="1" x="810"/>
        <item m="1" x="1034"/>
        <item m="1" x="959"/>
        <item m="1" x="1006"/>
        <item m="1" x="825"/>
        <item m="1" x="1016"/>
        <item m="1" x="485"/>
        <item m="1" x="466"/>
        <item m="1" x="626"/>
        <item m="1" x="958"/>
        <item m="1" x="420"/>
        <item m="1" x="824"/>
        <item m="1" x="465"/>
        <item m="1" x="686"/>
        <item m="1" x="957"/>
        <item m="1" x="398"/>
        <item m="1" x="603"/>
        <item m="1" x="1005"/>
        <item m="1" x="574"/>
        <item m="1" x="967"/>
        <item m="1" x="880"/>
        <item m="1" x="990"/>
        <item m="1" x="464"/>
        <item m="1" x="503"/>
        <item m="1" x="598"/>
        <item m="1" x="746"/>
        <item m="1" x="716"/>
        <item m="1" x="1033"/>
        <item m="1" x="879"/>
        <item m="1" x="534"/>
        <item m="1" x="731"/>
        <item m="1" x="745"/>
        <item m="1" x="878"/>
        <item m="1" x="730"/>
        <item m="1" x="941"/>
        <item m="1" x="654"/>
        <item m="1" x="451"/>
        <item m="1" x="529"/>
        <item m="1" x="989"/>
        <item m="1" x="1015"/>
        <item m="1" x="383"/>
        <item m="1" x="1004"/>
        <item m="1" x="823"/>
        <item m="1" x="484"/>
        <item m="1" x="1014"/>
        <item m="1" x="671"/>
        <item m="1" x="809"/>
        <item m="1" x="1032"/>
        <item m="1" x="822"/>
        <item m="1" x="573"/>
        <item m="1" x="653"/>
        <item m="1" x="956"/>
        <item m="1" x="625"/>
        <item m="1" x="774"/>
        <item m="1" x="821"/>
        <item m="1" x="744"/>
        <item m="1" x="940"/>
        <item m="1" x="820"/>
        <item m="1" x="743"/>
        <item m="1" x="561"/>
        <item m="1" x="1031"/>
        <item m="1" x="670"/>
        <item m="1" x="382"/>
        <item m="1" x="729"/>
        <item m="1" x="1030"/>
        <item m="1" x="808"/>
        <item m="1" x="624"/>
        <item m="1" x="652"/>
        <item m="1" x="441"/>
        <item m="1" x="639"/>
        <item m="1" x="450"/>
        <item m="1" x="495"/>
        <item m="1" x="795"/>
        <item m="1" x="440"/>
        <item m="1" x="397"/>
        <item m="1" x="955"/>
        <item m="1" x="560"/>
        <item m="1" x="1052"/>
        <item m="1" x="682"/>
        <item m="1" x="1013"/>
        <item m="1" x="1029"/>
        <item m="1" x="551"/>
        <item m="1" x="902"/>
        <item m="1" x="528"/>
        <item m="1" x="669"/>
        <item m="1" x="463"/>
        <item m="1" x="794"/>
        <item m="1" x="954"/>
        <item m="1" x="728"/>
        <item m="1" x="668"/>
        <item m="1" x="483"/>
        <item m="1" x="667"/>
        <item m="1" x="837"/>
        <item m="1" x="597"/>
        <item m="1" x="916"/>
        <item m="1" x="773"/>
        <item m="1" x="550"/>
        <item m="1" x="527"/>
        <item m="1" x="877"/>
        <item m="1" x="793"/>
        <item m="1" x="772"/>
        <item m="1" x="953"/>
        <item m="1" x="952"/>
        <item m="1" x="681"/>
        <item m="1" x="939"/>
        <item m="1" x="938"/>
        <item m="1" x="742"/>
        <item m="1" x="937"/>
        <item m="1" x="819"/>
        <item m="1" x="741"/>
        <item m="1" x="836"/>
        <item m="1" x="419"/>
        <item m="1" x="418"/>
        <item m="1" x="876"/>
        <item m="1" x="901"/>
        <item m="1" x="1003"/>
        <item m="1" x="1051"/>
        <item m="1" x="549"/>
        <item m="1" x="587"/>
        <item m="1" x="875"/>
        <item m="1" x="396"/>
        <item m="1" x="1050"/>
        <item m="1" x="502"/>
        <item m="1" x="526"/>
        <item m="1" x="1012"/>
        <item m="1" x="874"/>
        <item m="1" x="835"/>
        <item m="1" x="559"/>
        <item m="1" x="430"/>
        <item m="1" x="638"/>
        <item m="1" x="900"/>
        <item m="1" x="572"/>
        <item m="1" x="1028"/>
        <item m="1" x="680"/>
        <item m="1" x="951"/>
        <item m="1" x="807"/>
        <item m="1" x="715"/>
        <item m="1" x="792"/>
        <item m="1" x="651"/>
        <item m="1" x="623"/>
        <item m="1" x="873"/>
        <item m="1" x="637"/>
        <item m="1" x="704"/>
        <item m="1" x="650"/>
        <item m="1" x="558"/>
        <item m="1" x="557"/>
        <item m="1" x="439"/>
        <item m="1" x="872"/>
        <item m="1" x="596"/>
        <item m="1" x="417"/>
        <item m="1" x="501"/>
        <item m="1" x="395"/>
        <item m="1" x="714"/>
        <item m="1" x="899"/>
        <item m="1" x="791"/>
        <item m="1" x="703"/>
        <item m="1" x="988"/>
        <item m="1" x="556"/>
        <item m="1" x="449"/>
        <item m="1" x="936"/>
        <item m="1" x="771"/>
        <item m="1" x="394"/>
        <item m="1" x="915"/>
        <item m="1" x="622"/>
        <item m="1" x="462"/>
        <item m="1" x="950"/>
        <item m="1" x="987"/>
        <item m="1" x="621"/>
        <item m="1" x="790"/>
        <item m="1" x="429"/>
        <item m="1" x="428"/>
        <item m="1" x="1027"/>
        <item m="1" x="427"/>
        <item m="1" x="461"/>
        <item m="1" x="789"/>
        <item m="1" x="460"/>
        <item m="1" x="713"/>
        <item m="1" x="702"/>
        <item m="1" x="514"/>
        <item m="1" x="806"/>
        <item m="1" x="914"/>
        <item m="1" x="935"/>
        <item m="1" x="727"/>
        <item m="1" x="740"/>
        <item m="1" x="934"/>
        <item m="1" x="871"/>
        <item m="1" x="933"/>
        <item m="1" x="712"/>
        <item m="1" x="701"/>
        <item m="1" x="500"/>
        <item m="1" x="586"/>
        <item m="1" x="870"/>
        <item m="1" x="666"/>
        <item m="1" x="571"/>
        <item m="1" x="679"/>
        <item m="1" x="494"/>
        <item m="1" x="711"/>
        <item m="1" x="416"/>
        <item m="1" x="555"/>
        <item m="1" x="1002"/>
        <item m="1" x="438"/>
        <item m="1" x="448"/>
        <item m="1" x="1026"/>
        <item m="1" x="834"/>
        <item m="1" x="986"/>
        <item m="1" x="1001"/>
        <item m="1" x="554"/>
        <item m="1" x="1025"/>
        <item m="1" x="499"/>
        <item m="1" x="426"/>
        <item m="1" x="513"/>
        <item m="1" x="739"/>
        <item m="1" x="570"/>
        <item m="1" x="393"/>
        <item m="1" x="569"/>
        <item m="1" x="665"/>
        <item m="1" x="738"/>
        <item m="1" x="985"/>
        <item m="1" x="1049"/>
        <item m="1" x="1048"/>
        <item m="1" x="869"/>
        <item m="1" x="700"/>
        <item m="1" x="788"/>
        <item m="1" x="482"/>
        <item m="1" x="392"/>
        <item m="1" x="481"/>
        <item m="1" x="898"/>
        <item m="1" x="553"/>
        <item m="1" x="699"/>
        <item m="1" x="415"/>
        <item m="1" x="620"/>
        <item m="1" x="949"/>
        <item m="1" x="1024"/>
        <item m="1" x="619"/>
        <item m="1" x="805"/>
        <item m="1" x="618"/>
        <item m="1" x="913"/>
        <item m="1" x="664"/>
        <item m="1" x="649"/>
        <item m="1" x="585"/>
        <item m="1" x="897"/>
        <item m="1" x="710"/>
        <item m="1" x="512"/>
        <item m="1" x="787"/>
        <item m="1" x="737"/>
        <item m="1" x="648"/>
        <item m="1" x="525"/>
        <item m="1" x="437"/>
        <item m="1" x="709"/>
        <item m="1" x="932"/>
        <item m="1" x="984"/>
        <item m="1" x="425"/>
        <item m="1" x="1047"/>
        <item m="1" x="636"/>
        <item m="1" x="584"/>
        <item m="1" x="524"/>
        <item m="1" x="1000"/>
        <item m="1" x="868"/>
        <item m="1" x="493"/>
        <item m="1" x="678"/>
        <item m="1" x="617"/>
        <item m="1" x="912"/>
        <item m="1" x="818"/>
        <item m="1" x="786"/>
        <item m="1" x="1046"/>
        <item m="1" x="867"/>
        <item m="1" x="770"/>
        <item m="1" x="1045"/>
        <item m="1" x="414"/>
        <item m="1" x="447"/>
        <item m="1" x="708"/>
        <item m="1" x="595"/>
        <item m="1" x="769"/>
        <item m="1" x="492"/>
        <item m="1" x="866"/>
        <item m="1" x="911"/>
        <item m="1" x="1011"/>
        <item m="1" x="635"/>
        <item m="1" x="594"/>
        <item m="1" x="413"/>
        <item m="1" x="896"/>
        <item m="1" x="593"/>
        <item m="1" x="647"/>
        <item m="1" x="634"/>
        <item m="1" x="736"/>
        <item m="1" x="412"/>
        <item m="1" x="948"/>
        <item m="1" x="931"/>
        <item m="1" x="844"/>
        <item m="1" x="523"/>
        <item m="1" x="633"/>
        <item m="1" x="983"/>
        <item m="1" x="568"/>
        <item m="1" x="424"/>
        <item m="1" x="677"/>
        <item m="1" x="1044"/>
        <item m="1" x="865"/>
        <item m="1" x="864"/>
        <item m="1" x="735"/>
        <item m="1" x="663"/>
        <item m="1" x="910"/>
        <item m="1" x="930"/>
        <item m="1" x="833"/>
        <item m="1" x="616"/>
        <item m="1" x="734"/>
        <item m="1" x="446"/>
        <item m="1" x="662"/>
        <item m="1" x="929"/>
        <item m="1" x="928"/>
        <item m="1" x="646"/>
        <item m="1" x="459"/>
        <item m="1" x="768"/>
        <item m="1" x="632"/>
        <item m="1" x="999"/>
        <item m="1" x="1043"/>
        <item m="1" x="947"/>
        <item m="1" x="615"/>
        <item m="1" x="1023"/>
        <item m="1" x="927"/>
        <item m="1" x="982"/>
        <item m="1" x="946"/>
        <item m="1" x="645"/>
        <item m="1" x="726"/>
        <item m="1" x="445"/>
        <item m="1" x="522"/>
        <item m="1" x="926"/>
        <item m="1" x="925"/>
        <item m="1" x="444"/>
        <item m="1" x="924"/>
        <item m="1" x="832"/>
        <item m="1" x="521"/>
        <item m="1" x="491"/>
        <item m="1" x="436"/>
        <item m="1" x="480"/>
        <item m="1" x="817"/>
        <item m="1" x="923"/>
        <item m="1" x="592"/>
        <item m="1" x="644"/>
        <item m="1" x="909"/>
        <item m="1" x="498"/>
        <item m="1" x="614"/>
        <item m="1" x="945"/>
        <item m="1" x="391"/>
        <item m="1" x="548"/>
        <item m="1" x="785"/>
        <item m="1" x="981"/>
        <item m="1" x="816"/>
        <item m="1" x="980"/>
        <item m="1" x="661"/>
        <item m="1" x="908"/>
        <item m="1" x="591"/>
        <item m="1" x="631"/>
        <item m="1" x="552"/>
        <item m="1" x="660"/>
        <item m="1" x="733"/>
        <item m="1" x="767"/>
        <item m="1" x="766"/>
        <item m="1" x="1022"/>
        <item m="1" x="765"/>
        <item m="1" x="764"/>
        <item m="1" x="763"/>
        <item m="1" x="762"/>
        <item m="1" x="761"/>
        <item m="1" x="760"/>
        <item m="1" x="759"/>
        <item m="1" x="758"/>
        <item m="1" x="757"/>
        <item m="1" x="756"/>
        <item m="1" x="755"/>
        <item m="1" x="754"/>
        <item m="1" x="753"/>
        <item m="1" x="752"/>
        <item m="1" x="751"/>
        <item m="1" x="750"/>
        <item m="1" x="749"/>
        <item m="1" x="6"/>
        <item x="0"/>
        <item h="1" x="3"/>
        <item h="1" x="4"/>
        <item h="1" m="1" x="5"/>
        <item x="1"/>
        <item t="default"/>
      </items>
    </pivotField>
    <pivotField axis="axisPage" multipleItemSelectionAllowed="1" showAll="0">
      <items count="23">
        <item h="1" m="1" x="21"/>
        <item h="1" m="1" x="20"/>
        <item h="1" m="1" x="19"/>
        <item h="1" m="1" x="18"/>
        <item h="1" m="1" x="17"/>
        <item h="1" m="1" x="16"/>
        <item h="1" x="15"/>
        <item h="1" x="14"/>
        <item h="1" x="13"/>
        <item h="1" x="12"/>
        <item h="1" x="11"/>
        <item h="1" x="10"/>
        <item h="1" x="9"/>
        <item h="1" x="8"/>
        <item h="1" x="7"/>
        <item h="1" x="6"/>
        <item h="1" x="3"/>
        <item h="1" x="4"/>
        <item h="1" x="5"/>
        <item x="0"/>
        <item h="1" x="1"/>
        <item h="1" x="2"/>
        <item t="default"/>
      </items>
    </pivotField>
    <pivotField showAll="0"/>
    <pivotField showAll="0"/>
    <pivotField showAll="0"/>
    <pivotField showAll="0"/>
    <pivotField axis="axisRow" dataField="1" showAll="0">
      <items count="8">
        <item x="0"/>
        <item x="1"/>
        <item m="1" x="6"/>
        <item x="2"/>
        <item x="5"/>
        <item x="4"/>
        <item x="3"/>
        <item t="default"/>
      </items>
    </pivotField>
    <pivotField showAll="0"/>
    <pivotField showAll="0"/>
    <pivotField showAll="0"/>
    <pivotField showAll="0"/>
    <pivotField showAll="0"/>
    <pivotField showAll="0"/>
    <pivotField showAll="0"/>
  </pivotFields>
  <rowFields count="1">
    <field x="7"/>
  </rowFields>
  <rowItems count="3">
    <i>
      <x/>
    </i>
    <i>
      <x v="1"/>
    </i>
    <i t="grand">
      <x/>
    </i>
  </rowItems>
  <colItems count="1">
    <i/>
  </colItems>
  <pageFields count="2">
    <pageField fld="1" hier="-1"/>
    <pageField fld="2" hier="-1"/>
  </pageFields>
  <dataFields count="1">
    <dataField name="Cuenta de Pregunta 1" fld="7" subtotal="count" baseField="0" baseItem="0"/>
  </dataFields>
  <chartFormats count="7">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3"/>
          </reference>
        </references>
      </pivotArea>
    </chartFormat>
    <chartFormat chart="5" format="10">
      <pivotArea type="data" outline="0" fieldPosition="0">
        <references count="2">
          <reference field="4294967294" count="1" selected="0">
            <x v="0"/>
          </reference>
          <reference field="7" count="1" selected="0">
            <x v="4"/>
          </reference>
        </references>
      </pivotArea>
    </chartFormat>
    <chartFormat chart="5" format="11">
      <pivotArea type="data" outline="0" fieldPosition="0">
        <references count="2">
          <reference field="4294967294" count="1" selected="0">
            <x v="0"/>
          </reference>
          <reference field="7" count="1" selected="0">
            <x v="6"/>
          </reference>
        </references>
      </pivotArea>
    </chartFormat>
    <chartFormat chart="5" format="12">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manybot-files.s3.eu-central-1.amazonaws.com/530239/wa/2025/08/22/original_2b30a626f2d9875f1c0224b6507f0549.jpeg" TargetMode="External"/><Relationship Id="rId21" Type="http://schemas.openxmlformats.org/officeDocument/2006/relationships/hyperlink" Target="https://manybot-files.s3.eu-central-1.amazonaws.com/530239/wa/2025/08/19/original_72ed7348d81eab4c63a23451942a7b4a.jpeg" TargetMode="External"/><Relationship Id="rId42" Type="http://schemas.openxmlformats.org/officeDocument/2006/relationships/hyperlink" Target="https://manybot-files.s3.eu-central-1.amazonaws.com/530239/wa/2025/09/02/original_c8a7434057638fa603eac780c1d814a9.jpeg" TargetMode="External"/><Relationship Id="rId47" Type="http://schemas.openxmlformats.org/officeDocument/2006/relationships/hyperlink" Target="https://manybot-files.s3.eu-central-1.amazonaws.com/530239/wa/2025/09/03/original_b0aaca8b18659752b38a48fc948368f0.jpeg" TargetMode="External"/><Relationship Id="rId63" Type="http://schemas.openxmlformats.org/officeDocument/2006/relationships/hyperlink" Target="https://manybot-files.s3.eu-central-1.amazonaws.com/530239/wa/2025/09/13/original_adba9060323cfa547571d004cee76e2a.jpeg" TargetMode="External"/><Relationship Id="rId68" Type="http://schemas.openxmlformats.org/officeDocument/2006/relationships/hyperlink" Target="https://manybot-files.s3.eu-central-1.amazonaws.com/530239/wa/2025/09/19/original_678f46af4f4f2aae2f8a1c3fc3b31c4f.jpeg" TargetMode="External"/><Relationship Id="rId84" Type="http://schemas.openxmlformats.org/officeDocument/2006/relationships/hyperlink" Target="https://manybot-files.s3.eu-central-1.amazonaws.com/530239/wa/2025/09/27/original_d0c017e057796af25c22859d562617a7.jpeg" TargetMode="External"/><Relationship Id="rId89" Type="http://schemas.openxmlformats.org/officeDocument/2006/relationships/hyperlink" Target="https://manybot-files.s3.eu-central-1.amazonaws.com/530239/wa/2024/11/29/original_6aa6a3797f7c092ba01e0ca602354328.jpeg" TargetMode="External"/><Relationship Id="rId16" Type="http://schemas.openxmlformats.org/officeDocument/2006/relationships/hyperlink" Target="https://manybot-files.s3.eu-central-1.amazonaws.com/530239/wa/2025/08/15/original_b9fe40b30abbf6429cda92105f9fbfba.jpeg" TargetMode="External"/><Relationship Id="rId11" Type="http://schemas.openxmlformats.org/officeDocument/2006/relationships/hyperlink" Target="https://manybot-files.s3.eu-central-1.amazonaws.com/530239/wa/2025/08/12/original_21da2e12c5c1700cdbf07d9b2dd391d4.jpeg" TargetMode="External"/><Relationship Id="rId32" Type="http://schemas.openxmlformats.org/officeDocument/2006/relationships/hyperlink" Target="https://manybot-files.s3.eu-central-1.amazonaws.com/530239/wa/2025/08/26/original_4fa1325de68668b24b6d190147b3a3b8.jpeg" TargetMode="External"/><Relationship Id="rId37" Type="http://schemas.openxmlformats.org/officeDocument/2006/relationships/hyperlink" Target="https://manybot-files.s3.eu-central-1.amazonaws.com/530239/wa/2025/08/28/original_23c0af8ecc3d15493eb8712e6ee0db46.jpeg" TargetMode="External"/><Relationship Id="rId53" Type="http://schemas.openxmlformats.org/officeDocument/2006/relationships/hyperlink" Target="https://manybot-files.s3.eu-central-1.amazonaws.com/530239/wa/2025/09/05/original_e21c506da0845315b8884ab8c48e38f9.jpeg" TargetMode="External"/><Relationship Id="rId58" Type="http://schemas.openxmlformats.org/officeDocument/2006/relationships/hyperlink" Target="https://manybot-files.s3.eu-central-1.amazonaws.com/530239/wa/2025/09/11/original_d6206235e67ead60107c9a8b94896250.jpeg" TargetMode="External"/><Relationship Id="rId74" Type="http://schemas.openxmlformats.org/officeDocument/2006/relationships/hyperlink" Target="https://manybot-files.s3.eu-central-1.amazonaws.com/530239/wa/2025/09/29/original_4af759d7903a1ce6c5bd97d02bbcc9d1.jpeg" TargetMode="External"/><Relationship Id="rId79" Type="http://schemas.openxmlformats.org/officeDocument/2006/relationships/hyperlink" Target="https://storage.googleapis.com/tapthetable/assets/1989204/inbox/573194527981/1257058552861562.jpeg" TargetMode="External"/><Relationship Id="rId5" Type="http://schemas.openxmlformats.org/officeDocument/2006/relationships/hyperlink" Target="https://manybot-files.s3.eu-central-1.amazonaws.com/530239/wa/2025/08/06/original_957fb1991fc1cac2f79040068b98fd33.jpeg" TargetMode="External"/><Relationship Id="rId90" Type="http://schemas.openxmlformats.org/officeDocument/2006/relationships/hyperlink" Target="https://manybot-files.s3.eu-central-1.amazonaws.com/530239/wa/2024/11/29/original_6aa6a3797f7c092ba01e0ca602354328.jpeg" TargetMode="External"/><Relationship Id="rId95" Type="http://schemas.openxmlformats.org/officeDocument/2006/relationships/hyperlink" Target="https://manybot-files.s3.eu-central-1.amazonaws.com/530239/wa/2024/12/12/original_e8324121c3b938c83acef5a8eddb5111.jpeg" TargetMode="External"/><Relationship Id="rId22" Type="http://schemas.openxmlformats.org/officeDocument/2006/relationships/hyperlink" Target="https://manybot-files.s3.eu-central-1.amazonaws.com/530239/wa/2025/08/19/original_ac045630b3e8c022cb13773f8f7d62ec.jpeg" TargetMode="External"/><Relationship Id="rId27" Type="http://schemas.openxmlformats.org/officeDocument/2006/relationships/hyperlink" Target="https://manybot-files.s3.eu-central-1.amazonaws.com/530239/wa/2025/08/22/original_c36e8453781bda37c4344415623bc33d.jpeg" TargetMode="External"/><Relationship Id="rId43" Type="http://schemas.openxmlformats.org/officeDocument/2006/relationships/hyperlink" Target="https://manybot-files.s3.eu-central-1.amazonaws.com/530239/wa/2025/09/01/original_35cd43ef64c3022c1f90cd05d3486674.jpeg" TargetMode="External"/><Relationship Id="rId48" Type="http://schemas.openxmlformats.org/officeDocument/2006/relationships/hyperlink" Target="https://manybot-files.s3.eu-central-1.amazonaws.com/530239/wa/2025/09/04/original_6bd9f3a1fb4edcc380f6d9ded71fa1e0.jpeg" TargetMode="External"/><Relationship Id="rId64" Type="http://schemas.openxmlformats.org/officeDocument/2006/relationships/hyperlink" Target="https://manybot-files.s3.eu-central-1.amazonaws.com/530239/wa/2025/09/15/original_5aa7a659048e7fa09a788fb04fab2623.jpeg" TargetMode="External"/><Relationship Id="rId69" Type="http://schemas.openxmlformats.org/officeDocument/2006/relationships/hyperlink" Target="https://manybot-files.s3.eu-central-1.amazonaws.com/530239/wa/2025/09/19/original_c6ba0672b7e3568b796b1a65625d09f9.jpeg" TargetMode="External"/><Relationship Id="rId80" Type="http://schemas.openxmlformats.org/officeDocument/2006/relationships/hyperlink" Target="https://manybot-files.s3.eu-central-1.amazonaws.com/530239/wa/2025/09/26/original_61c7f0d2e2383d2186c97cdf94aa967a.jpeg" TargetMode="External"/><Relationship Id="rId85" Type="http://schemas.openxmlformats.org/officeDocument/2006/relationships/hyperlink" Target="https://manybot-files.s3.eu-central-1.amazonaws.com/530239/wa/2025/09/27/original_7789a8001de248b658a9190d7c4fded2.jpeg" TargetMode="External"/><Relationship Id="rId3" Type="http://schemas.openxmlformats.org/officeDocument/2006/relationships/hyperlink" Target="https://manybot-files.s3.eu-central-1.amazonaws.com/530239/wa/2025/08/04/original_0e9a88788f18f9fd1ad6d9c09ea4fbc1.jpeg" TargetMode="External"/><Relationship Id="rId12" Type="http://schemas.openxmlformats.org/officeDocument/2006/relationships/hyperlink" Target="https://manybot-files.s3.eu-central-1.amazonaws.com/530239/wa/2025/08/13/original_76c035b0b72aa539f401645a78d79897.jpeg" TargetMode="External"/><Relationship Id="rId17" Type="http://schemas.openxmlformats.org/officeDocument/2006/relationships/hyperlink" Target="https://manybot-files.s3.eu-central-1.amazonaws.com/530239/wa/2025/08/15/original_91cb04520b26351cccb6ada343a734b1.jpeg" TargetMode="External"/><Relationship Id="rId25" Type="http://schemas.openxmlformats.org/officeDocument/2006/relationships/hyperlink" Target="https://manybot-files.s3.eu-central-1.amazonaws.com/530239/wa/2025/08/20/original_0b927f7c6422cefff78a91ca2bbd310a.jpeg" TargetMode="External"/><Relationship Id="rId33" Type="http://schemas.openxmlformats.org/officeDocument/2006/relationships/hyperlink" Target="https://manybot-files.s3.eu-central-1.amazonaws.com/530239/wa/2025/08/27/original_8147bb9aec858241555325fecc1d7949.jpeg" TargetMode="External"/><Relationship Id="rId38" Type="http://schemas.openxmlformats.org/officeDocument/2006/relationships/hyperlink" Target="https://manybot-files.s3.eu-central-1.amazonaws.com/530239/wa/2025/08/28/original_62f3d99c925713a768cc728438809050.jpeg" TargetMode="External"/><Relationship Id="rId46" Type="http://schemas.openxmlformats.org/officeDocument/2006/relationships/hyperlink" Target="https://manybot-files.s3.eu-central-1.amazonaws.com/530239/wa/2025/09/02/original_034ba4090d3c37254cdc8a05b561e44c.jpeg" TargetMode="External"/><Relationship Id="rId59" Type="http://schemas.openxmlformats.org/officeDocument/2006/relationships/hyperlink" Target="https://manybot-files.s3.eu-central-1.amazonaws.com/530239/wa/2025/09/11/original_0b9531941d8583473923bef001526513.jpeg" TargetMode="External"/><Relationship Id="rId67" Type="http://schemas.openxmlformats.org/officeDocument/2006/relationships/hyperlink" Target="https://manybot-files.s3.eu-central-1.amazonaws.com/530239/wa/2025/09/18/original_3b014f90d935bc7e17f9d0cd9e5ea196.jpeg" TargetMode="External"/><Relationship Id="rId20" Type="http://schemas.openxmlformats.org/officeDocument/2006/relationships/hyperlink" Target="https://manybot-files.s3.eu-central-1.amazonaws.com/530239/wa/2025/08/19/original_3b24c30a1159a7129ec4169f105a8a12.jpeg" TargetMode="External"/><Relationship Id="rId41" Type="http://schemas.openxmlformats.org/officeDocument/2006/relationships/hyperlink" Target="https://manybot-files.s3.eu-central-1.amazonaws.com/530239/wa/2025/08/30/original_39277f1749d5e78fc2f685f50d81e331.jpeg" TargetMode="External"/><Relationship Id="rId54" Type="http://schemas.openxmlformats.org/officeDocument/2006/relationships/hyperlink" Target="https://manybot-files.s3.eu-central-1.amazonaws.com/530239/wa/2025/09/06/original_d9bf8f9dd992684271f0295019d2ebd1.jpeg" TargetMode="External"/><Relationship Id="rId62" Type="http://schemas.openxmlformats.org/officeDocument/2006/relationships/hyperlink" Target="https://manybot-files.s3.eu-central-1.amazonaws.com/530239/wa/2025/09/10/original_6f5fd64a9eafef2368de57e88da118c0.jpeg" TargetMode="External"/><Relationship Id="rId70" Type="http://schemas.openxmlformats.org/officeDocument/2006/relationships/hyperlink" Target="https://manybot-files.s3.eu-central-1.amazonaws.com/530239/wa/2025/09/20/original_69c89440a0e3ef9cd09aa21bda25da6d.jpeg" TargetMode="External"/><Relationship Id="rId75" Type="http://schemas.openxmlformats.org/officeDocument/2006/relationships/hyperlink" Target="https://manybot-files.s3.eu-central-1.amazonaws.com/530239/wa/2025/09/24/original_f0a0a68631809f8fa030a981c61a4497.jpeg" TargetMode="External"/><Relationship Id="rId83" Type="http://schemas.openxmlformats.org/officeDocument/2006/relationships/hyperlink" Target="https://storage.googleapis.com/tapthetable/assets/1989204/inbox/573114418400/723430187418006.jpeg" TargetMode="External"/><Relationship Id="rId88" Type="http://schemas.openxmlformats.org/officeDocument/2006/relationships/hyperlink" Target="https://manybot-files.s3.eu-central-1.amazonaws.com/530239/wa/2025/09/29/original_788bb7fbebce3415f870a2c814c3d168.jpeg" TargetMode="External"/><Relationship Id="rId91" Type="http://schemas.openxmlformats.org/officeDocument/2006/relationships/hyperlink" Target="https://manybot-files.s3.eu-central-1.amazonaws.com/530239/wa/2024/12/12/original_e8324121c3b938c83acef5a8eddb5111.jpeg" TargetMode="External"/><Relationship Id="rId96" Type="http://schemas.openxmlformats.org/officeDocument/2006/relationships/hyperlink" Target="https://manybot-files.s3.eu-central-1.amazonaws.com/530239/wa/2024/08/19/original_97ca299d095ae76290530344ba2db639.jpeg" TargetMode="External"/><Relationship Id="rId1" Type="http://schemas.openxmlformats.org/officeDocument/2006/relationships/hyperlink" Target="https://manybot-files.s3.eu-central-1.amazonaws.com/530239/wa/2025/08/01/original_63315bbe808ee42b31f89af8a7a9b056.jpeg" TargetMode="External"/><Relationship Id="rId6" Type="http://schemas.openxmlformats.org/officeDocument/2006/relationships/hyperlink" Target="https://manybot-files.s3.eu-central-1.amazonaws.com/530239/wa/2025/08/21/original_0228bcfbd7310573f358a9770bfeb9b1.jpeg" TargetMode="External"/><Relationship Id="rId15" Type="http://schemas.openxmlformats.org/officeDocument/2006/relationships/hyperlink" Target="https://manybot-files.s3.eu-central-1.amazonaws.com/530239/wa/2025/08/15/original_82288ce2565d6d50b2fbda9852e6e1aa.jpeg" TargetMode="External"/><Relationship Id="rId23" Type="http://schemas.openxmlformats.org/officeDocument/2006/relationships/hyperlink" Target="https://manybot-files.s3.eu-central-1.amazonaws.com/530239/wa/2025/08/21/original_b06fa379c3533a037e4ed2d39ad612fb.jpeg" TargetMode="External"/><Relationship Id="rId28" Type="http://schemas.openxmlformats.org/officeDocument/2006/relationships/hyperlink" Target="https://manybot-files.s3.eu-central-1.amazonaws.com/530239/wa/2025/08/22/original_9ed4c6a8ec8c3c46ff1f6b4a1af8ff12.jpeg" TargetMode="External"/><Relationship Id="rId36" Type="http://schemas.openxmlformats.org/officeDocument/2006/relationships/hyperlink" Target="https://manybot-files.s3.eu-central-1.amazonaws.com/530239/wa/2025/08/28/original_2ed305a5405a01d90792a95a7a95fa3d.jpeg" TargetMode="External"/><Relationship Id="rId49" Type="http://schemas.openxmlformats.org/officeDocument/2006/relationships/hyperlink" Target="https://manybot-files.s3.eu-central-1.amazonaws.com/530239/wa/2025/09/04/original_5675941baee4f5e9e0b35f7bf05f85e3.jpeg" TargetMode="External"/><Relationship Id="rId57" Type="http://schemas.openxmlformats.org/officeDocument/2006/relationships/hyperlink" Target="https://manybot-files.s3.eu-central-1.amazonaws.com/530239/wa/2025/09/10/original_bb7e47deb6a2fc1a5fb57899bd4d1be1.jpeg" TargetMode="External"/><Relationship Id="rId10" Type="http://schemas.openxmlformats.org/officeDocument/2006/relationships/hyperlink" Target="https://manybot-files.s3.eu-central-1.amazonaws.com/530239/wa/2025/08/11/original_62364709a9012454ed81a5b9ad7e2c1c.jpeg" TargetMode="External"/><Relationship Id="rId31" Type="http://schemas.openxmlformats.org/officeDocument/2006/relationships/hyperlink" Target="https://manybot-files.s3.eu-central-1.amazonaws.com/530239/wa/2025/08/26/original_b823165fac396b6f7ac06f371405aab9.jpeg" TargetMode="External"/><Relationship Id="rId44" Type="http://schemas.openxmlformats.org/officeDocument/2006/relationships/hyperlink" Target="https://manybot-files.s3.eu-central-1.amazonaws.com/530239/wa/2025/09/02/original_f10625d110d7f0a9383a8fc1badc8328.jpeg" TargetMode="External"/><Relationship Id="rId52" Type="http://schemas.openxmlformats.org/officeDocument/2006/relationships/hyperlink" Target="https://manybot-files.s3.eu-central-1.amazonaws.com/530239/wa/2025/09/05/original_f58b7eeaad910d16e3571799f3318bc8.jpeg" TargetMode="External"/><Relationship Id="rId60" Type="http://schemas.openxmlformats.org/officeDocument/2006/relationships/hyperlink" Target="https://manybot-files.s3.eu-central-1.amazonaws.com/530239/wa/2025/09/10/original_6f5fd64a9eafef2368de57e88da118c0.jpeg" TargetMode="External"/><Relationship Id="rId65" Type="http://schemas.openxmlformats.org/officeDocument/2006/relationships/hyperlink" Target="https://manybot-files.s3.eu-central-1.amazonaws.com/530239/wa/2025/09/15/original_77dcfb5351686f94ee327467a048ab44.jpeg" TargetMode="External"/><Relationship Id="rId73" Type="http://schemas.openxmlformats.org/officeDocument/2006/relationships/hyperlink" Target="https://manybot-files.s3.eu-central-1.amazonaws.com/530239/wa/2025/09/24/original_d0fbaf8eafb49137163c720ec5d0cd73.jpeg" TargetMode="External"/><Relationship Id="rId78" Type="http://schemas.openxmlformats.org/officeDocument/2006/relationships/hyperlink" Target="https://manybot-files.s3.eu-central-1.amazonaws.com/530239/wa/2025/09/26/original_0b5c0033d25be505e53e997d9a2a5691.jpeg" TargetMode="External"/><Relationship Id="rId81" Type="http://schemas.openxmlformats.org/officeDocument/2006/relationships/hyperlink" Target="https://manybot-files.s3.eu-central-1.amazonaws.com/530239/wa/2025/09/26/original_8ffdf3efed98bd2d1d823a2b69a8bcb8.jpeg" TargetMode="External"/><Relationship Id="rId86" Type="http://schemas.openxmlformats.org/officeDocument/2006/relationships/hyperlink" Target="https://manybot-files.s3.eu-central-1.amazonaws.com/530239/wa/2025/09/27/original_e88a961df489d8e44d3886553e27702e.jpeg" TargetMode="External"/><Relationship Id="rId94" Type="http://schemas.openxmlformats.org/officeDocument/2006/relationships/hyperlink" Target="https://manybot-files.s3.eu-central-1.amazonaws.com/530239/wa/2024/11/29/original_6aa6a3797f7c092ba01e0ca602354328.jpeg" TargetMode="External"/><Relationship Id="rId4" Type="http://schemas.openxmlformats.org/officeDocument/2006/relationships/hyperlink" Target="https://manybot-files.s3.eu-central-1.amazonaws.com/530239/wa/2025/08/05/original_48d6629b8922716ceb4662d527a6e227.jpeg" TargetMode="External"/><Relationship Id="rId9" Type="http://schemas.openxmlformats.org/officeDocument/2006/relationships/hyperlink" Target="https://manybot-files.s3.eu-central-1.amazonaws.com/530239/wa/2025/08/11/original_12223ea875cb1ac1b2e28735be397a20.jpeg" TargetMode="External"/><Relationship Id="rId13" Type="http://schemas.openxmlformats.org/officeDocument/2006/relationships/hyperlink" Target="https://manybot-files.s3.eu-central-1.amazonaws.com/530239/wa/2025/08/14/original_6017c5c2b4813034f7bf78de942e7816.jpeg" TargetMode="External"/><Relationship Id="rId18" Type="http://schemas.openxmlformats.org/officeDocument/2006/relationships/hyperlink" Target="https://manybot-files.s3.eu-central-1.amazonaws.com/530239/wa/2025/08/15/original_eecab09d6e49e572bda8e347e48277de.jpeg" TargetMode="External"/><Relationship Id="rId39" Type="http://schemas.openxmlformats.org/officeDocument/2006/relationships/hyperlink" Target="https://manybot-files.s3.eu-central-1.amazonaws.com/530239/wa/2025/08/30/original_6d5000956bf622b48311040dc46f1a4e.jpeg" TargetMode="External"/><Relationship Id="rId34" Type="http://schemas.openxmlformats.org/officeDocument/2006/relationships/hyperlink" Target="https://manybot-files.s3.eu-central-1.amazonaws.com/530239/wa/2025/08/27/original_04e785211da1f389284ed50663ddebdb.jpeg" TargetMode="External"/><Relationship Id="rId50" Type="http://schemas.openxmlformats.org/officeDocument/2006/relationships/hyperlink" Target="https://manybot-files.s3.eu-central-1.amazonaws.com/530239/wa/2025/09/04/original_9a7f8b4743cbbc107cd1f0bcba9fd6b2.jpeg" TargetMode="External"/><Relationship Id="rId55" Type="http://schemas.openxmlformats.org/officeDocument/2006/relationships/hyperlink" Target="https://manybot-files.s3.eu-central-1.amazonaws.com/530239/wa/2025/09/08/original_4647b1ef32e0b61d8761bc63323c89f6.jpeg" TargetMode="External"/><Relationship Id="rId76" Type="http://schemas.openxmlformats.org/officeDocument/2006/relationships/hyperlink" Target="https://manybot-files.s3.eu-central-1.amazonaws.com/530239/wa/2025/09/25/original_af033eedcde51b989ae88cba685e58d5.jpeg" TargetMode="External"/><Relationship Id="rId97" Type="http://schemas.openxmlformats.org/officeDocument/2006/relationships/hyperlink" Target="https://manybot-files.s3.eu-central-1.amazonaws.com/530239/wa/2024/11/23/original_c2a8766aa44e18aefab575ac0639f4ff.jpeg" TargetMode="External"/><Relationship Id="rId7" Type="http://schemas.openxmlformats.org/officeDocument/2006/relationships/hyperlink" Target="https://manybot-files.s3.eu-central-1.amazonaws.com/530239/wa/2025/08/08/original_f57201f974c61afe89a65f8024fedf89.jpeg" TargetMode="External"/><Relationship Id="rId71" Type="http://schemas.openxmlformats.org/officeDocument/2006/relationships/hyperlink" Target="https://manybot-files.s3.eu-central-1.amazonaws.com/530239/wa/2025/09/22/original_2c048b9fc04bf06cb7ba9708d083573a.jpeg" TargetMode="External"/><Relationship Id="rId92" Type="http://schemas.openxmlformats.org/officeDocument/2006/relationships/hyperlink" Target="https://manybot-files.s3.eu-central-1.amazonaws.com/530239/wa/2024/08/19/original_97ca299d095ae76290530344ba2db639.jpeg" TargetMode="External"/><Relationship Id="rId2" Type="http://schemas.openxmlformats.org/officeDocument/2006/relationships/hyperlink" Target="https://manybot-files.s3.eu-central-1.amazonaws.com/530239/wa/2025/08/01/original_ae5f50e84534c06189e2dab41592def7.jpeg" TargetMode="External"/><Relationship Id="rId29" Type="http://schemas.openxmlformats.org/officeDocument/2006/relationships/hyperlink" Target="https://manybot-files.s3.eu-central-1.amazonaws.com/530239/wa/2025/08/23/original_70a4b40a83c28536c937c11d4a967e69.jpeg" TargetMode="External"/><Relationship Id="rId24" Type="http://schemas.openxmlformats.org/officeDocument/2006/relationships/hyperlink" Target="https://manybot-files.s3.eu-central-1.amazonaws.com/530239/wa/2025/08/20/original_b3c8c19632509d3e1b57c3733babb82c.jpeg" TargetMode="External"/><Relationship Id="rId40" Type="http://schemas.openxmlformats.org/officeDocument/2006/relationships/hyperlink" Target="https://manybot-files.s3.eu-central-1.amazonaws.com/530239/wa/2025/08/30/original_b307fff07bd8f65eec725d9aaa0c83e0.jpeg" TargetMode="External"/><Relationship Id="rId45" Type="http://schemas.openxmlformats.org/officeDocument/2006/relationships/hyperlink" Target="https://manybot-files.s3.eu-central-1.amazonaws.com/530239/wa/2025/09/03/original_80c0fdbf1e05a7da490a72a3256e2c83.jpeg" TargetMode="External"/><Relationship Id="rId66" Type="http://schemas.openxmlformats.org/officeDocument/2006/relationships/hyperlink" Target="https://manybot-files.s3.eu-central-1.amazonaws.com/530239/wa/2025/09/17/original_413ce5bcac7c041f48914b2f60115515.jpeg" TargetMode="External"/><Relationship Id="rId87" Type="http://schemas.openxmlformats.org/officeDocument/2006/relationships/hyperlink" Target="https://manybot-files.s3.eu-central-1.amazonaws.com/530239/wa/2025/09/27/original_6434ab46853f823285b285ecbd4e35a9.jpeg" TargetMode="External"/><Relationship Id="rId61" Type="http://schemas.openxmlformats.org/officeDocument/2006/relationships/hyperlink" Target="https://manybot-files.s3.eu-central-1.amazonaws.com/530239/wa/2025/09/10/original_2a3162e35cb1ffe3275d3a9483ff4d8c.jpeg" TargetMode="External"/><Relationship Id="rId82" Type="http://schemas.openxmlformats.org/officeDocument/2006/relationships/hyperlink" Target="https://manybot-files.s3.eu-central-1.amazonaws.com/530239/wa/2025/09/26/original_b6a54a23e3901e3033a6448c9e9edd40.jpeg" TargetMode="External"/><Relationship Id="rId19" Type="http://schemas.openxmlformats.org/officeDocument/2006/relationships/hyperlink" Target="https://manybot-files.s3.eu-central-1.amazonaws.com/530239/wa/2025/08/16/original_bbd30b54888c2ccfa3b2b8e17ac7cc15.jpeg" TargetMode="External"/><Relationship Id="rId14" Type="http://schemas.openxmlformats.org/officeDocument/2006/relationships/hyperlink" Target="https://manybot-files.s3.eu-central-1.amazonaws.com/530239/wa/2025/08/15/original_a7028560280b9f09924a90defb9de5b9.jpeg" TargetMode="External"/><Relationship Id="rId30" Type="http://schemas.openxmlformats.org/officeDocument/2006/relationships/hyperlink" Target="https://manybot-files.s3.eu-central-1.amazonaws.com/530239/wa/2025/08/26/original_40232c202f6b223c2861b6866b5f091a.jpeg" TargetMode="External"/><Relationship Id="rId35" Type="http://schemas.openxmlformats.org/officeDocument/2006/relationships/hyperlink" Target="https://manybot-files.s3.eu-central-1.amazonaws.com/530239/wa/2025/08/28/original_c27244204cbef47abae0924f25316e9f.jpeg" TargetMode="External"/><Relationship Id="rId56" Type="http://schemas.openxmlformats.org/officeDocument/2006/relationships/hyperlink" Target="https://manybot-files.s3.eu-central-1.amazonaws.com/530239/wa/2025/09/10/original_14fade1330aea66c520d377315894f8d.jpeg" TargetMode="External"/><Relationship Id="rId77" Type="http://schemas.openxmlformats.org/officeDocument/2006/relationships/hyperlink" Target="https://manybot-files.s3.eu-central-1.amazonaws.com/530239/wa/2025/09/26/original_a1ad74c1cf430a5268e3cf611c650359.jpeg" TargetMode="External"/><Relationship Id="rId8" Type="http://schemas.openxmlformats.org/officeDocument/2006/relationships/hyperlink" Target="https://manybot-files.s3.eu-central-1.amazonaws.com/530239/wa/2025/08/11/original_ddd1c943b82af87173ba935c473eeedd.jpeg" TargetMode="External"/><Relationship Id="rId51" Type="http://schemas.openxmlformats.org/officeDocument/2006/relationships/hyperlink" Target="https://manybot-files.s3.eu-central-1.amazonaws.com/530239/wa/2025/09/04/original_e5d71f4f2e13ccff0cfad227c71cce90.jpeg" TargetMode="External"/><Relationship Id="rId72" Type="http://schemas.openxmlformats.org/officeDocument/2006/relationships/hyperlink" Target="https://manybot-files.s3.eu-central-1.amazonaws.com/530239/wa/2025/09/23/original_9004c7c439b534bf4383a0fabaa5b5a6.jpeg" TargetMode="External"/><Relationship Id="rId93" Type="http://schemas.openxmlformats.org/officeDocument/2006/relationships/hyperlink" Target="https://manybot-files.s3.eu-central-1.amazonaws.com/530239/wa/2024/11/23/original_c2a8766aa44e18aefab575ac0639f4ff.jpe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144"/>
  <sheetViews>
    <sheetView tabSelected="1" zoomScale="115" zoomScaleNormal="115" workbookViewId="0">
      <selection activeCell="J135" sqref="J135"/>
    </sheetView>
  </sheetViews>
  <sheetFormatPr baseColWidth="10" defaultColWidth="12.5703125" defaultRowHeight="15.75" customHeight="1" x14ac:dyDescent="0.2"/>
  <cols>
    <col min="1" max="1" width="9.85546875" customWidth="1"/>
    <col min="2" max="2" width="7.140625" customWidth="1"/>
    <col min="3" max="3" width="6.42578125" customWidth="1"/>
    <col min="4" max="4" width="20.7109375" customWidth="1"/>
    <col min="5" max="5" width="14.5703125" customWidth="1"/>
    <col min="6" max="6" width="13" customWidth="1"/>
    <col min="7" max="7" width="8.85546875" customWidth="1"/>
    <col min="8" max="8" width="11.7109375" customWidth="1"/>
    <col min="9" max="9" width="13.5703125" customWidth="1"/>
    <col min="10" max="10" width="66.42578125" customWidth="1"/>
    <col min="11" max="11" width="27.28515625" customWidth="1"/>
    <col min="12" max="12" width="12.5703125" customWidth="1"/>
    <col min="13" max="13" width="23" customWidth="1"/>
    <col min="14" max="14" width="18.7109375" customWidth="1"/>
    <col min="15" max="15" width="18.140625" customWidth="1"/>
  </cols>
  <sheetData>
    <row r="1" spans="1:15" ht="25.5" x14ac:dyDescent="0.2">
      <c r="A1" s="1" t="s">
        <v>2562</v>
      </c>
      <c r="B1" s="1" t="s">
        <v>2566</v>
      </c>
      <c r="C1" s="1" t="s">
        <v>2779</v>
      </c>
      <c r="D1" s="2" t="s">
        <v>0</v>
      </c>
      <c r="E1" s="2" t="s">
        <v>1</v>
      </c>
      <c r="F1" s="2" t="s">
        <v>2</v>
      </c>
      <c r="G1" s="2" t="s">
        <v>3</v>
      </c>
      <c r="H1" s="1" t="s">
        <v>4</v>
      </c>
      <c r="I1" s="1" t="s">
        <v>5</v>
      </c>
      <c r="J1" s="2" t="s">
        <v>6</v>
      </c>
      <c r="K1" s="2" t="s">
        <v>7</v>
      </c>
      <c r="L1" s="1" t="s">
        <v>2949</v>
      </c>
      <c r="M1" s="2" t="s">
        <v>8</v>
      </c>
      <c r="N1" s="2" t="s">
        <v>9</v>
      </c>
      <c r="O1" s="2" t="s">
        <v>10</v>
      </c>
    </row>
    <row r="2" spans="1:15" ht="12.75" x14ac:dyDescent="0.2">
      <c r="A2" s="21">
        <v>46057</v>
      </c>
      <c r="B2" s="11">
        <f>+MONTH(A2)</f>
        <v>2</v>
      </c>
      <c r="C2" s="11">
        <f>+WEEKNUM(A2)</f>
        <v>6</v>
      </c>
      <c r="D2" s="3" t="s">
        <v>2050</v>
      </c>
      <c r="E2" s="3" t="s">
        <v>4234</v>
      </c>
      <c r="F2" s="3">
        <v>573002308392</v>
      </c>
      <c r="G2" s="3">
        <v>78670</v>
      </c>
      <c r="H2" s="34" t="s">
        <v>12</v>
      </c>
      <c r="I2" s="34" t="s">
        <v>13</v>
      </c>
      <c r="J2" s="3" t="s">
        <v>4233</v>
      </c>
      <c r="K2" s="3" t="s">
        <v>23</v>
      </c>
      <c r="L2" s="3"/>
      <c r="M2" s="3" t="s">
        <v>4232</v>
      </c>
      <c r="N2" s="17"/>
      <c r="O2" s="17"/>
    </row>
    <row r="3" spans="1:15" ht="38.25" x14ac:dyDescent="0.2">
      <c r="A3" s="21">
        <v>46057</v>
      </c>
      <c r="B3" s="11">
        <f>+MONTH(A3)</f>
        <v>2</v>
      </c>
      <c r="C3" s="11">
        <f>+WEEKNUM(A3)</f>
        <v>6</v>
      </c>
      <c r="D3" s="3" t="s">
        <v>4231</v>
      </c>
      <c r="E3" s="3" t="s">
        <v>4230</v>
      </c>
      <c r="F3" s="3">
        <v>573105583071</v>
      </c>
      <c r="G3" s="3">
        <v>78424</v>
      </c>
      <c r="H3" s="34" t="s">
        <v>12</v>
      </c>
      <c r="I3" s="34" t="s">
        <v>13</v>
      </c>
      <c r="J3" s="3" t="s">
        <v>4229</v>
      </c>
      <c r="K3" s="3" t="s">
        <v>23</v>
      </c>
      <c r="L3" s="3"/>
      <c r="M3" s="3" t="s">
        <v>4228</v>
      </c>
      <c r="N3" s="17"/>
      <c r="O3" s="17"/>
    </row>
    <row r="4" spans="1:15" ht="25.5" x14ac:dyDescent="0.2">
      <c r="A4" s="21">
        <v>46057</v>
      </c>
      <c r="B4" s="11">
        <f>+MONTH(A4)</f>
        <v>2</v>
      </c>
      <c r="C4" s="11">
        <f>+WEEKNUM(A4)</f>
        <v>6</v>
      </c>
      <c r="D4" s="3" t="s">
        <v>2337</v>
      </c>
      <c r="E4" s="3" t="s">
        <v>4227</v>
      </c>
      <c r="F4" s="3">
        <v>573213733338</v>
      </c>
      <c r="G4" s="3">
        <v>78667</v>
      </c>
      <c r="H4" s="34" t="s">
        <v>22</v>
      </c>
      <c r="I4" s="34" t="s">
        <v>13</v>
      </c>
      <c r="J4" s="3" t="s">
        <v>4226</v>
      </c>
      <c r="K4" s="3"/>
      <c r="L4" s="3"/>
      <c r="M4" s="3" t="s">
        <v>2782</v>
      </c>
      <c r="N4" s="17"/>
      <c r="O4" s="17"/>
    </row>
    <row r="5" spans="1:15" ht="12.75" x14ac:dyDescent="0.2">
      <c r="A5" s="21">
        <v>46057</v>
      </c>
      <c r="B5" s="11">
        <f>+MONTH(A5)</f>
        <v>2</v>
      </c>
      <c r="C5" s="11">
        <f>+WEEKNUM(A5)</f>
        <v>6</v>
      </c>
      <c r="D5" s="3" t="s">
        <v>2275</v>
      </c>
      <c r="E5" s="3" t="s">
        <v>4225</v>
      </c>
      <c r="F5" s="3">
        <v>573214518618</v>
      </c>
      <c r="G5" s="3">
        <v>78099</v>
      </c>
      <c r="H5" s="34" t="s">
        <v>12</v>
      </c>
      <c r="I5" s="34" t="s">
        <v>13</v>
      </c>
      <c r="J5" s="3" t="s">
        <v>4224</v>
      </c>
      <c r="K5" s="3" t="s">
        <v>23</v>
      </c>
      <c r="L5" s="3"/>
      <c r="M5" s="3" t="s">
        <v>3169</v>
      </c>
      <c r="N5" s="17"/>
      <c r="O5" s="17"/>
    </row>
    <row r="6" spans="1:15" ht="25.5" x14ac:dyDescent="0.2">
      <c r="A6" s="21">
        <v>46057</v>
      </c>
      <c r="B6" s="11">
        <f>+MONTH(A6)</f>
        <v>2</v>
      </c>
      <c r="C6" s="11">
        <f>+WEEKNUM(A6)</f>
        <v>6</v>
      </c>
      <c r="D6" s="3" t="s">
        <v>4223</v>
      </c>
      <c r="E6" s="3" t="s">
        <v>4222</v>
      </c>
      <c r="F6" s="3">
        <v>573244760565</v>
      </c>
      <c r="G6" s="3">
        <v>78001</v>
      </c>
      <c r="H6" s="34" t="s">
        <v>12</v>
      </c>
      <c r="I6" s="34" t="s">
        <v>13</v>
      </c>
      <c r="J6" s="3" t="s">
        <v>4221</v>
      </c>
      <c r="K6" s="3" t="s">
        <v>23</v>
      </c>
      <c r="L6" s="3"/>
      <c r="M6" s="3" t="s">
        <v>4220</v>
      </c>
      <c r="N6" s="17"/>
      <c r="O6" s="17"/>
    </row>
    <row r="7" spans="1:15" ht="12.75" x14ac:dyDescent="0.2">
      <c r="A7" s="21">
        <v>46057</v>
      </c>
      <c r="B7" s="11">
        <f>+MONTH(A7)</f>
        <v>2</v>
      </c>
      <c r="C7" s="11">
        <f>+WEEKNUM(A7)</f>
        <v>6</v>
      </c>
      <c r="D7" s="3" t="s">
        <v>1496</v>
      </c>
      <c r="E7" s="3" t="s">
        <v>4219</v>
      </c>
      <c r="F7" s="3">
        <v>573016559943</v>
      </c>
      <c r="G7" s="3">
        <v>78565</v>
      </c>
      <c r="H7" s="34" t="s">
        <v>12</v>
      </c>
      <c r="I7" s="34" t="s">
        <v>13</v>
      </c>
      <c r="J7" s="3" t="s">
        <v>120</v>
      </c>
      <c r="K7" s="3" t="s">
        <v>23</v>
      </c>
      <c r="L7" s="3"/>
      <c r="M7" s="3" t="s">
        <v>2780</v>
      </c>
      <c r="N7" s="17"/>
      <c r="O7" s="17"/>
    </row>
    <row r="8" spans="1:15" ht="51" x14ac:dyDescent="0.2">
      <c r="A8" s="21">
        <v>46057</v>
      </c>
      <c r="B8" s="11">
        <f>+MONTH(A8)</f>
        <v>2</v>
      </c>
      <c r="C8" s="11">
        <f>+WEEKNUM(A8)</f>
        <v>6</v>
      </c>
      <c r="D8" s="3" t="s">
        <v>4218</v>
      </c>
      <c r="E8" s="3" t="s">
        <v>4217</v>
      </c>
      <c r="F8" s="3">
        <v>573214588554</v>
      </c>
      <c r="G8" s="3">
        <v>78246</v>
      </c>
      <c r="H8" s="34" t="s">
        <v>12</v>
      </c>
      <c r="I8" s="34" t="s">
        <v>13</v>
      </c>
      <c r="J8" s="3" t="s">
        <v>4216</v>
      </c>
      <c r="K8" s="3" t="s">
        <v>23</v>
      </c>
      <c r="L8" s="3"/>
      <c r="M8" s="3" t="s">
        <v>2782</v>
      </c>
      <c r="N8" s="17"/>
      <c r="O8" s="17"/>
    </row>
    <row r="9" spans="1:15" ht="12.75" x14ac:dyDescent="0.2">
      <c r="A9" s="21">
        <v>46057</v>
      </c>
      <c r="B9" s="11">
        <f>+MONTH(A9)</f>
        <v>2</v>
      </c>
      <c r="C9" s="11">
        <f>+WEEKNUM(A9)</f>
        <v>6</v>
      </c>
      <c r="D9" s="3" t="s">
        <v>4215</v>
      </c>
      <c r="E9" s="3" t="s">
        <v>4214</v>
      </c>
      <c r="F9" s="3">
        <v>573135900380</v>
      </c>
      <c r="G9" s="3">
        <v>78298</v>
      </c>
      <c r="H9" s="34" t="s">
        <v>12</v>
      </c>
      <c r="I9" s="34" t="s">
        <v>13</v>
      </c>
      <c r="J9" s="3" t="s">
        <v>4213</v>
      </c>
      <c r="K9" s="3" t="s">
        <v>23</v>
      </c>
      <c r="L9" s="3"/>
      <c r="M9" s="3" t="s">
        <v>257</v>
      </c>
      <c r="N9" s="17"/>
      <c r="O9" s="17"/>
    </row>
    <row r="10" spans="1:15" ht="25.5" x14ac:dyDescent="0.2">
      <c r="A10" s="21">
        <v>46057</v>
      </c>
      <c r="B10" s="11">
        <f>+MONTH(A10)</f>
        <v>2</v>
      </c>
      <c r="C10" s="11">
        <f>+WEEKNUM(A10)</f>
        <v>6</v>
      </c>
      <c r="D10" s="3" t="s">
        <v>4212</v>
      </c>
      <c r="E10" s="3" t="s">
        <v>4211</v>
      </c>
      <c r="F10" s="3">
        <v>573232742435</v>
      </c>
      <c r="G10" s="3">
        <v>77636</v>
      </c>
      <c r="H10" s="34" t="s">
        <v>12</v>
      </c>
      <c r="I10" s="34" t="s">
        <v>13</v>
      </c>
      <c r="J10" s="3" t="s">
        <v>4210</v>
      </c>
      <c r="K10" s="3" t="s">
        <v>23</v>
      </c>
      <c r="L10" s="3"/>
      <c r="M10" s="3" t="s">
        <v>3286</v>
      </c>
      <c r="N10" s="17"/>
      <c r="O10" s="17"/>
    </row>
    <row r="11" spans="1:15" ht="12.75" x14ac:dyDescent="0.2">
      <c r="A11" s="21">
        <v>46057</v>
      </c>
      <c r="B11" s="11">
        <f>+MONTH(A11)</f>
        <v>2</v>
      </c>
      <c r="C11" s="11">
        <f>+WEEKNUM(A11)</f>
        <v>6</v>
      </c>
      <c r="D11" s="3" t="s">
        <v>4209</v>
      </c>
      <c r="E11" s="3" t="s">
        <v>4208</v>
      </c>
      <c r="F11" s="3">
        <v>573102619373</v>
      </c>
      <c r="G11" s="3">
        <v>77899</v>
      </c>
      <c r="H11" s="34" t="s">
        <v>12</v>
      </c>
      <c r="I11" s="34" t="s">
        <v>13</v>
      </c>
      <c r="J11" s="3" t="s">
        <v>228</v>
      </c>
      <c r="K11" s="3" t="s">
        <v>23</v>
      </c>
      <c r="L11" s="3"/>
      <c r="M11" s="3" t="s">
        <v>257</v>
      </c>
      <c r="N11" s="17"/>
      <c r="O11" s="17"/>
    </row>
    <row r="12" spans="1:15" ht="25.5" x14ac:dyDescent="0.2">
      <c r="A12" s="21">
        <v>46057</v>
      </c>
      <c r="B12" s="11">
        <f>+MONTH(A12)</f>
        <v>2</v>
      </c>
      <c r="C12" s="11">
        <f>+WEEKNUM(A12)</f>
        <v>6</v>
      </c>
      <c r="D12" s="3" t="s">
        <v>4207</v>
      </c>
      <c r="E12" s="3" t="s">
        <v>4206</v>
      </c>
      <c r="F12" s="3">
        <v>573194141745</v>
      </c>
      <c r="G12" s="3">
        <v>78187</v>
      </c>
      <c r="H12" s="34" t="s">
        <v>12</v>
      </c>
      <c r="I12" s="34" t="s">
        <v>13</v>
      </c>
      <c r="J12" s="3" t="s">
        <v>4205</v>
      </c>
      <c r="K12" s="3" t="s">
        <v>23</v>
      </c>
      <c r="L12" s="3"/>
      <c r="M12" s="3" t="s">
        <v>2780</v>
      </c>
      <c r="N12" s="17"/>
      <c r="O12" s="17"/>
    </row>
    <row r="13" spans="1:15" ht="12.75" x14ac:dyDescent="0.2">
      <c r="A13" s="21">
        <v>46057</v>
      </c>
      <c r="B13" s="11">
        <f>+MONTH(A13)</f>
        <v>2</v>
      </c>
      <c r="C13" s="11">
        <f>+WEEKNUM(A13)</f>
        <v>6</v>
      </c>
      <c r="D13" s="3" t="s">
        <v>4204</v>
      </c>
      <c r="E13" s="3" t="s">
        <v>4203</v>
      </c>
      <c r="F13" s="3">
        <v>573023363600</v>
      </c>
      <c r="G13" s="3">
        <v>78093</v>
      </c>
      <c r="H13" s="34" t="s">
        <v>12</v>
      </c>
      <c r="I13" s="34" t="s">
        <v>13</v>
      </c>
      <c r="J13" s="3" t="s">
        <v>4202</v>
      </c>
      <c r="K13" s="3" t="s">
        <v>23</v>
      </c>
      <c r="L13" s="3"/>
      <c r="M13" s="3" t="s">
        <v>2780</v>
      </c>
      <c r="N13" s="17"/>
      <c r="O13" s="17"/>
    </row>
    <row r="14" spans="1:15" ht="25.5" x14ac:dyDescent="0.2">
      <c r="A14" s="21">
        <v>46057</v>
      </c>
      <c r="B14" s="11">
        <f>+MONTH(A14)</f>
        <v>2</v>
      </c>
      <c r="C14" s="11">
        <f>+WEEKNUM(A14)</f>
        <v>6</v>
      </c>
      <c r="D14" s="3" t="s">
        <v>4201</v>
      </c>
      <c r="E14" s="3" t="s">
        <v>4200</v>
      </c>
      <c r="F14" s="3">
        <v>573170111185</v>
      </c>
      <c r="G14" s="3">
        <v>78607</v>
      </c>
      <c r="H14" s="34" t="s">
        <v>12</v>
      </c>
      <c r="I14" s="34" t="s">
        <v>13</v>
      </c>
      <c r="J14" s="44" t="s">
        <v>4199</v>
      </c>
      <c r="K14" s="3" t="s">
        <v>23</v>
      </c>
      <c r="L14" s="3"/>
      <c r="M14" s="3" t="s">
        <v>2782</v>
      </c>
      <c r="N14" s="17"/>
      <c r="O14" s="17"/>
    </row>
    <row r="15" spans="1:15" ht="25.5" x14ac:dyDescent="0.2">
      <c r="A15" s="21">
        <v>46057</v>
      </c>
      <c r="B15" s="11">
        <f>+MONTH(A15)</f>
        <v>2</v>
      </c>
      <c r="C15" s="11">
        <f>+WEEKNUM(A15)</f>
        <v>6</v>
      </c>
      <c r="D15" s="3" t="s">
        <v>4198</v>
      </c>
      <c r="E15" s="3" t="s">
        <v>4197</v>
      </c>
      <c r="F15" s="3">
        <v>573058397345</v>
      </c>
      <c r="G15" s="3">
        <v>78564</v>
      </c>
      <c r="H15" s="34" t="s">
        <v>12</v>
      </c>
      <c r="I15" s="34" t="s">
        <v>13</v>
      </c>
      <c r="J15" s="3" t="s">
        <v>39</v>
      </c>
      <c r="K15" s="3" t="s">
        <v>23</v>
      </c>
      <c r="L15" s="3"/>
      <c r="M15" s="3" t="s">
        <v>4124</v>
      </c>
      <c r="N15" s="17"/>
      <c r="O15" s="17"/>
    </row>
    <row r="16" spans="1:15" ht="38.25" x14ac:dyDescent="0.2">
      <c r="A16" s="21">
        <v>46057</v>
      </c>
      <c r="B16" s="11">
        <f>+MONTH(A16)</f>
        <v>2</v>
      </c>
      <c r="C16" s="11">
        <f>+WEEKNUM(A16)</f>
        <v>6</v>
      </c>
      <c r="D16" s="3" t="s">
        <v>4196</v>
      </c>
      <c r="E16" s="3" t="s">
        <v>4195</v>
      </c>
      <c r="F16" s="3">
        <v>573134427727</v>
      </c>
      <c r="G16" s="3">
        <v>77865</v>
      </c>
      <c r="H16" s="34" t="s">
        <v>12</v>
      </c>
      <c r="I16" s="34" t="s">
        <v>13</v>
      </c>
      <c r="J16" s="3" t="s">
        <v>4194</v>
      </c>
      <c r="K16" s="3" t="s">
        <v>23</v>
      </c>
      <c r="L16" s="3"/>
      <c r="M16" s="3" t="s">
        <v>4193</v>
      </c>
      <c r="N16" s="17"/>
      <c r="O16" s="17"/>
    </row>
    <row r="17" spans="1:15" ht="12.75" x14ac:dyDescent="0.2">
      <c r="A17" s="21">
        <v>46057</v>
      </c>
      <c r="B17" s="11">
        <f>+MONTH(A17)</f>
        <v>2</v>
      </c>
      <c r="C17" s="11">
        <f>+WEEKNUM(A17)</f>
        <v>6</v>
      </c>
      <c r="D17" s="3" t="s">
        <v>1579</v>
      </c>
      <c r="E17" s="3" t="s">
        <v>4192</v>
      </c>
      <c r="F17" s="3">
        <v>573107852688</v>
      </c>
      <c r="G17" s="3">
        <v>76114</v>
      </c>
      <c r="H17" s="34" t="s">
        <v>12</v>
      </c>
      <c r="I17" s="34" t="s">
        <v>13</v>
      </c>
      <c r="J17" s="3"/>
      <c r="K17" s="3" t="s">
        <v>23</v>
      </c>
      <c r="L17" s="3"/>
      <c r="M17" s="3">
        <v>95</v>
      </c>
      <c r="N17" s="17"/>
      <c r="O17" s="17"/>
    </row>
    <row r="18" spans="1:15" ht="25.5" x14ac:dyDescent="0.2">
      <c r="A18" s="21">
        <v>46057</v>
      </c>
      <c r="B18" s="11">
        <f>+MONTH(A18)</f>
        <v>2</v>
      </c>
      <c r="C18" s="11">
        <f>+WEEKNUM(A18)</f>
        <v>6</v>
      </c>
      <c r="D18" s="3" t="s">
        <v>4191</v>
      </c>
      <c r="E18" s="3" t="s">
        <v>4190</v>
      </c>
      <c r="F18" s="3">
        <v>573188665160</v>
      </c>
      <c r="G18" s="3">
        <v>78222</v>
      </c>
      <c r="H18" s="34" t="s">
        <v>12</v>
      </c>
      <c r="I18" s="34" t="s">
        <v>13</v>
      </c>
      <c r="J18" s="3" t="s">
        <v>4189</v>
      </c>
      <c r="K18" s="3" t="s">
        <v>23</v>
      </c>
      <c r="L18" s="3"/>
      <c r="M18" s="3" t="s">
        <v>2810</v>
      </c>
      <c r="N18" s="17"/>
      <c r="O18" s="17"/>
    </row>
    <row r="19" spans="1:15" ht="51" x14ac:dyDescent="0.2">
      <c r="A19" s="21">
        <v>46057</v>
      </c>
      <c r="B19" s="11">
        <f>+MONTH(A19)</f>
        <v>2</v>
      </c>
      <c r="C19" s="11">
        <f>+WEEKNUM(A19)</f>
        <v>6</v>
      </c>
      <c r="D19" s="3" t="s">
        <v>4188</v>
      </c>
      <c r="E19" s="3" t="s">
        <v>4187</v>
      </c>
      <c r="F19" s="3">
        <v>573203316724</v>
      </c>
      <c r="G19" s="3">
        <v>78038</v>
      </c>
      <c r="H19" s="34" t="s">
        <v>12</v>
      </c>
      <c r="I19" s="34" t="s">
        <v>22</v>
      </c>
      <c r="J19" s="3" t="s">
        <v>4186</v>
      </c>
      <c r="K19" s="3"/>
      <c r="L19" s="3"/>
      <c r="M19" s="3" t="s">
        <v>2822</v>
      </c>
      <c r="N19" s="17"/>
      <c r="O19" s="17"/>
    </row>
    <row r="20" spans="1:15" ht="25.5" x14ac:dyDescent="0.2">
      <c r="A20" s="21">
        <v>46057</v>
      </c>
      <c r="B20" s="11">
        <f>+MONTH(A20)</f>
        <v>2</v>
      </c>
      <c r="C20" s="11">
        <f>+WEEKNUM(A20)</f>
        <v>6</v>
      </c>
      <c r="D20" s="3" t="s">
        <v>2045</v>
      </c>
      <c r="E20" s="3" t="s">
        <v>4185</v>
      </c>
      <c r="F20" s="3">
        <v>573209927868</v>
      </c>
      <c r="G20" s="3">
        <v>78196</v>
      </c>
      <c r="H20" s="34" t="s">
        <v>12</v>
      </c>
      <c r="I20" s="34" t="s">
        <v>13</v>
      </c>
      <c r="J20" s="3" t="s">
        <v>4184</v>
      </c>
      <c r="K20" s="3" t="s">
        <v>23</v>
      </c>
      <c r="L20" s="3"/>
      <c r="M20" s="3" t="s">
        <v>4183</v>
      </c>
      <c r="N20" s="17"/>
      <c r="O20" s="17"/>
    </row>
    <row r="21" spans="1:15" ht="51" x14ac:dyDescent="0.2">
      <c r="A21" s="21">
        <v>46056</v>
      </c>
      <c r="B21" s="11">
        <f>+MONTH(A21)</f>
        <v>2</v>
      </c>
      <c r="C21" s="11">
        <f>+WEEKNUM(A21)</f>
        <v>6</v>
      </c>
      <c r="D21" s="3" t="s">
        <v>4182</v>
      </c>
      <c r="E21" s="3" t="s">
        <v>4181</v>
      </c>
      <c r="F21" s="3">
        <v>573186279231</v>
      </c>
      <c r="G21" s="3">
        <v>77930</v>
      </c>
      <c r="H21" s="34" t="s">
        <v>22</v>
      </c>
      <c r="I21" s="34" t="s">
        <v>13</v>
      </c>
      <c r="J21" s="3" t="s">
        <v>4180</v>
      </c>
      <c r="K21" s="3"/>
      <c r="L21" s="3"/>
      <c r="M21" s="3" t="s">
        <v>3286</v>
      </c>
      <c r="N21" s="17"/>
      <c r="O21" s="17"/>
    </row>
    <row r="22" spans="1:15" ht="12.75" x14ac:dyDescent="0.2">
      <c r="A22" s="21">
        <v>46056</v>
      </c>
      <c r="B22" s="11">
        <f>+MONTH(A22)</f>
        <v>2</v>
      </c>
      <c r="C22" s="11">
        <f>+WEEKNUM(A22)</f>
        <v>6</v>
      </c>
      <c r="D22" s="3" t="s">
        <v>1462</v>
      </c>
      <c r="E22" s="3" t="s">
        <v>2053</v>
      </c>
      <c r="F22" s="3">
        <v>573202630410</v>
      </c>
      <c r="G22" s="3">
        <v>77660</v>
      </c>
      <c r="H22" s="34" t="s">
        <v>12</v>
      </c>
      <c r="I22" s="34" t="s">
        <v>13</v>
      </c>
      <c r="J22" s="3" t="s">
        <v>4179</v>
      </c>
      <c r="K22" s="3" t="s">
        <v>23</v>
      </c>
      <c r="L22" s="3"/>
      <c r="M22" s="3" t="s">
        <v>2784</v>
      </c>
      <c r="N22" s="17"/>
      <c r="O22" s="17"/>
    </row>
    <row r="23" spans="1:15" ht="25.5" x14ac:dyDescent="0.2">
      <c r="A23" s="21">
        <v>46056</v>
      </c>
      <c r="B23" s="11">
        <f>+MONTH(A23)</f>
        <v>2</v>
      </c>
      <c r="C23" s="11">
        <f>+WEEKNUM(A23)</f>
        <v>6</v>
      </c>
      <c r="D23" s="3" t="s">
        <v>2058</v>
      </c>
      <c r="E23" s="3" t="s">
        <v>4178</v>
      </c>
      <c r="F23" s="3">
        <v>573195505581</v>
      </c>
      <c r="G23" s="3">
        <v>78473</v>
      </c>
      <c r="H23" s="34" t="s">
        <v>12</v>
      </c>
      <c r="I23" s="34" t="s">
        <v>13</v>
      </c>
      <c r="J23" s="3"/>
      <c r="K23" s="3" t="s">
        <v>23</v>
      </c>
      <c r="L23" s="3"/>
      <c r="M23" s="3" t="s">
        <v>2782</v>
      </c>
      <c r="N23" s="17"/>
      <c r="O23" s="17"/>
    </row>
    <row r="24" spans="1:15" ht="12.75" x14ac:dyDescent="0.2">
      <c r="A24" s="21">
        <v>46056</v>
      </c>
      <c r="B24" s="11">
        <f>+MONTH(A24)</f>
        <v>2</v>
      </c>
      <c r="C24" s="11">
        <f>+WEEKNUM(A24)</f>
        <v>6</v>
      </c>
      <c r="D24" s="3" t="s">
        <v>4177</v>
      </c>
      <c r="E24" s="3" t="s">
        <v>3180</v>
      </c>
      <c r="F24" s="3">
        <v>573002182101</v>
      </c>
      <c r="G24" s="3">
        <v>78209</v>
      </c>
      <c r="H24" s="34" t="s">
        <v>12</v>
      </c>
      <c r="I24" s="34" t="s">
        <v>13</v>
      </c>
      <c r="J24" s="3" t="s">
        <v>4176</v>
      </c>
      <c r="K24" s="3" t="s">
        <v>23</v>
      </c>
      <c r="L24" s="3"/>
      <c r="M24" s="3" t="s">
        <v>2822</v>
      </c>
      <c r="N24" s="17"/>
      <c r="O24" s="17"/>
    </row>
    <row r="25" spans="1:15" ht="25.5" x14ac:dyDescent="0.2">
      <c r="A25" s="21">
        <v>46056</v>
      </c>
      <c r="B25" s="11">
        <f>+MONTH(A25)</f>
        <v>2</v>
      </c>
      <c r="C25" s="11">
        <f>+WEEKNUM(A25)</f>
        <v>6</v>
      </c>
      <c r="D25" s="3" t="s">
        <v>1747</v>
      </c>
      <c r="E25" s="3" t="s">
        <v>1748</v>
      </c>
      <c r="F25" s="3">
        <v>573228136150</v>
      </c>
      <c r="G25" s="3">
        <v>78539</v>
      </c>
      <c r="H25" s="34" t="s">
        <v>12</v>
      </c>
      <c r="I25" s="34" t="s">
        <v>13</v>
      </c>
      <c r="J25" s="3" t="s">
        <v>4175</v>
      </c>
      <c r="K25" s="3" t="s">
        <v>23</v>
      </c>
      <c r="L25" s="3"/>
      <c r="M25" s="3" t="s">
        <v>2782</v>
      </c>
      <c r="N25" s="17"/>
      <c r="O25" s="17"/>
    </row>
    <row r="26" spans="1:15" ht="51.75" customHeight="1" x14ac:dyDescent="0.2">
      <c r="A26" s="21">
        <v>46056</v>
      </c>
      <c r="B26" s="11">
        <f>+MONTH(A26)</f>
        <v>2</v>
      </c>
      <c r="C26" s="11">
        <f>+WEEKNUM(A26)</f>
        <v>6</v>
      </c>
      <c r="D26" s="3" t="s">
        <v>4174</v>
      </c>
      <c r="E26" s="3" t="s">
        <v>4173</v>
      </c>
      <c r="F26" s="3">
        <v>573214560160</v>
      </c>
      <c r="G26" s="3">
        <v>78329</v>
      </c>
      <c r="H26" s="34" t="s">
        <v>12</v>
      </c>
      <c r="I26" s="34" t="s">
        <v>13</v>
      </c>
      <c r="J26" s="3" t="s">
        <v>4172</v>
      </c>
      <c r="K26" s="3" t="s">
        <v>23</v>
      </c>
      <c r="L26" s="3"/>
      <c r="M26" s="3" t="s">
        <v>3169</v>
      </c>
      <c r="N26" s="17"/>
      <c r="O26" s="17"/>
    </row>
    <row r="27" spans="1:15" ht="25.5" x14ac:dyDescent="0.2">
      <c r="A27" s="21">
        <v>46056</v>
      </c>
      <c r="B27" s="11">
        <f>+MONTH(A27)</f>
        <v>2</v>
      </c>
      <c r="C27" s="11">
        <f>+WEEKNUM(A27)</f>
        <v>6</v>
      </c>
      <c r="D27" s="3" t="s">
        <v>4171</v>
      </c>
      <c r="E27" s="3" t="s">
        <v>4170</v>
      </c>
      <c r="F27" s="3">
        <v>573151422990</v>
      </c>
      <c r="G27" s="3">
        <v>78509</v>
      </c>
      <c r="H27" s="34" t="s">
        <v>12</v>
      </c>
      <c r="I27" s="34" t="s">
        <v>13</v>
      </c>
      <c r="J27" s="3" t="s">
        <v>4169</v>
      </c>
      <c r="K27" s="3" t="s">
        <v>23</v>
      </c>
      <c r="L27" s="3"/>
      <c r="M27" s="3" t="s">
        <v>3243</v>
      </c>
      <c r="N27" s="17"/>
      <c r="O27" s="17"/>
    </row>
    <row r="28" spans="1:15" ht="25.5" x14ac:dyDescent="0.2">
      <c r="A28" s="21">
        <v>46056</v>
      </c>
      <c r="B28" s="11">
        <f>+MONTH(A28)</f>
        <v>2</v>
      </c>
      <c r="C28" s="11">
        <f>+WEEKNUM(A28)</f>
        <v>6</v>
      </c>
      <c r="D28" s="3" t="s">
        <v>1834</v>
      </c>
      <c r="E28" s="3" t="s">
        <v>4168</v>
      </c>
      <c r="F28" s="3">
        <v>573132209594</v>
      </c>
      <c r="G28" s="3">
        <v>78531</v>
      </c>
      <c r="H28" s="34" t="s">
        <v>12</v>
      </c>
      <c r="I28" s="34" t="s">
        <v>13</v>
      </c>
      <c r="J28" s="3" t="s">
        <v>129</v>
      </c>
      <c r="K28" s="3" t="s">
        <v>23</v>
      </c>
      <c r="L28" s="3"/>
      <c r="M28" s="3">
        <v>72</v>
      </c>
      <c r="N28" s="17"/>
      <c r="O28" s="17"/>
    </row>
    <row r="29" spans="1:15" ht="25.5" x14ac:dyDescent="0.2">
      <c r="A29" s="21">
        <v>46056</v>
      </c>
      <c r="B29" s="11">
        <f>+MONTH(A29)</f>
        <v>2</v>
      </c>
      <c r="C29" s="11">
        <f>+WEEKNUM(A29)</f>
        <v>6</v>
      </c>
      <c r="D29" s="3" t="s">
        <v>4167</v>
      </c>
      <c r="E29" s="3" t="s">
        <v>4166</v>
      </c>
      <c r="F29" s="3">
        <v>573132747206</v>
      </c>
      <c r="G29" s="3">
        <v>78066</v>
      </c>
      <c r="H29" s="34" t="s">
        <v>22</v>
      </c>
      <c r="I29" s="34" t="s">
        <v>22</v>
      </c>
      <c r="J29" s="3" t="s">
        <v>4165</v>
      </c>
      <c r="K29" s="3"/>
      <c r="L29" s="3"/>
      <c r="M29" s="3" t="s">
        <v>4164</v>
      </c>
      <c r="N29" s="17"/>
      <c r="O29" s="17"/>
    </row>
    <row r="30" spans="1:15" ht="25.5" x14ac:dyDescent="0.2">
      <c r="A30" s="21">
        <v>46056</v>
      </c>
      <c r="B30" s="11">
        <f>+MONTH(A30)</f>
        <v>2</v>
      </c>
      <c r="C30" s="11">
        <f>+WEEKNUM(A30)</f>
        <v>6</v>
      </c>
      <c r="D30" s="3" t="s">
        <v>4163</v>
      </c>
      <c r="E30" s="3" t="s">
        <v>4162</v>
      </c>
      <c r="F30" s="3">
        <v>573507993254</v>
      </c>
      <c r="G30" s="3">
        <v>78517</v>
      </c>
      <c r="H30" s="34" t="s">
        <v>12</v>
      </c>
      <c r="I30" s="34" t="s">
        <v>13</v>
      </c>
      <c r="J30" s="3" t="s">
        <v>4161</v>
      </c>
      <c r="K30" s="3" t="s">
        <v>23</v>
      </c>
      <c r="L30" s="3"/>
      <c r="M30" s="3" t="s">
        <v>2871</v>
      </c>
      <c r="N30" s="17"/>
      <c r="O30" s="17"/>
    </row>
    <row r="31" spans="1:15" ht="25.5" x14ac:dyDescent="0.2">
      <c r="A31" s="21">
        <v>46056</v>
      </c>
      <c r="B31" s="11">
        <f>+MONTH(A31)</f>
        <v>2</v>
      </c>
      <c r="C31" s="11">
        <f>+WEEKNUM(A31)</f>
        <v>6</v>
      </c>
      <c r="D31" s="3" t="s">
        <v>4160</v>
      </c>
      <c r="E31" s="3" t="s">
        <v>4159</v>
      </c>
      <c r="F31" s="3">
        <v>573202734329</v>
      </c>
      <c r="G31" s="3">
        <v>78171</v>
      </c>
      <c r="H31" s="34" t="s">
        <v>12</v>
      </c>
      <c r="I31" s="34" t="s">
        <v>13</v>
      </c>
      <c r="J31" s="3" t="s">
        <v>4158</v>
      </c>
      <c r="K31" s="3" t="s">
        <v>23</v>
      </c>
      <c r="L31" s="3"/>
      <c r="M31" s="3" t="s">
        <v>2782</v>
      </c>
      <c r="N31" s="17"/>
      <c r="O31" s="17"/>
    </row>
    <row r="32" spans="1:15" ht="25.5" x14ac:dyDescent="0.2">
      <c r="A32" s="21">
        <v>46056</v>
      </c>
      <c r="B32" s="11">
        <f>+MONTH(A32)</f>
        <v>2</v>
      </c>
      <c r="C32" s="11">
        <f>+WEEKNUM(A32)</f>
        <v>6</v>
      </c>
      <c r="D32" s="3" t="s">
        <v>4157</v>
      </c>
      <c r="E32" s="3" t="s">
        <v>4156</v>
      </c>
      <c r="F32" s="3">
        <v>573151495879</v>
      </c>
      <c r="G32" s="3">
        <v>78143</v>
      </c>
      <c r="H32" s="34" t="s">
        <v>12</v>
      </c>
      <c r="I32" s="34" t="s">
        <v>13</v>
      </c>
      <c r="J32" s="3"/>
      <c r="K32" s="3" t="s">
        <v>23</v>
      </c>
      <c r="L32" s="3"/>
      <c r="M32" s="3" t="s">
        <v>257</v>
      </c>
      <c r="N32" s="17"/>
      <c r="O32" s="17"/>
    </row>
    <row r="33" spans="1:15" ht="25.5" x14ac:dyDescent="0.2">
      <c r="A33" s="21">
        <v>46056</v>
      </c>
      <c r="B33" s="11">
        <f>+MONTH(A33)</f>
        <v>2</v>
      </c>
      <c r="C33" s="11">
        <f>+WEEKNUM(A33)</f>
        <v>6</v>
      </c>
      <c r="D33" s="3" t="s">
        <v>4155</v>
      </c>
      <c r="E33" s="3" t="s">
        <v>4154</v>
      </c>
      <c r="F33" s="3">
        <v>573212972134</v>
      </c>
      <c r="G33" s="3">
        <v>77544</v>
      </c>
      <c r="H33" s="34" t="s">
        <v>12</v>
      </c>
      <c r="I33" s="34" t="s">
        <v>13</v>
      </c>
      <c r="J33" s="3" t="s">
        <v>4153</v>
      </c>
      <c r="K33" s="3" t="s">
        <v>23</v>
      </c>
      <c r="L33" s="3"/>
      <c r="M33" s="3" t="s">
        <v>2784</v>
      </c>
      <c r="N33" s="17"/>
      <c r="O33" s="17"/>
    </row>
    <row r="34" spans="1:15" ht="38.25" x14ac:dyDescent="0.2">
      <c r="A34" s="21">
        <v>46056</v>
      </c>
      <c r="B34" s="11">
        <f>+MONTH(A34)</f>
        <v>2</v>
      </c>
      <c r="C34" s="11">
        <f>+WEEKNUM(A34)</f>
        <v>6</v>
      </c>
      <c r="D34" s="3" t="s">
        <v>2036</v>
      </c>
      <c r="E34" s="3" t="s">
        <v>4152</v>
      </c>
      <c r="F34" s="3">
        <v>573142063672</v>
      </c>
      <c r="G34" s="3">
        <v>78545</v>
      </c>
      <c r="H34" s="34" t="s">
        <v>12</v>
      </c>
      <c r="I34" s="34" t="s">
        <v>13</v>
      </c>
      <c r="J34" s="3" t="s">
        <v>4151</v>
      </c>
      <c r="K34" s="3" t="s">
        <v>23</v>
      </c>
      <c r="L34" s="3"/>
      <c r="M34" s="3" t="s">
        <v>2780</v>
      </c>
      <c r="N34" s="17"/>
      <c r="O34" s="17"/>
    </row>
    <row r="35" spans="1:15" ht="12.75" x14ac:dyDescent="0.2">
      <c r="A35" s="21">
        <v>46056</v>
      </c>
      <c r="B35" s="11">
        <f>+MONTH(A35)</f>
        <v>2</v>
      </c>
      <c r="C35" s="11">
        <f>+WEEKNUM(A35)</f>
        <v>6</v>
      </c>
      <c r="D35" s="3" t="s">
        <v>2852</v>
      </c>
      <c r="E35" s="3" t="s">
        <v>4140</v>
      </c>
      <c r="F35" s="3">
        <v>573102485766</v>
      </c>
      <c r="G35" s="3">
        <v>78191</v>
      </c>
      <c r="H35" s="34" t="s">
        <v>12</v>
      </c>
      <c r="I35" s="34" t="s">
        <v>13</v>
      </c>
      <c r="J35" s="3" t="s">
        <v>4150</v>
      </c>
      <c r="K35" s="3" t="s">
        <v>23</v>
      </c>
      <c r="L35" s="3"/>
      <c r="M35" s="3" t="s">
        <v>2782</v>
      </c>
      <c r="N35" s="17"/>
      <c r="O35" s="17"/>
    </row>
    <row r="36" spans="1:15" ht="25.5" x14ac:dyDescent="0.2">
      <c r="A36" s="21">
        <v>46056</v>
      </c>
      <c r="B36" s="11">
        <f>+MONTH(A36)</f>
        <v>2</v>
      </c>
      <c r="C36" s="11">
        <f>+WEEKNUM(A36)</f>
        <v>6</v>
      </c>
      <c r="D36" s="3" t="s">
        <v>4149</v>
      </c>
      <c r="E36" s="3" t="s">
        <v>4148</v>
      </c>
      <c r="F36" s="3">
        <v>573007152300</v>
      </c>
      <c r="G36" s="3">
        <v>78003</v>
      </c>
      <c r="H36" s="34" t="s">
        <v>12</v>
      </c>
      <c r="I36" s="34" t="s">
        <v>13</v>
      </c>
      <c r="J36" s="3" t="s">
        <v>4147</v>
      </c>
      <c r="K36" s="3" t="s">
        <v>23</v>
      </c>
      <c r="L36" s="3"/>
      <c r="M36" s="3" t="s">
        <v>3169</v>
      </c>
      <c r="N36" s="17"/>
      <c r="O36" s="17"/>
    </row>
    <row r="37" spans="1:15" ht="25.5" x14ac:dyDescent="0.2">
      <c r="A37" s="21">
        <v>46056</v>
      </c>
      <c r="B37" s="11">
        <f>+MONTH(A37)</f>
        <v>2</v>
      </c>
      <c r="C37" s="11">
        <f>+WEEKNUM(A37)</f>
        <v>6</v>
      </c>
      <c r="D37" s="3" t="s">
        <v>1679</v>
      </c>
      <c r="E37" s="3" t="s">
        <v>4146</v>
      </c>
      <c r="F37" s="3">
        <v>573193377680</v>
      </c>
      <c r="G37" s="3">
        <v>78448</v>
      </c>
      <c r="H37" s="34" t="s">
        <v>12</v>
      </c>
      <c r="I37" s="34" t="s">
        <v>13</v>
      </c>
      <c r="J37" s="3" t="s">
        <v>4145</v>
      </c>
      <c r="K37" s="3" t="s">
        <v>23</v>
      </c>
      <c r="L37" s="3"/>
      <c r="M37" s="3" t="s">
        <v>2780</v>
      </c>
      <c r="N37" s="17"/>
      <c r="O37" s="17"/>
    </row>
    <row r="38" spans="1:15" ht="25.5" x14ac:dyDescent="0.2">
      <c r="A38" s="21">
        <v>46056</v>
      </c>
      <c r="B38" s="11">
        <f>+MONTH(A38)</f>
        <v>2</v>
      </c>
      <c r="C38" s="11">
        <f>+WEEKNUM(A38)</f>
        <v>6</v>
      </c>
      <c r="D38" s="3" t="s">
        <v>1625</v>
      </c>
      <c r="E38" s="3" t="s">
        <v>4097</v>
      </c>
      <c r="F38" s="3">
        <v>573012013128</v>
      </c>
      <c r="G38" s="3">
        <v>78420</v>
      </c>
      <c r="H38" s="34" t="s">
        <v>12</v>
      </c>
      <c r="I38" s="34" t="s">
        <v>13</v>
      </c>
      <c r="J38" s="3" t="s">
        <v>4144</v>
      </c>
      <c r="K38" s="3" t="s">
        <v>23</v>
      </c>
      <c r="L38" s="3"/>
      <c r="M38" s="3" t="s">
        <v>2810</v>
      </c>
      <c r="N38" s="17"/>
      <c r="O38" s="17"/>
    </row>
    <row r="39" spans="1:15" ht="25.5" x14ac:dyDescent="0.2">
      <c r="A39" s="21">
        <v>46056</v>
      </c>
      <c r="B39" s="11">
        <f>+MONTH(A39)</f>
        <v>2</v>
      </c>
      <c r="C39" s="11">
        <f>+WEEKNUM(A39)</f>
        <v>6</v>
      </c>
      <c r="D39" s="3" t="s">
        <v>3692</v>
      </c>
      <c r="E39" s="3" t="s">
        <v>3691</v>
      </c>
      <c r="F39" s="3">
        <v>573193032172</v>
      </c>
      <c r="G39" s="3">
        <v>78123</v>
      </c>
      <c r="H39" s="34" t="s">
        <v>12</v>
      </c>
      <c r="I39" s="34" t="s">
        <v>13</v>
      </c>
      <c r="J39" s="3" t="s">
        <v>4143</v>
      </c>
      <c r="K39" s="3" t="s">
        <v>23</v>
      </c>
      <c r="L39" s="3"/>
      <c r="M39" s="3" t="s">
        <v>2780</v>
      </c>
      <c r="N39" s="17"/>
      <c r="O39" s="17"/>
    </row>
    <row r="40" spans="1:15" ht="25.5" x14ac:dyDescent="0.2">
      <c r="A40" s="21">
        <v>46056</v>
      </c>
      <c r="B40" s="11">
        <f>+MONTH(A40)</f>
        <v>2</v>
      </c>
      <c r="C40" s="11">
        <f>+WEEKNUM(A40)</f>
        <v>6</v>
      </c>
      <c r="D40" s="3" t="s">
        <v>4142</v>
      </c>
      <c r="E40" s="3" t="s">
        <v>4141</v>
      </c>
      <c r="F40" s="3">
        <v>573102001809</v>
      </c>
      <c r="G40" s="3">
        <v>78169</v>
      </c>
      <c r="H40" s="34" t="s">
        <v>12</v>
      </c>
      <c r="I40" s="34" t="s">
        <v>13</v>
      </c>
      <c r="J40" s="3"/>
      <c r="K40" s="3" t="s">
        <v>23</v>
      </c>
      <c r="L40" s="3"/>
      <c r="M40" s="3">
        <v>95</v>
      </c>
      <c r="N40" s="17"/>
      <c r="O40" s="17"/>
    </row>
    <row r="41" spans="1:15" ht="12.75" x14ac:dyDescent="0.2">
      <c r="A41" s="21">
        <v>46055</v>
      </c>
      <c r="B41" s="11">
        <f>+MONTH(A41)</f>
        <v>2</v>
      </c>
      <c r="C41" s="11">
        <f>+WEEKNUM(A41)</f>
        <v>6</v>
      </c>
      <c r="D41" s="3" t="s">
        <v>2916</v>
      </c>
      <c r="E41" s="3" t="s">
        <v>4140</v>
      </c>
      <c r="F41" s="3">
        <v>573163346061</v>
      </c>
      <c r="G41" s="3">
        <v>77071</v>
      </c>
      <c r="H41" s="34" t="s">
        <v>12</v>
      </c>
      <c r="I41" s="34" t="s">
        <v>13</v>
      </c>
      <c r="J41" s="3"/>
      <c r="K41" s="3" t="s">
        <v>23</v>
      </c>
      <c r="L41" s="3"/>
      <c r="M41" s="3" t="s">
        <v>2840</v>
      </c>
      <c r="N41" s="17"/>
      <c r="O41" s="17"/>
    </row>
    <row r="42" spans="1:15" ht="25.5" x14ac:dyDescent="0.2">
      <c r="A42" s="21">
        <v>46055</v>
      </c>
      <c r="B42" s="11">
        <f>+MONTH(A42)</f>
        <v>2</v>
      </c>
      <c r="C42" s="11">
        <f>+WEEKNUM(A42)</f>
        <v>6</v>
      </c>
      <c r="D42" s="3" t="s">
        <v>1942</v>
      </c>
      <c r="E42" s="3" t="s">
        <v>4139</v>
      </c>
      <c r="F42" s="3">
        <v>573138154745</v>
      </c>
      <c r="G42" s="3">
        <v>78333</v>
      </c>
      <c r="H42" s="34" t="s">
        <v>12</v>
      </c>
      <c r="I42" s="34" t="s">
        <v>13</v>
      </c>
      <c r="J42" s="3" t="s">
        <v>4138</v>
      </c>
      <c r="K42" s="3" t="s">
        <v>23</v>
      </c>
      <c r="L42" s="3"/>
      <c r="M42" s="3" t="s">
        <v>4137</v>
      </c>
      <c r="N42" s="17"/>
      <c r="O42" s="17"/>
    </row>
    <row r="43" spans="1:15" ht="25.5" x14ac:dyDescent="0.2">
      <c r="A43" s="21">
        <v>46055</v>
      </c>
      <c r="B43" s="11">
        <f>+MONTH(A43)</f>
        <v>2</v>
      </c>
      <c r="C43" s="11">
        <f>+WEEKNUM(A43)</f>
        <v>6</v>
      </c>
      <c r="D43" s="3" t="s">
        <v>4136</v>
      </c>
      <c r="E43" s="3" t="s">
        <v>4135</v>
      </c>
      <c r="F43" s="3">
        <v>573018601491</v>
      </c>
      <c r="G43" s="3">
        <v>78145</v>
      </c>
      <c r="H43" s="34" t="s">
        <v>12</v>
      </c>
      <c r="I43" s="34" t="s">
        <v>13</v>
      </c>
      <c r="J43" s="3" t="s">
        <v>4134</v>
      </c>
      <c r="K43" s="3" t="s">
        <v>23</v>
      </c>
      <c r="L43" s="3"/>
      <c r="M43" s="3" t="s">
        <v>4133</v>
      </c>
      <c r="N43" s="17"/>
      <c r="O43" s="17"/>
    </row>
    <row r="44" spans="1:15" ht="25.5" x14ac:dyDescent="0.2">
      <c r="A44" s="21">
        <v>46055</v>
      </c>
      <c r="B44" s="11">
        <f>+MONTH(A44)</f>
        <v>2</v>
      </c>
      <c r="C44" s="11">
        <f>+WEEKNUM(A44)</f>
        <v>6</v>
      </c>
      <c r="D44" s="3" t="s">
        <v>1539</v>
      </c>
      <c r="E44" s="3" t="s">
        <v>1924</v>
      </c>
      <c r="F44" s="3">
        <v>573026351250</v>
      </c>
      <c r="G44" s="3">
        <v>78388</v>
      </c>
      <c r="H44" s="34" t="s">
        <v>12</v>
      </c>
      <c r="I44" s="34" t="s">
        <v>13</v>
      </c>
      <c r="J44" s="3" t="s">
        <v>634</v>
      </c>
      <c r="K44" s="3" t="s">
        <v>23</v>
      </c>
      <c r="L44" s="3"/>
      <c r="M44" s="3" t="s">
        <v>2780</v>
      </c>
      <c r="N44" s="17"/>
      <c r="O44" s="17"/>
    </row>
    <row r="45" spans="1:15" ht="51" x14ac:dyDescent="0.2">
      <c r="A45" s="21">
        <v>46055</v>
      </c>
      <c r="B45" s="11">
        <f>+MONTH(A45)</f>
        <v>2</v>
      </c>
      <c r="C45" s="11">
        <f>+WEEKNUM(A45)</f>
        <v>6</v>
      </c>
      <c r="D45" s="3" t="s">
        <v>4132</v>
      </c>
      <c r="E45" s="3" t="s">
        <v>4131</v>
      </c>
      <c r="F45" s="3">
        <v>573106901782</v>
      </c>
      <c r="G45" s="3">
        <v>77021</v>
      </c>
      <c r="H45" s="34" t="s">
        <v>22</v>
      </c>
      <c r="I45" s="34" t="s">
        <v>13</v>
      </c>
      <c r="J45" s="3" t="s">
        <v>4130</v>
      </c>
      <c r="K45" s="3"/>
      <c r="L45" s="3"/>
      <c r="M45" s="3" t="s">
        <v>2793</v>
      </c>
      <c r="N45" s="17"/>
      <c r="O45" s="17"/>
    </row>
    <row r="46" spans="1:15" ht="25.5" x14ac:dyDescent="0.2">
      <c r="A46" s="21">
        <v>46055</v>
      </c>
      <c r="B46" s="11">
        <f>+MONTH(A46)</f>
        <v>2</v>
      </c>
      <c r="C46" s="11">
        <f>+WEEKNUM(A46)</f>
        <v>6</v>
      </c>
      <c r="D46" s="3" t="s">
        <v>4129</v>
      </c>
      <c r="E46" s="3" t="s">
        <v>2064</v>
      </c>
      <c r="F46" s="3">
        <v>573134475522</v>
      </c>
      <c r="G46" s="3">
        <v>78470</v>
      </c>
      <c r="H46" s="34" t="s">
        <v>12</v>
      </c>
      <c r="I46" s="34" t="s">
        <v>13</v>
      </c>
      <c r="J46" s="3" t="s">
        <v>39</v>
      </c>
      <c r="K46" s="3" t="s">
        <v>23</v>
      </c>
      <c r="L46" s="3"/>
      <c r="M46" s="3">
        <v>78470</v>
      </c>
      <c r="N46" s="17"/>
      <c r="O46" s="17"/>
    </row>
    <row r="47" spans="1:15" ht="25.5" x14ac:dyDescent="0.2">
      <c r="A47" s="21">
        <v>46055</v>
      </c>
      <c r="B47" s="11">
        <f>+MONTH(A47)</f>
        <v>2</v>
      </c>
      <c r="C47" s="11">
        <f>+WEEKNUM(A47)</f>
        <v>6</v>
      </c>
      <c r="D47" s="3" t="s">
        <v>1752</v>
      </c>
      <c r="E47" s="3" t="s">
        <v>1753</v>
      </c>
      <c r="F47" s="3">
        <v>573158990871</v>
      </c>
      <c r="G47" s="3">
        <v>77987</v>
      </c>
      <c r="H47" s="34" t="s">
        <v>12</v>
      </c>
      <c r="I47" s="34" t="s">
        <v>13</v>
      </c>
      <c r="J47" s="3" t="s">
        <v>4128</v>
      </c>
      <c r="K47" s="3" t="s">
        <v>23</v>
      </c>
      <c r="L47" s="3"/>
      <c r="M47" s="3" t="s">
        <v>2793</v>
      </c>
      <c r="N47" s="17"/>
      <c r="O47" s="17"/>
    </row>
    <row r="48" spans="1:15" ht="25.5" x14ac:dyDescent="0.2">
      <c r="A48" s="21">
        <v>46055</v>
      </c>
      <c r="B48" s="11">
        <f>+MONTH(A48)</f>
        <v>2</v>
      </c>
      <c r="C48" s="11">
        <f>+WEEKNUM(A48)</f>
        <v>6</v>
      </c>
      <c r="D48" s="3" t="s">
        <v>4127</v>
      </c>
      <c r="E48" s="3" t="s">
        <v>4126</v>
      </c>
      <c r="F48" s="3">
        <v>573160103806</v>
      </c>
      <c r="G48" s="3">
        <v>78439</v>
      </c>
      <c r="H48" s="34" t="s">
        <v>12</v>
      </c>
      <c r="I48" s="34" t="s">
        <v>13</v>
      </c>
      <c r="J48" s="3" t="s">
        <v>4125</v>
      </c>
      <c r="K48" s="3" t="s">
        <v>23</v>
      </c>
      <c r="L48" s="3"/>
      <c r="M48" s="3" t="s">
        <v>4124</v>
      </c>
      <c r="N48" s="17"/>
      <c r="O48" s="17"/>
    </row>
    <row r="49" spans="1:15" ht="25.5" x14ac:dyDescent="0.2">
      <c r="A49" s="21">
        <v>46055</v>
      </c>
      <c r="B49" s="11">
        <f>+MONTH(A49)</f>
        <v>2</v>
      </c>
      <c r="C49" s="11">
        <f>+WEEKNUM(A49)</f>
        <v>6</v>
      </c>
      <c r="D49" s="3" t="s">
        <v>1579</v>
      </c>
      <c r="E49" s="3" t="s">
        <v>4123</v>
      </c>
      <c r="F49" s="3">
        <v>573117698450</v>
      </c>
      <c r="G49" s="3">
        <v>78346</v>
      </c>
      <c r="H49" s="34" t="s">
        <v>12</v>
      </c>
      <c r="I49" s="34" t="s">
        <v>13</v>
      </c>
      <c r="J49" s="3" t="s">
        <v>1878</v>
      </c>
      <c r="K49" s="3" t="s">
        <v>23</v>
      </c>
      <c r="L49" s="3"/>
      <c r="M49" s="3" t="s">
        <v>2788</v>
      </c>
      <c r="N49" s="17"/>
      <c r="O49" s="17"/>
    </row>
    <row r="50" spans="1:15" ht="114.75" x14ac:dyDescent="0.2">
      <c r="A50" s="21">
        <v>46055</v>
      </c>
      <c r="B50" s="11">
        <f>+MONTH(A50)</f>
        <v>2</v>
      </c>
      <c r="C50" s="11">
        <f>+WEEKNUM(A50)</f>
        <v>6</v>
      </c>
      <c r="D50" s="3" t="s">
        <v>2289</v>
      </c>
      <c r="E50" s="3" t="s">
        <v>2290</v>
      </c>
      <c r="F50" s="3">
        <v>573228428681</v>
      </c>
      <c r="G50" s="3">
        <v>78379</v>
      </c>
      <c r="H50" s="34" t="s">
        <v>22</v>
      </c>
      <c r="I50" s="34" t="s">
        <v>22</v>
      </c>
      <c r="J50" s="44" t="s">
        <v>4122</v>
      </c>
      <c r="K50" s="3"/>
      <c r="L50" s="3"/>
      <c r="M50" s="3" t="s">
        <v>2822</v>
      </c>
      <c r="N50" s="17"/>
      <c r="O50" s="17"/>
    </row>
    <row r="51" spans="1:15" ht="25.5" x14ac:dyDescent="0.2">
      <c r="A51" s="21">
        <v>46055</v>
      </c>
      <c r="B51" s="11">
        <f>+MONTH(A51)</f>
        <v>2</v>
      </c>
      <c r="C51" s="11">
        <f>+WEEKNUM(A51)</f>
        <v>6</v>
      </c>
      <c r="D51" s="3" t="s">
        <v>4121</v>
      </c>
      <c r="E51" s="3" t="s">
        <v>4120</v>
      </c>
      <c r="F51" s="3">
        <v>573173643569</v>
      </c>
      <c r="G51" s="3">
        <v>78305</v>
      </c>
      <c r="H51" s="34" t="s">
        <v>12</v>
      </c>
      <c r="I51" s="34" t="s">
        <v>13</v>
      </c>
      <c r="J51" s="3" t="s">
        <v>4119</v>
      </c>
      <c r="K51" s="3" t="s">
        <v>23</v>
      </c>
      <c r="L51" s="3"/>
      <c r="M51" s="3" t="s">
        <v>2782</v>
      </c>
      <c r="N51" s="17"/>
      <c r="O51" s="17"/>
    </row>
    <row r="52" spans="1:15" ht="102" x14ac:dyDescent="0.2">
      <c r="A52" s="21">
        <v>46055</v>
      </c>
      <c r="B52" s="11">
        <f>+MONTH(A52)</f>
        <v>2</v>
      </c>
      <c r="C52" s="11">
        <f>+WEEKNUM(A52)</f>
        <v>6</v>
      </c>
      <c r="D52" s="3" t="s">
        <v>1917</v>
      </c>
      <c r="E52" s="3" t="s">
        <v>1918</v>
      </c>
      <c r="F52" s="3">
        <v>573102440343</v>
      </c>
      <c r="G52" s="3">
        <v>78262</v>
      </c>
      <c r="H52" s="34" t="s">
        <v>71</v>
      </c>
      <c r="I52" s="34" t="s">
        <v>13</v>
      </c>
      <c r="J52" s="44" t="s">
        <v>4118</v>
      </c>
      <c r="K52" s="3" t="s">
        <v>14</v>
      </c>
      <c r="L52" s="3"/>
      <c r="M52" s="3" t="s">
        <v>2810</v>
      </c>
      <c r="N52" s="17"/>
      <c r="O52" s="17"/>
    </row>
    <row r="53" spans="1:15" ht="25.5" x14ac:dyDescent="0.2">
      <c r="A53" s="21">
        <v>46055</v>
      </c>
      <c r="B53" s="11">
        <f>+MONTH(A53)</f>
        <v>2</v>
      </c>
      <c r="C53" s="11">
        <f>+WEEKNUM(A53)</f>
        <v>6</v>
      </c>
      <c r="D53" s="3" t="s">
        <v>2162</v>
      </c>
      <c r="E53" s="3" t="s">
        <v>4117</v>
      </c>
      <c r="F53" s="3">
        <v>573144291039</v>
      </c>
      <c r="G53" s="3">
        <v>78046</v>
      </c>
      <c r="H53" s="34" t="s">
        <v>12</v>
      </c>
      <c r="I53" s="34" t="s">
        <v>13</v>
      </c>
      <c r="J53" s="3" t="s">
        <v>4116</v>
      </c>
      <c r="K53" s="3" t="s">
        <v>23</v>
      </c>
      <c r="L53" s="3"/>
      <c r="M53" s="3" t="s">
        <v>2780</v>
      </c>
      <c r="N53" s="17"/>
      <c r="O53" s="17"/>
    </row>
    <row r="54" spans="1:15" ht="102" customHeight="1" x14ac:dyDescent="0.2">
      <c r="A54" s="21">
        <v>46055</v>
      </c>
      <c r="B54" s="11">
        <f>+MONTH(A54)</f>
        <v>2</v>
      </c>
      <c r="C54" s="11">
        <f>+WEEKNUM(A54)</f>
        <v>6</v>
      </c>
      <c r="D54" s="3" t="s">
        <v>4115</v>
      </c>
      <c r="E54" s="3" t="s">
        <v>4114</v>
      </c>
      <c r="F54" s="3">
        <v>573112100041</v>
      </c>
      <c r="G54" s="3">
        <v>78244</v>
      </c>
      <c r="H54" s="34" t="s">
        <v>12</v>
      </c>
      <c r="I54" s="34" t="s">
        <v>13</v>
      </c>
      <c r="J54" s="3" t="s">
        <v>4113</v>
      </c>
      <c r="K54" s="3" t="s">
        <v>23</v>
      </c>
      <c r="L54" s="3"/>
      <c r="M54" s="3" t="s">
        <v>2780</v>
      </c>
      <c r="N54" s="17"/>
      <c r="O54" s="17"/>
    </row>
    <row r="55" spans="1:15" ht="12.75" x14ac:dyDescent="0.2">
      <c r="A55" s="21">
        <v>46055</v>
      </c>
      <c r="B55" s="11">
        <f>+MONTH(A55)</f>
        <v>2</v>
      </c>
      <c r="C55" s="11">
        <f>+WEEKNUM(A55)</f>
        <v>6</v>
      </c>
      <c r="D55" s="3" t="s">
        <v>1762</v>
      </c>
      <c r="E55" s="3" t="s">
        <v>4112</v>
      </c>
      <c r="F55" s="3">
        <v>573218237095</v>
      </c>
      <c r="G55" s="3">
        <v>78102</v>
      </c>
      <c r="H55" s="34" t="s">
        <v>12</v>
      </c>
      <c r="I55" s="34" t="s">
        <v>13</v>
      </c>
      <c r="J55" s="3" t="s">
        <v>61</v>
      </c>
      <c r="K55" s="3" t="s">
        <v>23</v>
      </c>
      <c r="L55" s="3"/>
      <c r="M55" s="3" t="s">
        <v>3169</v>
      </c>
      <c r="N55" s="17"/>
      <c r="O55" s="17"/>
    </row>
    <row r="56" spans="1:15" ht="121.5" customHeight="1" x14ac:dyDescent="0.2">
      <c r="A56" s="21">
        <v>46055</v>
      </c>
      <c r="B56" s="11">
        <f>+MONTH(A56)</f>
        <v>2</v>
      </c>
      <c r="C56" s="11">
        <f>+WEEKNUM(A56)</f>
        <v>6</v>
      </c>
      <c r="D56" s="3" t="s">
        <v>2275</v>
      </c>
      <c r="E56" s="3" t="s">
        <v>2863</v>
      </c>
      <c r="F56" s="3">
        <v>573046249638</v>
      </c>
      <c r="G56" s="3">
        <v>78421</v>
      </c>
      <c r="H56" s="34" t="s">
        <v>12</v>
      </c>
      <c r="I56" s="34" t="s">
        <v>13</v>
      </c>
      <c r="J56" s="3" t="s">
        <v>4111</v>
      </c>
      <c r="K56" s="3" t="s">
        <v>23</v>
      </c>
      <c r="L56" s="3"/>
      <c r="M56" s="3" t="s">
        <v>2840</v>
      </c>
      <c r="N56" s="17"/>
      <c r="O56" s="17"/>
    </row>
    <row r="57" spans="1:15" ht="12.75" x14ac:dyDescent="0.2">
      <c r="A57" s="21">
        <v>46053</v>
      </c>
      <c r="B57" s="11">
        <f>+MONTH(A57)</f>
        <v>1</v>
      </c>
      <c r="C57" s="11">
        <f>+WEEKNUM(A57)</f>
        <v>5</v>
      </c>
      <c r="D57" s="3" t="s">
        <v>4110</v>
      </c>
      <c r="E57" s="3" t="s">
        <v>4109</v>
      </c>
      <c r="F57" s="3">
        <v>573016479333</v>
      </c>
      <c r="G57" s="3">
        <v>74384</v>
      </c>
      <c r="H57" s="34" t="s">
        <v>22</v>
      </c>
      <c r="I57" s="34" t="s">
        <v>44</v>
      </c>
      <c r="J57" s="3"/>
      <c r="K57" s="3"/>
      <c r="L57" s="3"/>
      <c r="M57" s="3" t="s">
        <v>2782</v>
      </c>
      <c r="N57" s="17"/>
      <c r="O57" s="17"/>
    </row>
    <row r="58" spans="1:15" ht="25.5" x14ac:dyDescent="0.2">
      <c r="A58" s="21">
        <v>46053</v>
      </c>
      <c r="B58" s="11">
        <f>+MONTH(A58)</f>
        <v>1</v>
      </c>
      <c r="C58" s="11">
        <f>+WEEKNUM(A58)</f>
        <v>5</v>
      </c>
      <c r="D58" s="3" t="s">
        <v>4108</v>
      </c>
      <c r="E58" s="3" t="s">
        <v>4107</v>
      </c>
      <c r="F58" s="3">
        <v>573103103051</v>
      </c>
      <c r="G58" s="3">
        <v>77957</v>
      </c>
      <c r="H58" s="34" t="s">
        <v>12</v>
      </c>
      <c r="I58" s="34" t="s">
        <v>13</v>
      </c>
      <c r="J58" s="3" t="s">
        <v>4106</v>
      </c>
      <c r="K58" s="3" t="s">
        <v>23</v>
      </c>
      <c r="L58" s="3"/>
      <c r="M58" s="3" t="s">
        <v>4105</v>
      </c>
      <c r="N58" s="17"/>
      <c r="O58" s="17"/>
    </row>
    <row r="59" spans="1:15" ht="25.5" x14ac:dyDescent="0.2">
      <c r="A59" s="21">
        <v>46053</v>
      </c>
      <c r="B59" s="11">
        <f>+MONTH(A59)</f>
        <v>1</v>
      </c>
      <c r="C59" s="11">
        <f>+WEEKNUM(A59)</f>
        <v>5</v>
      </c>
      <c r="D59" s="3" t="s">
        <v>4104</v>
      </c>
      <c r="E59" s="3" t="s">
        <v>4103</v>
      </c>
      <c r="F59" s="3">
        <v>573183701759</v>
      </c>
      <c r="G59" s="3">
        <v>77780</v>
      </c>
      <c r="H59" s="34" t="s">
        <v>12</v>
      </c>
      <c r="I59" s="34" t="s">
        <v>13</v>
      </c>
      <c r="J59" s="3" t="s">
        <v>4102</v>
      </c>
      <c r="K59" s="3" t="s">
        <v>23</v>
      </c>
      <c r="L59" s="3"/>
      <c r="M59" s="3" t="s">
        <v>2782</v>
      </c>
      <c r="N59" s="17"/>
      <c r="O59" s="17"/>
    </row>
    <row r="60" spans="1:15" ht="25.5" x14ac:dyDescent="0.2">
      <c r="A60" s="21">
        <v>46053</v>
      </c>
      <c r="B60" s="11">
        <f>+MONTH(A60)</f>
        <v>1</v>
      </c>
      <c r="C60" s="11">
        <f>+WEEKNUM(A60)</f>
        <v>5</v>
      </c>
      <c r="D60" s="3" t="s">
        <v>2005</v>
      </c>
      <c r="E60" s="3" t="s">
        <v>4101</v>
      </c>
      <c r="F60" s="3">
        <v>573133140303</v>
      </c>
      <c r="G60" s="3">
        <v>77749</v>
      </c>
      <c r="H60" s="34" t="s">
        <v>12</v>
      </c>
      <c r="I60" s="34" t="s">
        <v>13</v>
      </c>
      <c r="J60" s="3" t="s">
        <v>4100</v>
      </c>
      <c r="K60" s="3" t="s">
        <v>23</v>
      </c>
      <c r="L60" s="3"/>
      <c r="M60" s="3" t="s">
        <v>257</v>
      </c>
      <c r="N60" s="17"/>
      <c r="O60" s="17"/>
    </row>
    <row r="61" spans="1:15" ht="25.5" x14ac:dyDescent="0.2">
      <c r="A61" s="21">
        <v>46053</v>
      </c>
      <c r="B61" s="11">
        <f>+MONTH(A61)</f>
        <v>1</v>
      </c>
      <c r="C61" s="11">
        <f>+WEEKNUM(A61)</f>
        <v>5</v>
      </c>
      <c r="D61" s="3" t="s">
        <v>4099</v>
      </c>
      <c r="E61" s="3" t="s">
        <v>4098</v>
      </c>
      <c r="F61" s="3">
        <v>573158647059</v>
      </c>
      <c r="G61" s="3">
        <v>78330</v>
      </c>
      <c r="H61" s="34" t="s">
        <v>12</v>
      </c>
      <c r="I61" s="34" t="s">
        <v>13</v>
      </c>
      <c r="J61" s="3" t="s">
        <v>174</v>
      </c>
      <c r="K61" s="3" t="s">
        <v>23</v>
      </c>
      <c r="L61" s="3"/>
      <c r="M61" s="3" t="s">
        <v>2780</v>
      </c>
      <c r="N61" s="17"/>
      <c r="O61" s="17"/>
    </row>
    <row r="62" spans="1:15" ht="25.5" x14ac:dyDescent="0.2">
      <c r="A62" s="21">
        <v>46053</v>
      </c>
      <c r="B62" s="11">
        <f>+MONTH(A62)</f>
        <v>1</v>
      </c>
      <c r="C62" s="11">
        <f>+WEEKNUM(A62)</f>
        <v>5</v>
      </c>
      <c r="D62" s="3" t="s">
        <v>1625</v>
      </c>
      <c r="E62" s="3" t="s">
        <v>4097</v>
      </c>
      <c r="F62" s="3">
        <v>573012013128</v>
      </c>
      <c r="G62" s="3">
        <v>78374</v>
      </c>
      <c r="H62" s="34" t="s">
        <v>22</v>
      </c>
      <c r="I62" s="34" t="s">
        <v>22</v>
      </c>
      <c r="J62" s="3"/>
      <c r="K62" s="3"/>
      <c r="L62" s="3"/>
      <c r="M62" s="3" t="s">
        <v>2780</v>
      </c>
      <c r="N62" s="17"/>
      <c r="O62" s="17"/>
    </row>
    <row r="63" spans="1:15" ht="12.75" x14ac:dyDescent="0.2">
      <c r="A63" s="21">
        <v>46053</v>
      </c>
      <c r="B63" s="11">
        <f>+MONTH(A63)</f>
        <v>1</v>
      </c>
      <c r="C63" s="11">
        <f>+WEEKNUM(A63)</f>
        <v>5</v>
      </c>
      <c r="D63" s="3" t="s">
        <v>4096</v>
      </c>
      <c r="E63" s="3" t="s">
        <v>2191</v>
      </c>
      <c r="F63" s="3">
        <v>573006688076</v>
      </c>
      <c r="G63" s="3">
        <v>76822</v>
      </c>
      <c r="H63" s="34" t="s">
        <v>12</v>
      </c>
      <c r="I63" s="34" t="s">
        <v>13</v>
      </c>
      <c r="J63" s="3" t="s">
        <v>4095</v>
      </c>
      <c r="K63" s="3" t="s">
        <v>23</v>
      </c>
      <c r="L63" s="3"/>
      <c r="M63" s="3" t="s">
        <v>2822</v>
      </c>
      <c r="N63" s="17"/>
      <c r="O63" s="17"/>
    </row>
    <row r="64" spans="1:15" ht="12.75" x14ac:dyDescent="0.2">
      <c r="A64" s="21">
        <v>46053</v>
      </c>
      <c r="B64" s="11">
        <f>+MONTH(A64)</f>
        <v>1</v>
      </c>
      <c r="C64" s="11">
        <f>+WEEKNUM(A64)</f>
        <v>5</v>
      </c>
      <c r="D64" s="3" t="s">
        <v>4094</v>
      </c>
      <c r="E64" s="3" t="s">
        <v>2555</v>
      </c>
      <c r="F64" s="3">
        <v>573176698712</v>
      </c>
      <c r="G64" s="3">
        <v>77704</v>
      </c>
      <c r="H64" s="34" t="s">
        <v>12</v>
      </c>
      <c r="I64" s="34" t="s">
        <v>13</v>
      </c>
      <c r="J64" s="3" t="s">
        <v>61</v>
      </c>
      <c r="K64" s="3" t="s">
        <v>23</v>
      </c>
      <c r="L64" s="3"/>
      <c r="M64" s="3" t="s">
        <v>2793</v>
      </c>
      <c r="N64" s="17"/>
      <c r="O64" s="17"/>
    </row>
    <row r="65" spans="1:15" ht="51" x14ac:dyDescent="0.2">
      <c r="A65" s="21">
        <v>46053</v>
      </c>
      <c r="B65" s="11">
        <f>+MONTH(A65)</f>
        <v>1</v>
      </c>
      <c r="C65" s="11">
        <f>+WEEKNUM(A65)</f>
        <v>5</v>
      </c>
      <c r="D65" s="3" t="s">
        <v>1503</v>
      </c>
      <c r="E65" s="3" t="s">
        <v>3284</v>
      </c>
      <c r="F65" s="3">
        <v>573213271654</v>
      </c>
      <c r="G65" s="3">
        <v>78234</v>
      </c>
      <c r="H65" s="34" t="s">
        <v>12</v>
      </c>
      <c r="I65" s="34" t="s">
        <v>13</v>
      </c>
      <c r="J65" s="3" t="s">
        <v>4093</v>
      </c>
      <c r="K65" s="3" t="s">
        <v>23</v>
      </c>
      <c r="L65" s="3" t="s">
        <v>2951</v>
      </c>
      <c r="M65" s="3" t="s">
        <v>2875</v>
      </c>
      <c r="N65" s="17"/>
      <c r="O65" s="17"/>
    </row>
    <row r="66" spans="1:15" ht="25.5" x14ac:dyDescent="0.2">
      <c r="A66" s="21">
        <v>46053</v>
      </c>
      <c r="B66" s="11">
        <f>+MONTH(A66)</f>
        <v>1</v>
      </c>
      <c r="C66" s="11">
        <f>+WEEKNUM(A66)</f>
        <v>5</v>
      </c>
      <c r="D66" s="3" t="s">
        <v>1487</v>
      </c>
      <c r="E66" s="3" t="s">
        <v>4092</v>
      </c>
      <c r="F66" s="3">
        <v>573142365131</v>
      </c>
      <c r="G66" s="3">
        <v>78332</v>
      </c>
      <c r="H66" s="34" t="s">
        <v>12</v>
      </c>
      <c r="I66" s="34" t="s">
        <v>13</v>
      </c>
      <c r="J66" s="3" t="s">
        <v>4091</v>
      </c>
      <c r="K66" s="3" t="s">
        <v>23</v>
      </c>
      <c r="L66" s="3"/>
      <c r="M66" s="3" t="s">
        <v>2784</v>
      </c>
      <c r="N66" s="17"/>
      <c r="O66" s="17"/>
    </row>
    <row r="67" spans="1:15" ht="25.5" x14ac:dyDescent="0.2">
      <c r="A67" s="21">
        <v>46053</v>
      </c>
      <c r="B67" s="11">
        <f>+MONTH(A67)</f>
        <v>1</v>
      </c>
      <c r="C67" s="11">
        <f>+WEEKNUM(A67)</f>
        <v>5</v>
      </c>
      <c r="D67" s="3" t="s">
        <v>4090</v>
      </c>
      <c r="E67" s="3" t="s">
        <v>4089</v>
      </c>
      <c r="F67" s="3">
        <v>573115632014</v>
      </c>
      <c r="G67" s="3">
        <v>77688</v>
      </c>
      <c r="H67" s="34" t="s">
        <v>12</v>
      </c>
      <c r="I67" s="34" t="s">
        <v>13</v>
      </c>
      <c r="J67" s="3" t="s">
        <v>228</v>
      </c>
      <c r="K67" s="3" t="s">
        <v>23</v>
      </c>
      <c r="L67" s="3"/>
      <c r="M67" s="3" t="s">
        <v>2780</v>
      </c>
      <c r="N67" s="17"/>
      <c r="O67" s="17"/>
    </row>
    <row r="68" spans="1:15" ht="25.5" x14ac:dyDescent="0.2">
      <c r="A68" s="21">
        <v>46053</v>
      </c>
      <c r="B68" s="11">
        <f>+MONTH(A68)</f>
        <v>1</v>
      </c>
      <c r="C68" s="11">
        <f>+WEEKNUM(A68)</f>
        <v>5</v>
      </c>
      <c r="D68" s="3" t="s">
        <v>4088</v>
      </c>
      <c r="E68" s="3" t="s">
        <v>4087</v>
      </c>
      <c r="F68" s="3">
        <v>573176869978</v>
      </c>
      <c r="G68" s="3">
        <v>77380</v>
      </c>
      <c r="H68" s="34" t="s">
        <v>12</v>
      </c>
      <c r="I68" s="34" t="s">
        <v>13</v>
      </c>
      <c r="J68" s="3" t="s">
        <v>4086</v>
      </c>
      <c r="K68" s="3" t="s">
        <v>23</v>
      </c>
      <c r="L68" s="3"/>
      <c r="M68" s="3" t="s">
        <v>2784</v>
      </c>
      <c r="N68" s="17"/>
      <c r="O68" s="17"/>
    </row>
    <row r="69" spans="1:15" ht="12.75" x14ac:dyDescent="0.2">
      <c r="A69" s="21">
        <v>46053</v>
      </c>
      <c r="B69" s="11">
        <f>+MONTH(A69)</f>
        <v>1</v>
      </c>
      <c r="C69" s="11">
        <f>+WEEKNUM(A69)</f>
        <v>5</v>
      </c>
      <c r="D69" s="3" t="s">
        <v>4085</v>
      </c>
      <c r="E69" s="3" t="s">
        <v>4084</v>
      </c>
      <c r="F69" s="3">
        <v>573102867528</v>
      </c>
      <c r="G69" s="3">
        <v>77792</v>
      </c>
      <c r="H69" s="34" t="s">
        <v>12</v>
      </c>
      <c r="I69" s="34" t="s">
        <v>13</v>
      </c>
      <c r="J69" s="3" t="s">
        <v>4083</v>
      </c>
      <c r="K69" s="3" t="s">
        <v>23</v>
      </c>
      <c r="L69" s="3"/>
      <c r="M69" s="3" t="s">
        <v>2780</v>
      </c>
      <c r="N69" s="17"/>
      <c r="O69" s="17"/>
    </row>
    <row r="70" spans="1:15" ht="25.5" x14ac:dyDescent="0.2">
      <c r="A70" s="21">
        <v>46053</v>
      </c>
      <c r="B70" s="11">
        <f>+MONTH(A70)</f>
        <v>1</v>
      </c>
      <c r="C70" s="11">
        <f>+WEEKNUM(A70)</f>
        <v>5</v>
      </c>
      <c r="D70" s="3" t="s">
        <v>4082</v>
      </c>
      <c r="E70" s="3" t="s">
        <v>4081</v>
      </c>
      <c r="F70" s="3">
        <v>573133251023</v>
      </c>
      <c r="G70" s="3">
        <v>77942</v>
      </c>
      <c r="H70" s="34" t="s">
        <v>12</v>
      </c>
      <c r="I70" s="34" t="s">
        <v>13</v>
      </c>
      <c r="J70" s="3" t="s">
        <v>4080</v>
      </c>
      <c r="K70" s="3" t="s">
        <v>23</v>
      </c>
      <c r="L70" s="3"/>
      <c r="M70" s="3" t="s">
        <v>2875</v>
      </c>
      <c r="N70" s="17"/>
      <c r="O70" s="17"/>
    </row>
    <row r="71" spans="1:15" ht="25.5" x14ac:dyDescent="0.2">
      <c r="A71" s="21">
        <v>46053</v>
      </c>
      <c r="B71" s="11">
        <f>+MONTH(A71)</f>
        <v>1</v>
      </c>
      <c r="C71" s="11">
        <f>+WEEKNUM(A71)</f>
        <v>5</v>
      </c>
      <c r="D71" s="3" t="s">
        <v>2828</v>
      </c>
      <c r="E71" s="3" t="s">
        <v>2827</v>
      </c>
      <c r="F71" s="3">
        <v>573158433295</v>
      </c>
      <c r="G71" s="3">
        <v>77947</v>
      </c>
      <c r="H71" s="34" t="s">
        <v>12</v>
      </c>
      <c r="I71" s="34" t="s">
        <v>13</v>
      </c>
      <c r="J71" s="3" t="s">
        <v>2688</v>
      </c>
      <c r="K71" s="3" t="s">
        <v>23</v>
      </c>
      <c r="L71" s="3"/>
      <c r="M71" s="3" t="s">
        <v>2780</v>
      </c>
      <c r="N71" s="17"/>
      <c r="O71" s="17"/>
    </row>
    <row r="72" spans="1:15" ht="21" customHeight="1" x14ac:dyDescent="0.2">
      <c r="A72" s="21">
        <v>46052</v>
      </c>
      <c r="B72" s="11">
        <f>+MONTH(A72)</f>
        <v>1</v>
      </c>
      <c r="C72" s="11">
        <f>+WEEKNUM(A72)</f>
        <v>5</v>
      </c>
      <c r="D72" s="3" t="s">
        <v>2732</v>
      </c>
      <c r="E72" s="3" t="s">
        <v>3821</v>
      </c>
      <c r="F72" s="3">
        <v>573057650424</v>
      </c>
      <c r="G72" s="3">
        <v>77097</v>
      </c>
      <c r="H72" s="34" t="s">
        <v>71</v>
      </c>
      <c r="I72" s="34" t="s">
        <v>13</v>
      </c>
      <c r="J72" s="3"/>
      <c r="K72" s="3"/>
      <c r="L72" s="3"/>
      <c r="M72" s="3" t="s">
        <v>2822</v>
      </c>
      <c r="N72" s="17"/>
      <c r="O72" s="17"/>
    </row>
    <row r="73" spans="1:15" ht="89.25" x14ac:dyDescent="0.2">
      <c r="A73" s="21">
        <v>46052</v>
      </c>
      <c r="B73" s="11">
        <f>+MONTH(A73)</f>
        <v>1</v>
      </c>
      <c r="C73" s="11">
        <f>+WEEKNUM(A73)</f>
        <v>5</v>
      </c>
      <c r="D73" s="3" t="s">
        <v>1871</v>
      </c>
      <c r="E73" s="3" t="s">
        <v>4079</v>
      </c>
      <c r="F73" s="3">
        <v>573182633123</v>
      </c>
      <c r="G73" s="3">
        <v>77596</v>
      </c>
      <c r="H73" s="34" t="s">
        <v>12</v>
      </c>
      <c r="I73" s="34" t="s">
        <v>13</v>
      </c>
      <c r="J73" s="3" t="s">
        <v>4078</v>
      </c>
      <c r="K73" s="3" t="s">
        <v>23</v>
      </c>
      <c r="L73" s="3"/>
      <c r="M73" s="3" t="s">
        <v>4077</v>
      </c>
      <c r="N73" s="17"/>
      <c r="O73" s="17"/>
    </row>
    <row r="74" spans="1:15" ht="25.5" x14ac:dyDescent="0.2">
      <c r="A74" s="21">
        <v>46052</v>
      </c>
      <c r="B74" s="11">
        <f>+MONTH(A74)</f>
        <v>1</v>
      </c>
      <c r="C74" s="11">
        <f>+WEEKNUM(A74)</f>
        <v>5</v>
      </c>
      <c r="D74" s="3" t="s">
        <v>4076</v>
      </c>
      <c r="E74" s="3" t="s">
        <v>4075</v>
      </c>
      <c r="F74" s="3">
        <v>573002186103</v>
      </c>
      <c r="G74" s="3">
        <v>78227</v>
      </c>
      <c r="H74" s="34" t="s">
        <v>12</v>
      </c>
      <c r="I74" s="34" t="s">
        <v>13</v>
      </c>
      <c r="J74" s="3" t="s">
        <v>4022</v>
      </c>
      <c r="K74" s="3" t="s">
        <v>23</v>
      </c>
      <c r="L74" s="3"/>
      <c r="M74" s="3" t="s">
        <v>2782</v>
      </c>
      <c r="N74" s="17"/>
      <c r="O74" s="17"/>
    </row>
    <row r="75" spans="1:15" ht="25.5" x14ac:dyDescent="0.2">
      <c r="A75" s="21">
        <v>46052</v>
      </c>
      <c r="B75" s="11">
        <f>+MONTH(A75)</f>
        <v>1</v>
      </c>
      <c r="C75" s="11">
        <f>+WEEKNUM(A75)</f>
        <v>5</v>
      </c>
      <c r="D75" s="3" t="s">
        <v>4074</v>
      </c>
      <c r="E75" s="3" t="s">
        <v>4073</v>
      </c>
      <c r="F75" s="3">
        <v>573158754047</v>
      </c>
      <c r="G75" s="3">
        <v>77843</v>
      </c>
      <c r="H75" s="34" t="s">
        <v>12</v>
      </c>
      <c r="I75" s="34" t="s">
        <v>13</v>
      </c>
      <c r="J75" s="3" t="s">
        <v>4072</v>
      </c>
      <c r="K75" s="3" t="s">
        <v>23</v>
      </c>
      <c r="L75" s="3"/>
      <c r="M75" s="3" t="s">
        <v>2782</v>
      </c>
      <c r="N75" s="17"/>
      <c r="O75" s="17"/>
    </row>
    <row r="76" spans="1:15" ht="25.5" x14ac:dyDescent="0.2">
      <c r="A76" s="21">
        <v>46052</v>
      </c>
      <c r="B76" s="11">
        <f>+MONTH(A76)</f>
        <v>1</v>
      </c>
      <c r="C76" s="11">
        <f>+WEEKNUM(A76)</f>
        <v>5</v>
      </c>
      <c r="D76" s="3" t="s">
        <v>1679</v>
      </c>
      <c r="E76" s="3" t="s">
        <v>4071</v>
      </c>
      <c r="F76" s="3">
        <v>573143095789</v>
      </c>
      <c r="G76" s="3">
        <v>77837</v>
      </c>
      <c r="H76" s="34" t="s">
        <v>12</v>
      </c>
      <c r="I76" s="34" t="s">
        <v>13</v>
      </c>
      <c r="J76" s="3" t="s">
        <v>4070</v>
      </c>
      <c r="K76" s="3" t="s">
        <v>23</v>
      </c>
      <c r="L76" s="3"/>
      <c r="M76" s="3" t="s">
        <v>2822</v>
      </c>
      <c r="N76" s="17"/>
      <c r="O76" s="17"/>
    </row>
    <row r="77" spans="1:15" ht="25.5" x14ac:dyDescent="0.2">
      <c r="A77" s="21">
        <v>46052</v>
      </c>
      <c r="B77" s="11">
        <f>+MONTH(A77)</f>
        <v>1</v>
      </c>
      <c r="C77" s="11">
        <f>+WEEKNUM(A77)</f>
        <v>5</v>
      </c>
      <c r="D77" s="3" t="s">
        <v>4069</v>
      </c>
      <c r="E77" s="3" t="s">
        <v>4068</v>
      </c>
      <c r="F77" s="3">
        <v>573334307291</v>
      </c>
      <c r="G77" s="3">
        <v>77558</v>
      </c>
      <c r="H77" s="34" t="s">
        <v>12</v>
      </c>
      <c r="I77" s="34" t="s">
        <v>13</v>
      </c>
      <c r="J77" s="3" t="s">
        <v>4067</v>
      </c>
      <c r="K77" s="3" t="s">
        <v>23</v>
      </c>
      <c r="L77" s="3"/>
      <c r="M77" s="3" t="s">
        <v>2784</v>
      </c>
      <c r="N77" s="17"/>
      <c r="O77" s="17"/>
    </row>
    <row r="78" spans="1:15" ht="38.25" x14ac:dyDescent="0.2">
      <c r="A78" s="21">
        <v>46052</v>
      </c>
      <c r="B78" s="11">
        <f>+MONTH(A78)</f>
        <v>1</v>
      </c>
      <c r="C78" s="11">
        <f>+WEEKNUM(A78)</f>
        <v>5</v>
      </c>
      <c r="D78" s="3" t="s">
        <v>4066</v>
      </c>
      <c r="E78" s="3" t="s">
        <v>4065</v>
      </c>
      <c r="F78" s="3">
        <v>573105593290</v>
      </c>
      <c r="G78" s="3">
        <v>77918</v>
      </c>
      <c r="H78" s="34" t="s">
        <v>12</v>
      </c>
      <c r="I78" s="34" t="s">
        <v>13</v>
      </c>
      <c r="J78" s="3" t="s">
        <v>4064</v>
      </c>
      <c r="K78" s="3" t="s">
        <v>23</v>
      </c>
      <c r="L78" s="3"/>
      <c r="M78" s="3" t="s">
        <v>2782</v>
      </c>
      <c r="N78" s="17"/>
      <c r="O78" s="17"/>
    </row>
    <row r="79" spans="1:15" ht="38.25" x14ac:dyDescent="0.2">
      <c r="A79" s="21">
        <v>46052</v>
      </c>
      <c r="B79" s="11">
        <f>+MONTH(A79)</f>
        <v>1</v>
      </c>
      <c r="C79" s="11">
        <f>+WEEKNUM(A79)</f>
        <v>5</v>
      </c>
      <c r="D79" s="3" t="s">
        <v>1499</v>
      </c>
      <c r="E79" s="3" t="s">
        <v>4063</v>
      </c>
      <c r="F79" s="3">
        <v>573108174632</v>
      </c>
      <c r="G79" s="3">
        <v>77697</v>
      </c>
      <c r="H79" s="34" t="s">
        <v>12</v>
      </c>
      <c r="I79" s="34" t="s">
        <v>22</v>
      </c>
      <c r="J79" s="3" t="s">
        <v>4062</v>
      </c>
      <c r="K79" s="3"/>
      <c r="L79" s="3"/>
      <c r="M79" s="3" t="s">
        <v>2784</v>
      </c>
      <c r="N79" s="17"/>
      <c r="O79" s="17"/>
    </row>
    <row r="80" spans="1:15" ht="12.75" x14ac:dyDescent="0.2">
      <c r="A80" s="21">
        <v>46052</v>
      </c>
      <c r="B80" s="11">
        <f>+MONTH(A80)</f>
        <v>1</v>
      </c>
      <c r="C80" s="11">
        <f>+WEEKNUM(A80)</f>
        <v>5</v>
      </c>
      <c r="D80" s="3" t="s">
        <v>4061</v>
      </c>
      <c r="E80" s="3" t="s">
        <v>4060</v>
      </c>
      <c r="F80" s="3">
        <v>573133659078</v>
      </c>
      <c r="G80" s="3">
        <v>77931</v>
      </c>
      <c r="H80" s="34" t="s">
        <v>12</v>
      </c>
      <c r="I80" s="34" t="s">
        <v>13</v>
      </c>
      <c r="J80" s="3" t="s">
        <v>4059</v>
      </c>
      <c r="K80" s="3" t="s">
        <v>23</v>
      </c>
      <c r="L80" s="3"/>
      <c r="M80" s="3" t="s">
        <v>2806</v>
      </c>
      <c r="N80" s="17"/>
      <c r="O80" s="17"/>
    </row>
    <row r="81" spans="1:15" ht="25.5" x14ac:dyDescent="0.2">
      <c r="A81" s="21">
        <v>46052</v>
      </c>
      <c r="B81" s="11">
        <f>+MONTH(A81)</f>
        <v>1</v>
      </c>
      <c r="C81" s="11">
        <f>+WEEKNUM(A81)</f>
        <v>5</v>
      </c>
      <c r="D81" s="3" t="s">
        <v>1522</v>
      </c>
      <c r="E81" s="3" t="s">
        <v>4058</v>
      </c>
      <c r="F81" s="3">
        <v>573057517341</v>
      </c>
      <c r="G81" s="3">
        <v>77873</v>
      </c>
      <c r="H81" s="34" t="s">
        <v>12</v>
      </c>
      <c r="I81" s="34" t="s">
        <v>13</v>
      </c>
      <c r="J81" s="3"/>
      <c r="K81" s="3" t="s">
        <v>23</v>
      </c>
      <c r="L81" s="3"/>
      <c r="M81" s="3" t="s">
        <v>2796</v>
      </c>
      <c r="N81" s="17"/>
      <c r="O81" s="17"/>
    </row>
    <row r="82" spans="1:15" ht="25.5" x14ac:dyDescent="0.2">
      <c r="A82" s="21">
        <v>46052</v>
      </c>
      <c r="B82" s="11">
        <f>+MONTH(A82)</f>
        <v>1</v>
      </c>
      <c r="C82" s="11">
        <f>+WEEKNUM(A82)</f>
        <v>5</v>
      </c>
      <c r="D82" s="3" t="s">
        <v>2045</v>
      </c>
      <c r="E82" s="3" t="s">
        <v>4057</v>
      </c>
      <c r="F82" s="3">
        <v>573127259802</v>
      </c>
      <c r="G82" s="3">
        <v>78149</v>
      </c>
      <c r="H82" s="34" t="s">
        <v>12</v>
      </c>
      <c r="I82" s="34" t="s">
        <v>13</v>
      </c>
      <c r="J82" s="3" t="s">
        <v>4056</v>
      </c>
      <c r="K82" s="3" t="s">
        <v>23</v>
      </c>
      <c r="L82" s="3"/>
      <c r="M82" s="3" t="s">
        <v>3975</v>
      </c>
      <c r="N82" s="17"/>
      <c r="O82" s="17"/>
    </row>
    <row r="83" spans="1:15" ht="51" x14ac:dyDescent="0.2">
      <c r="A83" s="21">
        <v>46052</v>
      </c>
      <c r="B83" s="11">
        <f>+MONTH(A83)</f>
        <v>1</v>
      </c>
      <c r="C83" s="11">
        <f>+WEEKNUM(A83)</f>
        <v>5</v>
      </c>
      <c r="D83" s="3" t="s">
        <v>2513</v>
      </c>
      <c r="E83" s="3" t="s">
        <v>4055</v>
      </c>
      <c r="F83" s="3">
        <v>573150127601</v>
      </c>
      <c r="G83" s="3">
        <v>78129</v>
      </c>
      <c r="H83" s="34" t="s">
        <v>12</v>
      </c>
      <c r="I83" s="34" t="s">
        <v>13</v>
      </c>
      <c r="J83" s="3" t="s">
        <v>4054</v>
      </c>
      <c r="K83" s="3" t="s">
        <v>23</v>
      </c>
      <c r="L83" s="3"/>
      <c r="M83" s="3" t="s">
        <v>2810</v>
      </c>
      <c r="N83" s="17"/>
      <c r="O83" s="17"/>
    </row>
    <row r="84" spans="1:15" ht="25.5" x14ac:dyDescent="0.2">
      <c r="A84" s="21">
        <v>46051</v>
      </c>
      <c r="B84" s="11">
        <f>+MONTH(A84)</f>
        <v>1</v>
      </c>
      <c r="C84" s="11">
        <f>+WEEKNUM(A84)</f>
        <v>5</v>
      </c>
      <c r="D84" s="3" t="s">
        <v>1539</v>
      </c>
      <c r="E84" s="3" t="s">
        <v>4053</v>
      </c>
      <c r="F84" s="3">
        <v>573162280177</v>
      </c>
      <c r="G84" s="3">
        <v>78122</v>
      </c>
      <c r="H84" s="34" t="s">
        <v>12</v>
      </c>
      <c r="I84" s="34" t="s">
        <v>13</v>
      </c>
      <c r="J84" s="3" t="s">
        <v>2380</v>
      </c>
      <c r="K84" s="3" t="s">
        <v>23</v>
      </c>
      <c r="L84" s="3"/>
      <c r="M84" s="3" t="s">
        <v>2822</v>
      </c>
      <c r="N84" s="17"/>
      <c r="O84" s="17"/>
    </row>
    <row r="85" spans="1:15" ht="25.5" x14ac:dyDescent="0.2">
      <c r="A85" s="21">
        <v>46051</v>
      </c>
      <c r="B85" s="11">
        <f>+MONTH(A85)</f>
        <v>1</v>
      </c>
      <c r="C85" s="11">
        <f>+WEEKNUM(A85)</f>
        <v>5</v>
      </c>
      <c r="D85" s="3" t="s">
        <v>3574</v>
      </c>
      <c r="E85" s="3" t="s">
        <v>4052</v>
      </c>
      <c r="F85" s="3">
        <v>573246802086</v>
      </c>
      <c r="G85" s="3">
        <v>77861</v>
      </c>
      <c r="H85" s="34" t="s">
        <v>12</v>
      </c>
      <c r="I85" s="34" t="s">
        <v>13</v>
      </c>
      <c r="J85" s="3"/>
      <c r="K85" s="3" t="s">
        <v>23</v>
      </c>
      <c r="L85" s="3"/>
      <c r="M85" s="3" t="s">
        <v>2784</v>
      </c>
      <c r="N85" s="17"/>
      <c r="O85" s="17"/>
    </row>
    <row r="86" spans="1:15" ht="25.5" x14ac:dyDescent="0.2">
      <c r="A86" s="21">
        <v>46051</v>
      </c>
      <c r="B86" s="11">
        <f>+MONTH(A86)</f>
        <v>1</v>
      </c>
      <c r="C86" s="11">
        <f>+WEEKNUM(A86)</f>
        <v>5</v>
      </c>
      <c r="D86" s="3" t="s">
        <v>3574</v>
      </c>
      <c r="E86" s="3" t="s">
        <v>4052</v>
      </c>
      <c r="F86" s="3">
        <v>573246802086</v>
      </c>
      <c r="G86" s="3">
        <v>77861</v>
      </c>
      <c r="H86" s="34" t="s">
        <v>12</v>
      </c>
      <c r="I86" s="34" t="s">
        <v>13</v>
      </c>
      <c r="J86" s="3" t="s">
        <v>4051</v>
      </c>
      <c r="K86" s="3" t="s">
        <v>23</v>
      </c>
      <c r="L86" s="3"/>
      <c r="M86" s="3" t="s">
        <v>2784</v>
      </c>
      <c r="N86" s="17"/>
      <c r="O86" s="17"/>
    </row>
    <row r="87" spans="1:15" ht="38.25" x14ac:dyDescent="0.2">
      <c r="A87" s="21">
        <v>46051</v>
      </c>
      <c r="B87" s="11">
        <f>+MONTH(A87)</f>
        <v>1</v>
      </c>
      <c r="C87" s="11">
        <f>+WEEKNUM(A87)</f>
        <v>5</v>
      </c>
      <c r="D87" s="3" t="s">
        <v>4050</v>
      </c>
      <c r="E87" s="3" t="s">
        <v>4049</v>
      </c>
      <c r="F87" s="3">
        <v>573158593917</v>
      </c>
      <c r="G87" s="3">
        <v>78147</v>
      </c>
      <c r="H87" s="34" t="s">
        <v>12</v>
      </c>
      <c r="I87" s="34" t="s">
        <v>13</v>
      </c>
      <c r="J87" s="3" t="s">
        <v>4048</v>
      </c>
      <c r="K87" s="3" t="s">
        <v>23</v>
      </c>
      <c r="L87" s="3"/>
      <c r="M87" s="3">
        <v>142</v>
      </c>
      <c r="N87" s="17"/>
      <c r="O87" s="17"/>
    </row>
    <row r="88" spans="1:15" ht="63.75" x14ac:dyDescent="0.2">
      <c r="A88" s="21">
        <v>46051</v>
      </c>
      <c r="B88" s="11">
        <f>+MONTH(A88)</f>
        <v>1</v>
      </c>
      <c r="C88" s="11">
        <f>+WEEKNUM(A88)</f>
        <v>5</v>
      </c>
      <c r="D88" s="3" t="s">
        <v>2284</v>
      </c>
      <c r="E88" s="3" t="s">
        <v>2285</v>
      </c>
      <c r="F88" s="3">
        <v>573166968395</v>
      </c>
      <c r="G88" s="3">
        <v>77452</v>
      </c>
      <c r="H88" s="34" t="s">
        <v>12</v>
      </c>
      <c r="I88" s="34" t="s">
        <v>13</v>
      </c>
      <c r="J88" s="3" t="s">
        <v>4047</v>
      </c>
      <c r="K88" s="3" t="s">
        <v>23</v>
      </c>
      <c r="L88" s="3"/>
      <c r="M88" s="3" t="s">
        <v>3286</v>
      </c>
      <c r="N88" s="17"/>
      <c r="O88" s="17"/>
    </row>
    <row r="89" spans="1:15" ht="25.5" x14ac:dyDescent="0.2">
      <c r="A89" s="21">
        <v>46051</v>
      </c>
      <c r="B89" s="11">
        <f>+MONTH(A89)</f>
        <v>1</v>
      </c>
      <c r="C89" s="11">
        <f>+WEEKNUM(A89)</f>
        <v>5</v>
      </c>
      <c r="D89" s="3" t="s">
        <v>4046</v>
      </c>
      <c r="E89" s="3" t="s">
        <v>4045</v>
      </c>
      <c r="F89" s="3">
        <v>573164784838</v>
      </c>
      <c r="G89" s="3">
        <v>77159</v>
      </c>
      <c r="H89" s="34" t="s">
        <v>22</v>
      </c>
      <c r="I89" s="34" t="s">
        <v>13</v>
      </c>
      <c r="J89" s="3"/>
      <c r="K89" s="3"/>
      <c r="L89" s="3"/>
      <c r="M89" s="3" t="s">
        <v>4044</v>
      </c>
      <c r="N89" s="17"/>
      <c r="O89" s="17"/>
    </row>
    <row r="90" spans="1:15" ht="25.5" x14ac:dyDescent="0.2">
      <c r="A90" s="21">
        <v>46051</v>
      </c>
      <c r="B90" s="11">
        <f>+MONTH(A90)</f>
        <v>1</v>
      </c>
      <c r="C90" s="11">
        <f>+WEEKNUM(A90)</f>
        <v>5</v>
      </c>
      <c r="D90" s="3" t="s">
        <v>3277</v>
      </c>
      <c r="E90" s="3" t="s">
        <v>4043</v>
      </c>
      <c r="F90" s="3">
        <v>573206928494</v>
      </c>
      <c r="G90" s="3">
        <v>77912</v>
      </c>
      <c r="H90" s="34" t="s">
        <v>12</v>
      </c>
      <c r="I90" s="34" t="s">
        <v>13</v>
      </c>
      <c r="J90" s="3" t="s">
        <v>4042</v>
      </c>
      <c r="K90" s="3" t="s">
        <v>23</v>
      </c>
      <c r="L90" s="3"/>
      <c r="M90" s="3">
        <v>143</v>
      </c>
      <c r="N90" s="17"/>
      <c r="O90" s="17"/>
    </row>
    <row r="91" spans="1:15" ht="12.75" x14ac:dyDescent="0.2">
      <c r="A91" s="21">
        <v>46051</v>
      </c>
      <c r="B91" s="11">
        <f>+MONTH(A91)</f>
        <v>1</v>
      </c>
      <c r="C91" s="11">
        <f>+WEEKNUM(A91)</f>
        <v>5</v>
      </c>
      <c r="D91" s="3" t="s">
        <v>2448</v>
      </c>
      <c r="E91" s="3" t="s">
        <v>4041</v>
      </c>
      <c r="F91" s="3">
        <v>573123178702</v>
      </c>
      <c r="G91" s="3">
        <v>77744</v>
      </c>
      <c r="H91" s="34" t="s">
        <v>12</v>
      </c>
      <c r="I91" s="34" t="s">
        <v>13</v>
      </c>
      <c r="J91" s="3" t="s">
        <v>64</v>
      </c>
      <c r="K91" s="3" t="s">
        <v>23</v>
      </c>
      <c r="L91" s="3"/>
      <c r="M91" s="3" t="s">
        <v>2782</v>
      </c>
      <c r="N91" s="17"/>
      <c r="O91" s="17"/>
    </row>
    <row r="92" spans="1:15" ht="25.5" x14ac:dyDescent="0.2">
      <c r="A92" s="21">
        <v>46051</v>
      </c>
      <c r="B92" s="11">
        <f>+MONTH(A92)</f>
        <v>1</v>
      </c>
      <c r="C92" s="11">
        <f>+WEEKNUM(A92)</f>
        <v>5</v>
      </c>
      <c r="D92" s="3" t="s">
        <v>3953</v>
      </c>
      <c r="E92" s="3" t="s">
        <v>2490</v>
      </c>
      <c r="F92" s="3">
        <v>573102481860</v>
      </c>
      <c r="G92" s="3">
        <v>77720</v>
      </c>
      <c r="H92" s="34" t="s">
        <v>12</v>
      </c>
      <c r="I92" s="34" t="s">
        <v>13</v>
      </c>
      <c r="J92" s="3" t="s">
        <v>4040</v>
      </c>
      <c r="K92" s="3" t="s">
        <v>23</v>
      </c>
      <c r="L92" s="3" t="s">
        <v>4039</v>
      </c>
      <c r="M92" s="3" t="s">
        <v>2784</v>
      </c>
      <c r="N92" s="17"/>
      <c r="O92" s="17"/>
    </row>
    <row r="93" spans="1:15" ht="51" x14ac:dyDescent="0.2">
      <c r="A93" s="21">
        <v>46051</v>
      </c>
      <c r="B93" s="11">
        <f>+MONTH(A93)</f>
        <v>1</v>
      </c>
      <c r="C93" s="11">
        <f>+WEEKNUM(A93)</f>
        <v>5</v>
      </c>
      <c r="D93" s="3" t="s">
        <v>1479</v>
      </c>
      <c r="E93" s="3" t="s">
        <v>4038</v>
      </c>
      <c r="F93" s="3">
        <v>573203339168</v>
      </c>
      <c r="G93" s="3">
        <v>76686</v>
      </c>
      <c r="H93" s="34" t="s">
        <v>12</v>
      </c>
      <c r="I93" s="34" t="s">
        <v>13</v>
      </c>
      <c r="J93" s="3" t="s">
        <v>4037</v>
      </c>
      <c r="K93" s="3" t="s">
        <v>23</v>
      </c>
      <c r="L93" s="3"/>
      <c r="M93" s="3" t="s">
        <v>4036</v>
      </c>
      <c r="N93" s="17"/>
      <c r="O93" s="17"/>
    </row>
    <row r="94" spans="1:15" ht="25.5" x14ac:dyDescent="0.2">
      <c r="A94" s="21">
        <v>46051</v>
      </c>
      <c r="B94" s="11">
        <f>+MONTH(A94)</f>
        <v>1</v>
      </c>
      <c r="C94" s="11">
        <f>+WEEKNUM(A94)</f>
        <v>5</v>
      </c>
      <c r="D94" s="3" t="s">
        <v>2045</v>
      </c>
      <c r="E94" s="3" t="s">
        <v>4035</v>
      </c>
      <c r="F94" s="3">
        <v>573115675533</v>
      </c>
      <c r="G94" s="3">
        <v>78072</v>
      </c>
      <c r="H94" s="34" t="s">
        <v>12</v>
      </c>
      <c r="I94" s="34" t="s">
        <v>13</v>
      </c>
      <c r="J94" s="3" t="s">
        <v>4034</v>
      </c>
      <c r="K94" s="3" t="s">
        <v>23</v>
      </c>
      <c r="L94" s="3"/>
      <c r="M94" s="3" t="s">
        <v>2822</v>
      </c>
      <c r="N94" s="17"/>
      <c r="O94" s="17"/>
    </row>
    <row r="95" spans="1:15" ht="25.5" x14ac:dyDescent="0.2">
      <c r="A95" s="21">
        <v>46051</v>
      </c>
      <c r="B95" s="11">
        <f>+MONTH(A95)</f>
        <v>1</v>
      </c>
      <c r="C95" s="11">
        <f>+WEEKNUM(A95)</f>
        <v>5</v>
      </c>
      <c r="D95" s="3" t="s">
        <v>4033</v>
      </c>
      <c r="E95" s="3" t="s">
        <v>4032</v>
      </c>
      <c r="F95" s="3">
        <v>573214363958</v>
      </c>
      <c r="G95" s="3">
        <v>77331</v>
      </c>
      <c r="H95" s="34" t="s">
        <v>12</v>
      </c>
      <c r="I95" s="34" t="s">
        <v>13</v>
      </c>
      <c r="J95" s="3" t="s">
        <v>4031</v>
      </c>
      <c r="K95" s="3" t="s">
        <v>23</v>
      </c>
      <c r="L95" s="3"/>
      <c r="M95" s="3" t="s">
        <v>2822</v>
      </c>
      <c r="N95" s="17"/>
      <c r="O95" s="17"/>
    </row>
    <row r="96" spans="1:15" ht="25.5" x14ac:dyDescent="0.2">
      <c r="A96" s="21">
        <v>46051</v>
      </c>
      <c r="B96" s="11">
        <f>+MONTH(A96)</f>
        <v>1</v>
      </c>
      <c r="C96" s="11">
        <f>+WEEKNUM(A96)</f>
        <v>5</v>
      </c>
      <c r="D96" s="3" t="s">
        <v>1988</v>
      </c>
      <c r="E96" s="3" t="s">
        <v>4030</v>
      </c>
      <c r="F96" s="3">
        <v>573114521301</v>
      </c>
      <c r="G96" s="3">
        <v>78142</v>
      </c>
      <c r="H96" s="34" t="s">
        <v>12</v>
      </c>
      <c r="I96" s="34" t="s">
        <v>13</v>
      </c>
      <c r="J96" s="3" t="s">
        <v>4029</v>
      </c>
      <c r="K96" s="3" t="s">
        <v>23</v>
      </c>
      <c r="L96" s="3"/>
      <c r="M96" s="3" t="s">
        <v>4028</v>
      </c>
      <c r="N96" s="17"/>
      <c r="O96" s="17"/>
    </row>
    <row r="97" spans="1:15" ht="12.75" x14ac:dyDescent="0.2">
      <c r="A97" s="21">
        <v>46051</v>
      </c>
      <c r="B97" s="11">
        <f>+MONTH(A97)</f>
        <v>1</v>
      </c>
      <c r="C97" s="11">
        <f>+WEEKNUM(A97)</f>
        <v>5</v>
      </c>
      <c r="D97" s="3" t="s">
        <v>4027</v>
      </c>
      <c r="E97" s="3" t="s">
        <v>4026</v>
      </c>
      <c r="F97" s="3">
        <v>573154861588</v>
      </c>
      <c r="G97" s="3">
        <v>77515</v>
      </c>
      <c r="H97" s="34" t="s">
        <v>12</v>
      </c>
      <c r="I97" s="34" t="s">
        <v>13</v>
      </c>
      <c r="J97" s="3" t="s">
        <v>4025</v>
      </c>
      <c r="K97" s="3" t="s">
        <v>23</v>
      </c>
      <c r="L97" s="3"/>
      <c r="M97" s="3" t="s">
        <v>4024</v>
      </c>
      <c r="N97" s="17"/>
      <c r="O97" s="17"/>
    </row>
    <row r="98" spans="1:15" ht="25.5" x14ac:dyDescent="0.2">
      <c r="A98" s="21">
        <v>46051</v>
      </c>
      <c r="B98" s="11">
        <f>+MONTH(A98)</f>
        <v>1</v>
      </c>
      <c r="C98" s="11">
        <f>+WEEKNUM(A98)</f>
        <v>5</v>
      </c>
      <c r="D98" s="3" t="s">
        <v>1560</v>
      </c>
      <c r="E98" s="3" t="s">
        <v>4023</v>
      </c>
      <c r="F98" s="3">
        <v>573107711289</v>
      </c>
      <c r="G98" s="3">
        <v>78010</v>
      </c>
      <c r="H98" s="34" t="s">
        <v>12</v>
      </c>
      <c r="I98" s="34" t="s">
        <v>13</v>
      </c>
      <c r="J98" s="3" t="s">
        <v>4022</v>
      </c>
      <c r="K98" s="3" t="s">
        <v>23</v>
      </c>
      <c r="L98" s="3"/>
      <c r="M98" s="3">
        <v>93</v>
      </c>
      <c r="N98" s="17"/>
      <c r="O98" s="17"/>
    </row>
    <row r="99" spans="1:15" ht="12.75" x14ac:dyDescent="0.2">
      <c r="A99" s="21">
        <v>46051</v>
      </c>
      <c r="B99" s="11">
        <f>+MONTH(A99)</f>
        <v>1</v>
      </c>
      <c r="C99" s="11">
        <f>+WEEKNUM(A99)</f>
        <v>5</v>
      </c>
      <c r="D99" s="3" t="s">
        <v>4021</v>
      </c>
      <c r="E99" s="3" t="s">
        <v>4020</v>
      </c>
      <c r="F99" s="3">
        <v>573116260770</v>
      </c>
      <c r="G99" s="3">
        <v>77551</v>
      </c>
      <c r="H99" s="34" t="s">
        <v>22</v>
      </c>
      <c r="I99" s="34" t="s">
        <v>13</v>
      </c>
      <c r="J99" s="3" t="s">
        <v>4019</v>
      </c>
      <c r="K99" s="3"/>
      <c r="L99" s="3"/>
      <c r="M99" s="3" t="s">
        <v>4018</v>
      </c>
      <c r="N99" s="17"/>
      <c r="O99" s="17"/>
    </row>
    <row r="100" spans="1:15" ht="25.5" x14ac:dyDescent="0.2">
      <c r="A100" s="21">
        <v>46051</v>
      </c>
      <c r="B100" s="11">
        <f>+MONTH(A100)</f>
        <v>1</v>
      </c>
      <c r="C100" s="11">
        <f>+WEEKNUM(A100)</f>
        <v>5</v>
      </c>
      <c r="D100" s="3" t="s">
        <v>1402</v>
      </c>
      <c r="E100" s="3" t="s">
        <v>4017</v>
      </c>
      <c r="F100" s="3">
        <v>573183813734</v>
      </c>
      <c r="G100" s="3">
        <v>77806</v>
      </c>
      <c r="H100" s="34" t="s">
        <v>12</v>
      </c>
      <c r="I100" s="34" t="s">
        <v>13</v>
      </c>
      <c r="J100" s="3" t="s">
        <v>174</v>
      </c>
      <c r="K100" s="3" t="s">
        <v>23</v>
      </c>
      <c r="L100" s="3"/>
      <c r="M100" s="3" t="s">
        <v>2784</v>
      </c>
      <c r="N100" s="17"/>
      <c r="O100" s="17"/>
    </row>
    <row r="101" spans="1:15" ht="25.5" x14ac:dyDescent="0.2">
      <c r="A101" s="21">
        <v>46051</v>
      </c>
      <c r="B101" s="11">
        <f>+MONTH(A101)</f>
        <v>1</v>
      </c>
      <c r="C101" s="11">
        <f>+WEEKNUM(A101)</f>
        <v>5</v>
      </c>
      <c r="D101" s="3" t="s">
        <v>1978</v>
      </c>
      <c r="E101" s="3" t="s">
        <v>4016</v>
      </c>
      <c r="F101" s="3">
        <v>573103327973</v>
      </c>
      <c r="G101" s="3">
        <v>77579</v>
      </c>
      <c r="H101" s="34" t="s">
        <v>12</v>
      </c>
      <c r="I101" s="34" t="s">
        <v>13</v>
      </c>
      <c r="J101" s="3" t="s">
        <v>4015</v>
      </c>
      <c r="K101" s="3" t="s">
        <v>23</v>
      </c>
      <c r="L101" s="3"/>
      <c r="M101" s="3" t="s">
        <v>2784</v>
      </c>
      <c r="N101" s="17"/>
      <c r="O101" s="17"/>
    </row>
    <row r="102" spans="1:15" ht="25.5" x14ac:dyDescent="0.2">
      <c r="A102" s="21">
        <v>46051</v>
      </c>
      <c r="B102" s="11">
        <f>+MONTH(A102)</f>
        <v>1</v>
      </c>
      <c r="C102" s="11">
        <f>+WEEKNUM(A102)</f>
        <v>5</v>
      </c>
      <c r="D102" s="3" t="s">
        <v>4014</v>
      </c>
      <c r="E102" s="3" t="s">
        <v>4013</v>
      </c>
      <c r="F102" s="3">
        <v>573158160724</v>
      </c>
      <c r="G102" s="3">
        <v>77734</v>
      </c>
      <c r="H102" s="34" t="s">
        <v>12</v>
      </c>
      <c r="I102" s="34" t="s">
        <v>13</v>
      </c>
      <c r="J102" s="3"/>
      <c r="K102" s="3" t="s">
        <v>23</v>
      </c>
      <c r="L102" s="3"/>
      <c r="M102" s="3" t="s">
        <v>257</v>
      </c>
      <c r="N102" s="17"/>
      <c r="O102" s="17"/>
    </row>
    <row r="103" spans="1:15" ht="51" x14ac:dyDescent="0.2">
      <c r="A103" s="21">
        <v>46050</v>
      </c>
      <c r="B103" s="11">
        <f>+MONTH(A103)</f>
        <v>1</v>
      </c>
      <c r="C103" s="11">
        <f>+WEEKNUM(A103)</f>
        <v>5</v>
      </c>
      <c r="D103" s="3" t="s">
        <v>4012</v>
      </c>
      <c r="E103" s="3" t="s">
        <v>4011</v>
      </c>
      <c r="F103" s="3">
        <v>573143960137</v>
      </c>
      <c r="G103" s="3">
        <v>77603</v>
      </c>
      <c r="H103" s="34" t="s">
        <v>12</v>
      </c>
      <c r="I103" s="34" t="s">
        <v>13</v>
      </c>
      <c r="J103" s="3" t="s">
        <v>4010</v>
      </c>
      <c r="K103" s="3" t="s">
        <v>23</v>
      </c>
      <c r="L103" s="3"/>
      <c r="M103" s="3" t="s">
        <v>3169</v>
      </c>
      <c r="N103" s="17"/>
      <c r="O103" s="17"/>
    </row>
    <row r="104" spans="1:15" ht="25.5" x14ac:dyDescent="0.2">
      <c r="A104" s="21">
        <v>46050</v>
      </c>
      <c r="B104" s="11">
        <f>+MONTH(A104)</f>
        <v>1</v>
      </c>
      <c r="C104" s="11">
        <f>+WEEKNUM(A104)</f>
        <v>5</v>
      </c>
      <c r="D104" s="3" t="s">
        <v>1479</v>
      </c>
      <c r="E104" s="3" t="s">
        <v>2593</v>
      </c>
      <c r="F104" s="3">
        <v>573143376516</v>
      </c>
      <c r="G104" s="3">
        <v>77432</v>
      </c>
      <c r="H104" s="34" t="s">
        <v>12</v>
      </c>
      <c r="I104" s="34" t="s">
        <v>13</v>
      </c>
      <c r="J104" s="3" t="s">
        <v>61</v>
      </c>
      <c r="K104" s="3" t="s">
        <v>23</v>
      </c>
      <c r="L104" s="3"/>
      <c r="M104" s="3" t="s">
        <v>257</v>
      </c>
      <c r="N104" s="17"/>
      <c r="O104" s="17"/>
    </row>
    <row r="105" spans="1:15" ht="25.5" x14ac:dyDescent="0.2">
      <c r="A105" s="21">
        <v>46050</v>
      </c>
      <c r="B105" s="11">
        <f>+MONTH(A105)</f>
        <v>1</v>
      </c>
      <c r="C105" s="11">
        <f>+WEEKNUM(A105)</f>
        <v>5</v>
      </c>
      <c r="D105" s="3" t="s">
        <v>1946</v>
      </c>
      <c r="E105" s="3" t="s">
        <v>1947</v>
      </c>
      <c r="F105" s="3">
        <v>573107671753</v>
      </c>
      <c r="G105" s="3">
        <v>77921</v>
      </c>
      <c r="H105" s="34" t="s">
        <v>12</v>
      </c>
      <c r="I105" s="34" t="s">
        <v>13</v>
      </c>
      <c r="J105" s="3" t="s">
        <v>4009</v>
      </c>
      <c r="K105" s="3" t="s">
        <v>23</v>
      </c>
      <c r="L105" s="3"/>
      <c r="M105" s="3" t="s">
        <v>2782</v>
      </c>
      <c r="N105" s="17"/>
      <c r="O105" s="17"/>
    </row>
    <row r="106" spans="1:15" ht="12.75" x14ac:dyDescent="0.2">
      <c r="A106" s="21">
        <v>46050</v>
      </c>
      <c r="B106" s="11">
        <f>+MONTH(A106)</f>
        <v>1</v>
      </c>
      <c r="C106" s="11">
        <f>+WEEKNUM(A106)</f>
        <v>5</v>
      </c>
      <c r="D106" s="3" t="s">
        <v>2543</v>
      </c>
      <c r="E106" s="3" t="s">
        <v>1776</v>
      </c>
      <c r="F106" s="3">
        <v>573144178942</v>
      </c>
      <c r="G106" s="3">
        <v>78031</v>
      </c>
      <c r="H106" s="34" t="s">
        <v>12</v>
      </c>
      <c r="I106" s="34" t="s">
        <v>13</v>
      </c>
      <c r="J106" s="3" t="s">
        <v>4008</v>
      </c>
      <c r="K106" s="3" t="s">
        <v>23</v>
      </c>
      <c r="L106" s="3"/>
      <c r="M106" s="3" t="s">
        <v>2784</v>
      </c>
      <c r="N106" s="17"/>
      <c r="O106" s="17"/>
    </row>
    <row r="107" spans="1:15" ht="25.5" x14ac:dyDescent="0.2">
      <c r="A107" s="21">
        <v>46050</v>
      </c>
      <c r="B107" s="11">
        <f>+MONTH(A107)</f>
        <v>1</v>
      </c>
      <c r="C107" s="11">
        <f>+WEEKNUM(A107)</f>
        <v>5</v>
      </c>
      <c r="D107" s="3" t="s">
        <v>2052</v>
      </c>
      <c r="E107" s="3" t="s">
        <v>2053</v>
      </c>
      <c r="F107" s="3">
        <v>573017496991</v>
      </c>
      <c r="G107" s="3">
        <v>77585</v>
      </c>
      <c r="H107" s="34" t="s">
        <v>12</v>
      </c>
      <c r="I107" s="34" t="s">
        <v>13</v>
      </c>
      <c r="J107" s="3" t="s">
        <v>4007</v>
      </c>
      <c r="K107" s="3" t="s">
        <v>23</v>
      </c>
      <c r="L107" s="3"/>
      <c r="M107" s="3" t="s">
        <v>2810</v>
      </c>
      <c r="N107" s="17"/>
      <c r="O107" s="17"/>
    </row>
    <row r="108" spans="1:15" ht="25.5" x14ac:dyDescent="0.2">
      <c r="A108" s="21">
        <v>46050</v>
      </c>
      <c r="B108" s="11">
        <f>+MONTH(A108)</f>
        <v>1</v>
      </c>
      <c r="C108" s="11">
        <f>+WEEKNUM(A108)</f>
        <v>5</v>
      </c>
      <c r="D108" s="3" t="s">
        <v>1470</v>
      </c>
      <c r="E108" s="3" t="s">
        <v>1363</v>
      </c>
      <c r="F108" s="3">
        <v>573223877133</v>
      </c>
      <c r="G108" s="3">
        <v>76754</v>
      </c>
      <c r="H108" s="34" t="s">
        <v>22</v>
      </c>
      <c r="I108" s="34" t="s">
        <v>22</v>
      </c>
      <c r="J108" s="44" t="s">
        <v>4006</v>
      </c>
      <c r="K108" s="3"/>
      <c r="L108" s="3"/>
      <c r="M108" s="3" t="s">
        <v>2822</v>
      </c>
      <c r="N108" s="17"/>
      <c r="O108" s="17"/>
    </row>
    <row r="109" spans="1:15" ht="25.5" x14ac:dyDescent="0.2">
      <c r="A109" s="21">
        <v>46050</v>
      </c>
      <c r="B109" s="11">
        <f>+MONTH(A109)</f>
        <v>1</v>
      </c>
      <c r="C109" s="11">
        <f>+WEEKNUM(A109)</f>
        <v>5</v>
      </c>
      <c r="D109" s="3" t="s">
        <v>4005</v>
      </c>
      <c r="E109" s="3" t="s">
        <v>4004</v>
      </c>
      <c r="F109" s="3">
        <v>573208909934</v>
      </c>
      <c r="G109" s="3">
        <v>78033</v>
      </c>
      <c r="H109" s="34" t="s">
        <v>12</v>
      </c>
      <c r="I109" s="34" t="s">
        <v>13</v>
      </c>
      <c r="J109" s="3" t="s">
        <v>4003</v>
      </c>
      <c r="K109" s="3" t="s">
        <v>23</v>
      </c>
      <c r="L109" s="3"/>
      <c r="M109" s="3" t="s">
        <v>4002</v>
      </c>
      <c r="N109" s="17"/>
      <c r="O109" s="17"/>
    </row>
    <row r="110" spans="1:15" ht="25.5" x14ac:dyDescent="0.2">
      <c r="A110" s="21">
        <v>46050</v>
      </c>
      <c r="B110" s="11">
        <f>+MONTH(A110)</f>
        <v>1</v>
      </c>
      <c r="C110" s="11">
        <f>+WEEKNUM(A110)</f>
        <v>5</v>
      </c>
      <c r="D110" s="3" t="s">
        <v>4001</v>
      </c>
      <c r="E110" s="3" t="s">
        <v>4000</v>
      </c>
      <c r="F110" s="3">
        <v>573214877766</v>
      </c>
      <c r="G110" s="3">
        <v>77960</v>
      </c>
      <c r="H110" s="34" t="s">
        <v>12</v>
      </c>
      <c r="I110" s="34" t="s">
        <v>13</v>
      </c>
      <c r="J110" s="3" t="s">
        <v>3999</v>
      </c>
      <c r="K110" s="3" t="s">
        <v>23</v>
      </c>
      <c r="L110" s="3"/>
      <c r="M110" s="3" t="s">
        <v>3998</v>
      </c>
      <c r="N110" s="17"/>
      <c r="O110" s="17"/>
    </row>
    <row r="111" spans="1:15" ht="25.5" x14ac:dyDescent="0.2">
      <c r="A111" s="21">
        <v>46050</v>
      </c>
      <c r="B111" s="11">
        <f>+MONTH(A111)</f>
        <v>1</v>
      </c>
      <c r="C111" s="11">
        <f>+WEEKNUM(A111)</f>
        <v>5</v>
      </c>
      <c r="D111" s="3" t="s">
        <v>3997</v>
      </c>
      <c r="E111" s="3" t="s">
        <v>3996</v>
      </c>
      <c r="F111" s="3">
        <v>573186337609</v>
      </c>
      <c r="G111" s="3">
        <v>77440</v>
      </c>
      <c r="H111" s="34" t="s">
        <v>12</v>
      </c>
      <c r="I111" s="34" t="s">
        <v>13</v>
      </c>
      <c r="J111" s="3" t="s">
        <v>3995</v>
      </c>
      <c r="K111" s="3" t="s">
        <v>23</v>
      </c>
      <c r="L111" s="3"/>
      <c r="M111" s="3" t="s">
        <v>2784</v>
      </c>
      <c r="N111" s="17"/>
      <c r="O111" s="17"/>
    </row>
    <row r="112" spans="1:15" ht="25.5" x14ac:dyDescent="0.2">
      <c r="A112" s="21">
        <v>46050</v>
      </c>
      <c r="B112" s="11">
        <f>+MONTH(A112)</f>
        <v>1</v>
      </c>
      <c r="C112" s="11">
        <f>+WEEKNUM(A112)</f>
        <v>5</v>
      </c>
      <c r="D112" s="3" t="s">
        <v>1978</v>
      </c>
      <c r="E112" s="3" t="s">
        <v>3994</v>
      </c>
      <c r="F112" s="3">
        <v>573106137241</v>
      </c>
      <c r="G112" s="3">
        <v>76628</v>
      </c>
      <c r="H112" s="34" t="s">
        <v>12</v>
      </c>
      <c r="I112" s="34" t="s">
        <v>13</v>
      </c>
      <c r="J112" s="3" t="s">
        <v>3993</v>
      </c>
      <c r="K112" s="3" t="s">
        <v>23</v>
      </c>
      <c r="L112" s="3"/>
      <c r="M112" s="3" t="s">
        <v>3243</v>
      </c>
      <c r="N112" s="17"/>
      <c r="O112" s="17"/>
    </row>
    <row r="113" spans="1:15" ht="12.75" x14ac:dyDescent="0.2">
      <c r="A113" s="21">
        <v>46050</v>
      </c>
      <c r="B113" s="11">
        <f>+MONTH(A113)</f>
        <v>1</v>
      </c>
      <c r="C113" s="11">
        <f>+WEEKNUM(A113)</f>
        <v>5</v>
      </c>
      <c r="D113" s="3" t="s">
        <v>2334</v>
      </c>
      <c r="E113" s="3" t="s">
        <v>2665</v>
      </c>
      <c r="F113" s="3">
        <v>573204825863</v>
      </c>
      <c r="G113" s="3">
        <v>77894</v>
      </c>
      <c r="H113" s="34" t="s">
        <v>12</v>
      </c>
      <c r="I113" s="34" t="s">
        <v>13</v>
      </c>
      <c r="J113" s="3" t="s">
        <v>3992</v>
      </c>
      <c r="K113" s="3" t="s">
        <v>23</v>
      </c>
      <c r="L113" s="3"/>
      <c r="M113" s="3" t="s">
        <v>257</v>
      </c>
      <c r="N113" s="17"/>
      <c r="O113" s="17"/>
    </row>
    <row r="114" spans="1:15" ht="25.5" x14ac:dyDescent="0.2">
      <c r="A114" s="21">
        <v>46050</v>
      </c>
      <c r="B114" s="11">
        <f>+MONTH(A114)</f>
        <v>1</v>
      </c>
      <c r="C114" s="11">
        <f>+WEEKNUM(A114)</f>
        <v>5</v>
      </c>
      <c r="D114" s="3" t="s">
        <v>2916</v>
      </c>
      <c r="E114" s="3" t="s">
        <v>3991</v>
      </c>
      <c r="F114" s="3">
        <v>573166683936</v>
      </c>
      <c r="G114" s="3">
        <v>77879</v>
      </c>
      <c r="H114" s="34" t="s">
        <v>12</v>
      </c>
      <c r="I114" s="34" t="s">
        <v>13</v>
      </c>
      <c r="J114" s="3" t="s">
        <v>3990</v>
      </c>
      <c r="K114" s="3" t="s">
        <v>23</v>
      </c>
      <c r="L114" s="3"/>
      <c r="M114" s="3" t="s">
        <v>3243</v>
      </c>
      <c r="N114" s="17"/>
      <c r="O114" s="17"/>
    </row>
    <row r="115" spans="1:15" ht="25.5" x14ac:dyDescent="0.2">
      <c r="A115" s="21">
        <v>46050</v>
      </c>
      <c r="B115" s="11">
        <f>+MONTH(A115)</f>
        <v>1</v>
      </c>
      <c r="C115" s="11">
        <f>+WEEKNUM(A115)</f>
        <v>5</v>
      </c>
      <c r="D115" s="3" t="s">
        <v>3989</v>
      </c>
      <c r="E115" s="3" t="s">
        <v>3988</v>
      </c>
      <c r="F115" s="3">
        <v>573133471101</v>
      </c>
      <c r="G115" s="3">
        <v>77893</v>
      </c>
      <c r="H115" s="34" t="s">
        <v>12</v>
      </c>
      <c r="I115" s="34" t="s">
        <v>13</v>
      </c>
      <c r="J115" s="3" t="s">
        <v>3987</v>
      </c>
      <c r="K115" s="3" t="s">
        <v>23</v>
      </c>
      <c r="L115" s="3"/>
      <c r="M115" s="3" t="s">
        <v>2780</v>
      </c>
      <c r="N115" s="17"/>
      <c r="O115" s="17"/>
    </row>
    <row r="116" spans="1:15" ht="25.5" x14ac:dyDescent="0.2">
      <c r="A116" s="21">
        <v>46050</v>
      </c>
      <c r="B116" s="11">
        <f>+MONTH(A116)</f>
        <v>1</v>
      </c>
      <c r="C116" s="11">
        <f>+WEEKNUM(A116)</f>
        <v>5</v>
      </c>
      <c r="D116" s="3" t="s">
        <v>3986</v>
      </c>
      <c r="E116" s="3" t="s">
        <v>3985</v>
      </c>
      <c r="F116" s="3">
        <v>573057260196</v>
      </c>
      <c r="G116" s="3">
        <v>78053</v>
      </c>
      <c r="H116" s="34" t="s">
        <v>12</v>
      </c>
      <c r="I116" s="34" t="s">
        <v>13</v>
      </c>
      <c r="J116" s="3" t="s">
        <v>3984</v>
      </c>
      <c r="K116" s="3" t="s">
        <v>23</v>
      </c>
      <c r="L116" s="3"/>
      <c r="M116" s="3" t="s">
        <v>2784</v>
      </c>
      <c r="N116" s="17"/>
      <c r="O116" s="17"/>
    </row>
    <row r="117" spans="1:15" ht="12.75" x14ac:dyDescent="0.2">
      <c r="A117" s="21">
        <v>46050</v>
      </c>
      <c r="B117" s="11">
        <f>+MONTH(A117)</f>
        <v>1</v>
      </c>
      <c r="C117" s="11">
        <f>+WEEKNUM(A117)</f>
        <v>5</v>
      </c>
      <c r="D117" s="3" t="s">
        <v>3492</v>
      </c>
      <c r="E117" s="3" t="s">
        <v>3491</v>
      </c>
      <c r="F117" s="3">
        <v>573213477203</v>
      </c>
      <c r="G117" s="3">
        <v>76548</v>
      </c>
      <c r="H117" s="34" t="s">
        <v>22</v>
      </c>
      <c r="I117" s="34" t="s">
        <v>22</v>
      </c>
      <c r="J117" s="44" t="s">
        <v>3983</v>
      </c>
      <c r="K117" s="3" t="s">
        <v>14</v>
      </c>
      <c r="L117" s="3"/>
      <c r="M117" s="3" t="s">
        <v>2810</v>
      </c>
      <c r="N117" s="17"/>
      <c r="O117" s="17"/>
    </row>
    <row r="118" spans="1:15" ht="25.5" x14ac:dyDescent="0.2">
      <c r="A118" s="21">
        <v>46050</v>
      </c>
      <c r="B118" s="11">
        <f>+MONTH(A118)</f>
        <v>1</v>
      </c>
      <c r="C118" s="11">
        <f>+WEEKNUM(A118)</f>
        <v>5</v>
      </c>
      <c r="D118" s="3" t="s">
        <v>1640</v>
      </c>
      <c r="E118" s="3" t="s">
        <v>3982</v>
      </c>
      <c r="F118" s="3">
        <v>573015923013</v>
      </c>
      <c r="G118" s="3">
        <v>77887</v>
      </c>
      <c r="H118" s="34" t="s">
        <v>12</v>
      </c>
      <c r="I118" s="34" t="s">
        <v>13</v>
      </c>
      <c r="J118" s="3" t="s">
        <v>3981</v>
      </c>
      <c r="K118" s="3" t="s">
        <v>23</v>
      </c>
      <c r="L118" s="3"/>
      <c r="M118" s="3" t="s">
        <v>3980</v>
      </c>
      <c r="N118" s="17"/>
      <c r="O118" s="17"/>
    </row>
    <row r="119" spans="1:15" ht="25.5" x14ac:dyDescent="0.2">
      <c r="A119" s="21">
        <v>46049</v>
      </c>
      <c r="B119" s="11">
        <f>+MONTH(A119)</f>
        <v>1</v>
      </c>
      <c r="C119" s="11">
        <f>+WEEKNUM(A119)</f>
        <v>5</v>
      </c>
      <c r="D119" s="3" t="s">
        <v>3291</v>
      </c>
      <c r="E119" s="3" t="s">
        <v>3979</v>
      </c>
      <c r="F119" s="3">
        <v>573164796459</v>
      </c>
      <c r="G119" s="3">
        <v>77610</v>
      </c>
      <c r="H119" s="34" t="s">
        <v>12</v>
      </c>
      <c r="I119" s="34" t="s">
        <v>13</v>
      </c>
      <c r="J119" s="3" t="s">
        <v>3978</v>
      </c>
      <c r="K119" s="3" t="s">
        <v>23</v>
      </c>
      <c r="L119" s="3"/>
      <c r="M119" s="3" t="s">
        <v>2793</v>
      </c>
      <c r="N119" s="17"/>
      <c r="O119" s="17"/>
    </row>
    <row r="120" spans="1:15" ht="25.5" x14ac:dyDescent="0.2">
      <c r="A120" s="21">
        <v>46049</v>
      </c>
      <c r="B120" s="11">
        <f>+MONTH(A120)</f>
        <v>1</v>
      </c>
      <c r="C120" s="11">
        <f>+WEEKNUM(A120)</f>
        <v>5</v>
      </c>
      <c r="D120" s="3" t="s">
        <v>3977</v>
      </c>
      <c r="E120" s="3" t="s">
        <v>3976</v>
      </c>
      <c r="F120" s="3">
        <v>573133945432</v>
      </c>
      <c r="G120" s="3">
        <v>77751</v>
      </c>
      <c r="H120" s="34" t="s">
        <v>12</v>
      </c>
      <c r="I120" s="34" t="s">
        <v>13</v>
      </c>
      <c r="J120" s="3" t="s">
        <v>2094</v>
      </c>
      <c r="K120" s="3" t="s">
        <v>23</v>
      </c>
      <c r="L120" s="3"/>
      <c r="M120" s="3" t="s">
        <v>3975</v>
      </c>
      <c r="N120" s="17"/>
      <c r="O120" s="17"/>
    </row>
    <row r="121" spans="1:15" ht="12.75" x14ac:dyDescent="0.2">
      <c r="A121" s="21">
        <v>46049</v>
      </c>
      <c r="B121" s="11">
        <f>+MONTH(A121)</f>
        <v>1</v>
      </c>
      <c r="C121" s="11">
        <f>+WEEKNUM(A121)</f>
        <v>5</v>
      </c>
      <c r="D121" s="3" t="s">
        <v>2726</v>
      </c>
      <c r="E121" s="3" t="s">
        <v>3974</v>
      </c>
      <c r="F121" s="3">
        <v>573118535531</v>
      </c>
      <c r="G121" s="3">
        <v>77653</v>
      </c>
      <c r="H121" s="34" t="s">
        <v>12</v>
      </c>
      <c r="I121" s="34" t="s">
        <v>13</v>
      </c>
      <c r="J121" s="3" t="s">
        <v>3973</v>
      </c>
      <c r="K121" s="3" t="s">
        <v>23</v>
      </c>
      <c r="L121" s="3"/>
      <c r="M121" s="3" t="s">
        <v>3092</v>
      </c>
      <c r="N121" s="17"/>
      <c r="O121" s="17"/>
    </row>
    <row r="122" spans="1:15" ht="38.25" x14ac:dyDescent="0.2">
      <c r="A122" s="21">
        <v>46049</v>
      </c>
      <c r="B122" s="11">
        <f>+MONTH(A122)</f>
        <v>1</v>
      </c>
      <c r="C122" s="11">
        <f>+WEEKNUM(A122)</f>
        <v>5</v>
      </c>
      <c r="D122" s="3" t="s">
        <v>3972</v>
      </c>
      <c r="E122" s="3" t="s">
        <v>3971</v>
      </c>
      <c r="F122" s="3">
        <v>573224719438</v>
      </c>
      <c r="G122" s="3">
        <v>76568</v>
      </c>
      <c r="H122" s="34" t="s">
        <v>12</v>
      </c>
      <c r="I122" s="34" t="s">
        <v>13</v>
      </c>
      <c r="J122" s="3" t="s">
        <v>174</v>
      </c>
      <c r="K122" s="3" t="s">
        <v>23</v>
      </c>
      <c r="L122" s="3"/>
      <c r="M122" s="3" t="s">
        <v>3970</v>
      </c>
      <c r="N122" s="17"/>
      <c r="O122" s="17"/>
    </row>
    <row r="123" spans="1:15" ht="38.25" x14ac:dyDescent="0.2">
      <c r="A123" s="21">
        <v>46049</v>
      </c>
      <c r="B123" s="11">
        <f>+MONTH(A123)</f>
        <v>1</v>
      </c>
      <c r="C123" s="11">
        <f>+WEEKNUM(A123)</f>
        <v>5</v>
      </c>
      <c r="D123" s="3" t="s">
        <v>2162</v>
      </c>
      <c r="E123" s="3" t="s">
        <v>3969</v>
      </c>
      <c r="F123" s="3">
        <v>573002491271</v>
      </c>
      <c r="G123" s="3">
        <v>77541</v>
      </c>
      <c r="H123" s="34" t="s">
        <v>12</v>
      </c>
      <c r="I123" s="34" t="s">
        <v>13</v>
      </c>
      <c r="J123" s="3" t="s">
        <v>3968</v>
      </c>
      <c r="K123" s="3" t="s">
        <v>23</v>
      </c>
      <c r="L123" s="3"/>
      <c r="M123" s="3" t="s">
        <v>3941</v>
      </c>
      <c r="N123" s="17"/>
      <c r="O123" s="17"/>
    </row>
    <row r="124" spans="1:15" ht="25.5" x14ac:dyDescent="0.2">
      <c r="A124" s="21">
        <v>46049</v>
      </c>
      <c r="B124" s="11">
        <f>+MONTH(A124)</f>
        <v>1</v>
      </c>
      <c r="C124" s="11">
        <f>+WEEKNUM(A124)</f>
        <v>5</v>
      </c>
      <c r="D124" s="3" t="s">
        <v>3967</v>
      </c>
      <c r="E124" s="3" t="s">
        <v>3966</v>
      </c>
      <c r="F124" s="3">
        <v>573144342857</v>
      </c>
      <c r="G124" s="3">
        <v>77929</v>
      </c>
      <c r="H124" s="34" t="s">
        <v>12</v>
      </c>
      <c r="I124" s="34" t="s">
        <v>13</v>
      </c>
      <c r="J124" s="3" t="s">
        <v>3965</v>
      </c>
      <c r="K124" s="3" t="s">
        <v>23</v>
      </c>
      <c r="L124" s="3"/>
      <c r="M124" s="3" t="s">
        <v>3169</v>
      </c>
      <c r="N124" s="17"/>
      <c r="O124" s="17"/>
    </row>
    <row r="125" spans="1:15" ht="25.5" x14ac:dyDescent="0.2">
      <c r="A125" s="21">
        <v>46049</v>
      </c>
      <c r="B125" s="11">
        <f>+MONTH(A125)</f>
        <v>1</v>
      </c>
      <c r="C125" s="11">
        <f>+WEEKNUM(A125)</f>
        <v>5</v>
      </c>
      <c r="D125" s="3" t="s">
        <v>3964</v>
      </c>
      <c r="E125" s="3" t="s">
        <v>3963</v>
      </c>
      <c r="F125" s="3">
        <v>573112857280</v>
      </c>
      <c r="G125" s="3">
        <v>77684</v>
      </c>
      <c r="H125" s="34" t="s">
        <v>12</v>
      </c>
      <c r="I125" s="34" t="s">
        <v>13</v>
      </c>
      <c r="J125" s="3" t="s">
        <v>3962</v>
      </c>
      <c r="K125" s="3" t="s">
        <v>23</v>
      </c>
      <c r="L125" s="3"/>
      <c r="M125" s="3" t="s">
        <v>2784</v>
      </c>
      <c r="N125" s="17"/>
      <c r="O125" s="17"/>
    </row>
    <row r="126" spans="1:15" ht="25.5" x14ac:dyDescent="0.2">
      <c r="A126" s="21">
        <v>46049</v>
      </c>
      <c r="B126" s="11">
        <f>+MONTH(A126)</f>
        <v>1</v>
      </c>
      <c r="C126" s="11">
        <f>+WEEKNUM(A126)</f>
        <v>5</v>
      </c>
      <c r="D126" s="3" t="s">
        <v>3961</v>
      </c>
      <c r="E126" s="3" t="s">
        <v>3960</v>
      </c>
      <c r="F126" s="3">
        <v>573147068490</v>
      </c>
      <c r="G126" s="3">
        <v>77620</v>
      </c>
      <c r="H126" s="34" t="s">
        <v>12</v>
      </c>
      <c r="I126" s="34" t="s">
        <v>13</v>
      </c>
      <c r="J126" s="3" t="s">
        <v>3959</v>
      </c>
      <c r="K126" s="3" t="s">
        <v>23</v>
      </c>
      <c r="L126" s="3"/>
      <c r="M126" s="3" t="s">
        <v>3958</v>
      </c>
      <c r="N126" s="17"/>
      <c r="O126" s="17"/>
    </row>
    <row r="127" spans="1:15" ht="12.75" x14ac:dyDescent="0.2">
      <c r="A127" s="21">
        <v>46049</v>
      </c>
      <c r="B127" s="11">
        <f>+MONTH(A127)</f>
        <v>1</v>
      </c>
      <c r="C127" s="11">
        <f>+WEEKNUM(A127)</f>
        <v>5</v>
      </c>
      <c r="D127" s="3" t="s">
        <v>3957</v>
      </c>
      <c r="E127" s="3" t="s">
        <v>2929</v>
      </c>
      <c r="F127" s="3">
        <v>573003669387</v>
      </c>
      <c r="G127" s="3">
        <v>77772</v>
      </c>
      <c r="H127" s="34" t="s">
        <v>12</v>
      </c>
      <c r="I127" s="34" t="s">
        <v>13</v>
      </c>
      <c r="J127" s="3" t="s">
        <v>3956</v>
      </c>
      <c r="K127" s="3" t="s">
        <v>23</v>
      </c>
      <c r="L127" s="3"/>
      <c r="M127" s="3" t="s">
        <v>2780</v>
      </c>
      <c r="N127" s="17"/>
      <c r="O127" s="17"/>
    </row>
    <row r="128" spans="1:15" ht="12.75" x14ac:dyDescent="0.2">
      <c r="A128" s="21">
        <v>46049</v>
      </c>
      <c r="B128" s="11">
        <f>+MONTH(A128)</f>
        <v>1</v>
      </c>
      <c r="C128" s="11">
        <f>+WEEKNUM(A128)</f>
        <v>5</v>
      </c>
      <c r="D128" s="3" t="s">
        <v>1752</v>
      </c>
      <c r="E128" s="3" t="s">
        <v>3955</v>
      </c>
      <c r="F128" s="3">
        <v>573214621318</v>
      </c>
      <c r="G128" s="3">
        <v>77499</v>
      </c>
      <c r="H128" s="34" t="s">
        <v>12</v>
      </c>
      <c r="I128" s="34" t="s">
        <v>13</v>
      </c>
      <c r="J128" s="3" t="s">
        <v>3954</v>
      </c>
      <c r="K128" s="3" t="s">
        <v>23</v>
      </c>
      <c r="L128" s="3"/>
      <c r="M128" s="3" t="s">
        <v>3262</v>
      </c>
      <c r="N128" s="17"/>
      <c r="O128" s="17"/>
    </row>
    <row r="129" spans="1:15" ht="38.25" x14ac:dyDescent="0.2">
      <c r="A129" s="21">
        <v>46049</v>
      </c>
      <c r="B129" s="11">
        <f>+MONTH(A129)</f>
        <v>1</v>
      </c>
      <c r="C129" s="11">
        <f>+WEEKNUM(A129)</f>
        <v>5</v>
      </c>
      <c r="D129" s="3" t="s">
        <v>3953</v>
      </c>
      <c r="E129" s="3" t="s">
        <v>3952</v>
      </c>
      <c r="F129" s="3">
        <v>573222178941</v>
      </c>
      <c r="G129" s="3">
        <v>77230</v>
      </c>
      <c r="H129" s="34" t="s">
        <v>12</v>
      </c>
      <c r="I129" s="34" t="s">
        <v>13</v>
      </c>
      <c r="J129" s="3" t="s">
        <v>3951</v>
      </c>
      <c r="K129" s="3" t="s">
        <v>23</v>
      </c>
      <c r="L129" s="3"/>
      <c r="M129" s="3" t="s">
        <v>3950</v>
      </c>
      <c r="N129" s="17"/>
      <c r="O129" s="17"/>
    </row>
    <row r="130" spans="1:15" ht="25.5" x14ac:dyDescent="0.2">
      <c r="A130" s="21">
        <v>46049</v>
      </c>
      <c r="B130" s="11">
        <f>+MONTH(A130)</f>
        <v>1</v>
      </c>
      <c r="C130" s="11">
        <f>+WEEKNUM(A130)</f>
        <v>5</v>
      </c>
      <c r="D130" s="3" t="s">
        <v>3949</v>
      </c>
      <c r="E130" s="3" t="s">
        <v>3948</v>
      </c>
      <c r="F130" s="3">
        <v>573127049250</v>
      </c>
      <c r="G130" s="3">
        <v>77412</v>
      </c>
      <c r="H130" s="34" t="s">
        <v>12</v>
      </c>
      <c r="I130" s="34" t="s">
        <v>13</v>
      </c>
      <c r="J130" s="3" t="s">
        <v>3947</v>
      </c>
      <c r="K130" s="3" t="s">
        <v>23</v>
      </c>
      <c r="L130" s="3"/>
      <c r="M130" s="3" t="s">
        <v>2822</v>
      </c>
      <c r="N130" s="17"/>
      <c r="O130" s="17"/>
    </row>
    <row r="131" spans="1:15" ht="51" x14ac:dyDescent="0.2">
      <c r="A131" s="21">
        <v>46049</v>
      </c>
      <c r="B131" s="11">
        <f>+MONTH(A131)</f>
        <v>1</v>
      </c>
      <c r="C131" s="11">
        <f>+WEEKNUM(A131)</f>
        <v>5</v>
      </c>
      <c r="D131" s="3" t="s">
        <v>1456</v>
      </c>
      <c r="E131" s="3" t="s">
        <v>3946</v>
      </c>
      <c r="F131" s="3">
        <v>573135730402</v>
      </c>
      <c r="G131" s="3">
        <v>77444</v>
      </c>
      <c r="H131" s="34" t="s">
        <v>22</v>
      </c>
      <c r="I131" s="34" t="s">
        <v>13</v>
      </c>
      <c r="J131" s="3" t="s">
        <v>3945</v>
      </c>
      <c r="K131" s="3"/>
      <c r="L131" s="3"/>
      <c r="M131" s="3" t="s">
        <v>2784</v>
      </c>
      <c r="N131" s="17"/>
      <c r="O131" s="17"/>
    </row>
    <row r="132" spans="1:15" ht="63.75" x14ac:dyDescent="0.2">
      <c r="A132" s="21">
        <v>46049</v>
      </c>
      <c r="B132" s="11">
        <f>+MONTH(A132)</f>
        <v>1</v>
      </c>
      <c r="C132" s="11">
        <f>+WEEKNUM(A132)</f>
        <v>5</v>
      </c>
      <c r="D132" s="3" t="s">
        <v>2608</v>
      </c>
      <c r="E132" s="3" t="s">
        <v>3944</v>
      </c>
      <c r="F132" s="3">
        <v>573214720560</v>
      </c>
      <c r="G132" s="3">
        <v>76808</v>
      </c>
      <c r="H132" s="34" t="s">
        <v>12</v>
      </c>
      <c r="I132" s="34" t="s">
        <v>13</v>
      </c>
      <c r="J132" s="3" t="s">
        <v>3943</v>
      </c>
      <c r="K132" s="3" t="s">
        <v>23</v>
      </c>
      <c r="L132" s="3"/>
      <c r="M132" s="3" t="s">
        <v>2884</v>
      </c>
      <c r="N132" s="17"/>
      <c r="O132" s="17"/>
    </row>
    <row r="133" spans="1:15" ht="38.25" x14ac:dyDescent="0.2">
      <c r="A133" s="21">
        <v>46049</v>
      </c>
      <c r="B133" s="11">
        <f>+MONTH(A133)</f>
        <v>1</v>
      </c>
      <c r="C133" s="11">
        <f>+WEEKNUM(A133)</f>
        <v>5</v>
      </c>
      <c r="D133" s="3" t="s">
        <v>3696</v>
      </c>
      <c r="E133" s="3" t="s">
        <v>3695</v>
      </c>
      <c r="F133" s="3">
        <v>573163048049</v>
      </c>
      <c r="G133" s="3">
        <v>77937</v>
      </c>
      <c r="H133" s="34" t="s">
        <v>12</v>
      </c>
      <c r="I133" s="34" t="s">
        <v>13</v>
      </c>
      <c r="J133" s="3" t="s">
        <v>3942</v>
      </c>
      <c r="K133" s="3" t="s">
        <v>23</v>
      </c>
      <c r="L133" s="3"/>
      <c r="M133" s="3" t="s">
        <v>3941</v>
      </c>
      <c r="N133" s="17"/>
      <c r="O133" s="17"/>
    </row>
    <row r="134" spans="1:15" ht="25.5" x14ac:dyDescent="0.2">
      <c r="A134" s="21">
        <v>46049</v>
      </c>
      <c r="B134" s="11">
        <f>+MONTH(A134)</f>
        <v>1</v>
      </c>
      <c r="C134" s="11">
        <f>+WEEKNUM(A134)</f>
        <v>5</v>
      </c>
      <c r="D134" s="3" t="s">
        <v>3117</v>
      </c>
      <c r="E134" s="3" t="s">
        <v>1591</v>
      </c>
      <c r="F134" s="3">
        <v>573202506283</v>
      </c>
      <c r="G134" s="3">
        <v>76830</v>
      </c>
      <c r="H134" s="34" t="s">
        <v>71</v>
      </c>
      <c r="I134" s="34" t="s">
        <v>13</v>
      </c>
      <c r="J134" s="3" t="s">
        <v>3940</v>
      </c>
      <c r="K134" s="3"/>
      <c r="L134" s="3"/>
      <c r="M134" s="3" t="s">
        <v>257</v>
      </c>
      <c r="N134" s="17"/>
      <c r="O134" s="17"/>
    </row>
    <row r="135" spans="1:15" ht="38.25" x14ac:dyDescent="0.2">
      <c r="A135" s="21">
        <v>46048</v>
      </c>
      <c r="B135" s="11">
        <f>+MONTH(A135)</f>
        <v>1</v>
      </c>
      <c r="C135" s="11">
        <f>+WEEKNUM(A135)</f>
        <v>5</v>
      </c>
      <c r="D135" s="3" t="s">
        <v>2000</v>
      </c>
      <c r="E135" s="3" t="s">
        <v>2001</v>
      </c>
      <c r="F135" s="3">
        <v>573112047369</v>
      </c>
      <c r="G135" s="3">
        <v>77010</v>
      </c>
      <c r="H135" s="34" t="s">
        <v>71</v>
      </c>
      <c r="I135" s="34" t="s">
        <v>13</v>
      </c>
      <c r="J135" s="3" t="s">
        <v>3939</v>
      </c>
      <c r="K135" s="3"/>
      <c r="L135" s="3"/>
      <c r="M135" s="3" t="s">
        <v>2784</v>
      </c>
      <c r="N135" s="17"/>
      <c r="O135" s="17"/>
    </row>
    <row r="136" spans="1:15" ht="25.5" x14ac:dyDescent="0.2">
      <c r="A136" s="21">
        <v>46048</v>
      </c>
      <c r="B136" s="11">
        <f>+MONTH(A136)</f>
        <v>1</v>
      </c>
      <c r="C136" s="11">
        <f>+WEEKNUM(A136)</f>
        <v>5</v>
      </c>
      <c r="D136" s="3" t="s">
        <v>1579</v>
      </c>
      <c r="E136" s="3" t="s">
        <v>3938</v>
      </c>
      <c r="F136" s="3">
        <v>573158573864</v>
      </c>
      <c r="G136" s="3">
        <v>77229</v>
      </c>
      <c r="H136" s="34" t="s">
        <v>12</v>
      </c>
      <c r="I136" s="34" t="s">
        <v>13</v>
      </c>
      <c r="J136" s="3" t="s">
        <v>3937</v>
      </c>
      <c r="K136" s="3" t="s">
        <v>23</v>
      </c>
      <c r="L136" s="3"/>
      <c r="M136" s="3" t="s">
        <v>2821</v>
      </c>
      <c r="N136" s="17"/>
      <c r="O136" s="17"/>
    </row>
    <row r="137" spans="1:15" ht="63.75" x14ac:dyDescent="0.2">
      <c r="A137" s="21">
        <v>46048</v>
      </c>
      <c r="B137" s="11">
        <f>+MONTH(A137)</f>
        <v>1</v>
      </c>
      <c r="C137" s="11">
        <f>+WEEKNUM(A137)</f>
        <v>5</v>
      </c>
      <c r="D137" s="3" t="s">
        <v>3936</v>
      </c>
      <c r="E137" s="3" t="s">
        <v>3935</v>
      </c>
      <c r="F137" s="3">
        <v>573135391923</v>
      </c>
      <c r="G137" s="3">
        <v>76886</v>
      </c>
      <c r="H137" s="34" t="s">
        <v>71</v>
      </c>
      <c r="I137" s="34" t="s">
        <v>44</v>
      </c>
      <c r="J137" s="44" t="s">
        <v>3934</v>
      </c>
      <c r="K137" s="3"/>
      <c r="L137" s="3" t="s">
        <v>3933</v>
      </c>
      <c r="M137" s="3" t="s">
        <v>2782</v>
      </c>
      <c r="N137" s="17"/>
      <c r="O137" s="17"/>
    </row>
    <row r="138" spans="1:15" ht="25.5" x14ac:dyDescent="0.2">
      <c r="A138" s="21">
        <v>46048</v>
      </c>
      <c r="B138" s="11">
        <f>+MONTH(A138)</f>
        <v>1</v>
      </c>
      <c r="C138" s="11">
        <f>+WEEKNUM(A138)</f>
        <v>5</v>
      </c>
      <c r="D138" s="3" t="s">
        <v>3932</v>
      </c>
      <c r="E138" s="3" t="s">
        <v>3931</v>
      </c>
      <c r="F138" s="3">
        <v>573132536971</v>
      </c>
      <c r="G138" s="3">
        <v>77530</v>
      </c>
      <c r="H138" s="34" t="s">
        <v>22</v>
      </c>
      <c r="I138" s="34" t="s">
        <v>13</v>
      </c>
      <c r="J138" s="3" t="s">
        <v>3930</v>
      </c>
      <c r="K138" s="3"/>
      <c r="L138" s="3"/>
      <c r="M138" s="3" t="s">
        <v>1923</v>
      </c>
      <c r="N138" s="17"/>
      <c r="O138" s="17"/>
    </row>
    <row r="139" spans="1:15" ht="25.5" x14ac:dyDescent="0.2">
      <c r="A139" s="21">
        <v>46048</v>
      </c>
      <c r="B139" s="11">
        <f>+MONTH(A139)</f>
        <v>1</v>
      </c>
      <c r="C139" s="11">
        <f>+WEEKNUM(A139)</f>
        <v>5</v>
      </c>
      <c r="D139" s="3" t="s">
        <v>3929</v>
      </c>
      <c r="E139" s="3" t="s">
        <v>3928</v>
      </c>
      <c r="F139" s="3">
        <v>573505424988</v>
      </c>
      <c r="G139" s="3">
        <v>77903</v>
      </c>
      <c r="H139" s="34" t="s">
        <v>12</v>
      </c>
      <c r="I139" s="34" t="s">
        <v>13</v>
      </c>
      <c r="J139" s="3" t="s">
        <v>3927</v>
      </c>
      <c r="K139" s="3" t="s">
        <v>23</v>
      </c>
      <c r="L139" s="3"/>
      <c r="M139" s="3" t="s">
        <v>3926</v>
      </c>
      <c r="N139" s="17"/>
      <c r="O139" s="17"/>
    </row>
    <row r="140" spans="1:15" ht="38.25" x14ac:dyDescent="0.2">
      <c r="A140" s="21">
        <v>46048</v>
      </c>
      <c r="B140" s="11">
        <f>+MONTH(A140)</f>
        <v>1</v>
      </c>
      <c r="C140" s="11">
        <f>+WEEKNUM(A140)</f>
        <v>5</v>
      </c>
      <c r="D140" s="3" t="s">
        <v>2190</v>
      </c>
      <c r="E140" s="3" t="s">
        <v>3925</v>
      </c>
      <c r="F140" s="3">
        <v>573183644054</v>
      </c>
      <c r="G140" s="3">
        <v>76889</v>
      </c>
      <c r="H140" s="34" t="s">
        <v>12</v>
      </c>
      <c r="I140" s="34" t="s">
        <v>13</v>
      </c>
      <c r="J140" s="3" t="s">
        <v>3924</v>
      </c>
      <c r="K140" s="3" t="s">
        <v>23</v>
      </c>
      <c r="L140" s="3"/>
      <c r="M140" s="3" t="s">
        <v>3923</v>
      </c>
      <c r="N140" s="17"/>
      <c r="O140" s="17"/>
    </row>
    <row r="141" spans="1:15" ht="25.5" x14ac:dyDescent="0.2">
      <c r="A141" s="21">
        <v>46048</v>
      </c>
      <c r="B141" s="11">
        <f>+MONTH(A141)</f>
        <v>1</v>
      </c>
      <c r="C141" s="11">
        <f>+WEEKNUM(A141)</f>
        <v>5</v>
      </c>
      <c r="D141" s="3" t="s">
        <v>3922</v>
      </c>
      <c r="E141" s="3" t="s">
        <v>3921</v>
      </c>
      <c r="F141" s="3">
        <v>573112838779</v>
      </c>
      <c r="G141" s="3">
        <v>77422</v>
      </c>
      <c r="H141" s="34" t="s">
        <v>12</v>
      </c>
      <c r="I141" s="34" t="s">
        <v>13</v>
      </c>
      <c r="J141" s="57">
        <v>46305</v>
      </c>
      <c r="K141" s="3" t="s">
        <v>23</v>
      </c>
      <c r="L141" s="3"/>
      <c r="M141" s="3" t="s">
        <v>3286</v>
      </c>
      <c r="N141" s="17"/>
      <c r="O141" s="17"/>
    </row>
    <row r="142" spans="1:15" ht="25.5" x14ac:dyDescent="0.2">
      <c r="A142" s="21">
        <v>46048</v>
      </c>
      <c r="B142" s="11">
        <f>+MONTH(A142)</f>
        <v>1</v>
      </c>
      <c r="C142" s="11">
        <f>+WEEKNUM(A142)</f>
        <v>5</v>
      </c>
      <c r="D142" s="3" t="s">
        <v>2162</v>
      </c>
      <c r="E142" s="3" t="s">
        <v>3920</v>
      </c>
      <c r="F142" s="3">
        <v>573016171815</v>
      </c>
      <c r="G142" s="3">
        <v>77560</v>
      </c>
      <c r="H142" s="34" t="s">
        <v>12</v>
      </c>
      <c r="I142" s="34" t="s">
        <v>13</v>
      </c>
      <c r="J142" s="3" t="s">
        <v>3919</v>
      </c>
      <c r="K142" s="3" t="s">
        <v>23</v>
      </c>
      <c r="L142" s="3"/>
      <c r="M142" s="3" t="s">
        <v>2793</v>
      </c>
      <c r="N142" s="17"/>
      <c r="O142" s="17"/>
    </row>
    <row r="143" spans="1:15" ht="12.75" x14ac:dyDescent="0.2">
      <c r="A143" s="21">
        <v>46048</v>
      </c>
      <c r="B143" s="11">
        <f>+MONTH(A143)</f>
        <v>1</v>
      </c>
      <c r="C143" s="11">
        <f>+WEEKNUM(A143)</f>
        <v>5</v>
      </c>
      <c r="D143" s="3" t="s">
        <v>3918</v>
      </c>
      <c r="E143" s="3" t="s">
        <v>2387</v>
      </c>
      <c r="F143" s="3">
        <v>573214246221</v>
      </c>
      <c r="G143" s="3">
        <v>77321</v>
      </c>
      <c r="H143" s="34" t="s">
        <v>12</v>
      </c>
      <c r="I143" s="34" t="s">
        <v>13</v>
      </c>
      <c r="J143" s="3" t="s">
        <v>3917</v>
      </c>
      <c r="K143" s="3" t="s">
        <v>23</v>
      </c>
      <c r="L143" s="3"/>
      <c r="M143" s="3" t="s">
        <v>2782</v>
      </c>
      <c r="N143" s="17"/>
      <c r="O143" s="17"/>
    </row>
    <row r="144" spans="1:15" ht="25.5" x14ac:dyDescent="0.2">
      <c r="A144" s="21">
        <v>46048</v>
      </c>
      <c r="B144" s="11">
        <f>+MONTH(A144)</f>
        <v>1</v>
      </c>
      <c r="C144" s="11">
        <f>+WEEKNUM(A144)</f>
        <v>5</v>
      </c>
      <c r="D144" s="3" t="s">
        <v>3916</v>
      </c>
      <c r="E144" s="3" t="s">
        <v>3915</v>
      </c>
      <c r="F144" s="3">
        <v>573183391809</v>
      </c>
      <c r="G144" s="3">
        <v>77330</v>
      </c>
      <c r="H144" s="34" t="s">
        <v>12</v>
      </c>
      <c r="I144" s="34" t="s">
        <v>13</v>
      </c>
      <c r="J144" s="3" t="s">
        <v>3914</v>
      </c>
      <c r="K144" s="3" t="s">
        <v>23</v>
      </c>
      <c r="L144" s="3"/>
      <c r="M144" s="3" t="s">
        <v>3243</v>
      </c>
      <c r="N144" s="17"/>
      <c r="O144" s="17"/>
    </row>
    <row r="145" spans="1:15" ht="63.75" x14ac:dyDescent="0.2">
      <c r="A145" s="21">
        <v>46048</v>
      </c>
      <c r="B145" s="11">
        <f>+MONTH(A145)</f>
        <v>1</v>
      </c>
      <c r="C145" s="11">
        <f>+WEEKNUM(A145)</f>
        <v>5</v>
      </c>
      <c r="D145" s="3" t="s">
        <v>2162</v>
      </c>
      <c r="E145" s="3" t="s">
        <v>2163</v>
      </c>
      <c r="F145" s="3">
        <v>573213941724</v>
      </c>
      <c r="G145" s="3">
        <v>77783</v>
      </c>
      <c r="H145" s="34" t="s">
        <v>71</v>
      </c>
      <c r="I145" s="34" t="s">
        <v>44</v>
      </c>
      <c r="J145" s="44" t="s">
        <v>3913</v>
      </c>
      <c r="K145" s="3"/>
      <c r="L145" s="3"/>
      <c r="M145" s="3" t="s">
        <v>2780</v>
      </c>
      <c r="N145" s="17"/>
      <c r="O145" s="17"/>
    </row>
    <row r="146" spans="1:15" ht="12.75" x14ac:dyDescent="0.2">
      <c r="A146" s="21">
        <v>46046</v>
      </c>
      <c r="B146" s="11">
        <f>+MONTH(A146)</f>
        <v>1</v>
      </c>
      <c r="C146" s="11">
        <f>+WEEKNUM(A146)</f>
        <v>4</v>
      </c>
      <c r="D146" s="3" t="s">
        <v>3146</v>
      </c>
      <c r="E146" s="3" t="s">
        <v>3145</v>
      </c>
      <c r="F146" s="3">
        <v>573142146918</v>
      </c>
      <c r="G146" s="3">
        <v>76648</v>
      </c>
      <c r="H146" s="34" t="s">
        <v>71</v>
      </c>
      <c r="I146" s="34" t="s">
        <v>44</v>
      </c>
      <c r="J146" s="44" t="s">
        <v>3912</v>
      </c>
      <c r="K146" s="3"/>
      <c r="L146" s="3"/>
      <c r="M146" s="3" t="s">
        <v>2780</v>
      </c>
      <c r="N146" s="17"/>
      <c r="O146" s="17"/>
    </row>
    <row r="147" spans="1:15" ht="12.75" x14ac:dyDescent="0.2">
      <c r="A147" s="21">
        <v>46046</v>
      </c>
      <c r="B147" s="11">
        <f>+MONTH(A147)</f>
        <v>1</v>
      </c>
      <c r="C147" s="11">
        <f>+WEEKNUM(A147)</f>
        <v>4</v>
      </c>
      <c r="D147" s="3" t="s">
        <v>3911</v>
      </c>
      <c r="E147" s="3" t="s">
        <v>3910</v>
      </c>
      <c r="F147" s="3">
        <v>573114508667</v>
      </c>
      <c r="G147" s="3">
        <v>77062</v>
      </c>
      <c r="H147" s="34" t="s">
        <v>12</v>
      </c>
      <c r="I147" s="34" t="s">
        <v>13</v>
      </c>
      <c r="J147" s="3" t="s">
        <v>3909</v>
      </c>
      <c r="K147" s="3" t="s">
        <v>23</v>
      </c>
      <c r="L147" s="3"/>
      <c r="M147" s="3" t="s">
        <v>2784</v>
      </c>
      <c r="N147" s="17"/>
      <c r="O147" s="17"/>
    </row>
    <row r="148" spans="1:15" ht="51" x14ac:dyDescent="0.2">
      <c r="A148" s="21">
        <v>46046</v>
      </c>
      <c r="B148" s="11">
        <f>+MONTH(A148)</f>
        <v>1</v>
      </c>
      <c r="C148" s="11">
        <f>+WEEKNUM(A148)</f>
        <v>4</v>
      </c>
      <c r="D148" s="3" t="s">
        <v>1499</v>
      </c>
      <c r="E148" s="3" t="s">
        <v>3908</v>
      </c>
      <c r="F148" s="3">
        <v>573214755422</v>
      </c>
      <c r="G148" s="3">
        <v>77482</v>
      </c>
      <c r="H148" s="34" t="s">
        <v>12</v>
      </c>
      <c r="I148" s="34" t="s">
        <v>13</v>
      </c>
      <c r="J148" s="3" t="s">
        <v>3907</v>
      </c>
      <c r="K148" s="3" t="s">
        <v>23</v>
      </c>
      <c r="L148" s="3"/>
      <c r="M148" s="3" t="s">
        <v>2784</v>
      </c>
      <c r="N148" s="17"/>
      <c r="O148" s="17"/>
    </row>
    <row r="149" spans="1:15" ht="25.5" x14ac:dyDescent="0.2">
      <c r="A149" s="21">
        <v>46046</v>
      </c>
      <c r="B149" s="11">
        <f>+MONTH(A149)</f>
        <v>1</v>
      </c>
      <c r="C149" s="11">
        <f>+WEEKNUM(A149)</f>
        <v>4</v>
      </c>
      <c r="D149" s="3" t="s">
        <v>2322</v>
      </c>
      <c r="E149" s="3" t="s">
        <v>3736</v>
      </c>
      <c r="F149" s="3">
        <v>573192471773</v>
      </c>
      <c r="G149" s="3">
        <v>77472</v>
      </c>
      <c r="H149" s="34" t="s">
        <v>12</v>
      </c>
      <c r="I149" s="34" t="s">
        <v>13</v>
      </c>
      <c r="J149" s="3" t="s">
        <v>2688</v>
      </c>
      <c r="K149" s="3" t="s">
        <v>23</v>
      </c>
      <c r="L149" s="3"/>
      <c r="M149" s="3" t="s">
        <v>3906</v>
      </c>
      <c r="N149" s="17"/>
      <c r="O149" s="17"/>
    </row>
    <row r="150" spans="1:15" ht="25.5" x14ac:dyDescent="0.2">
      <c r="A150" s="21">
        <v>46046</v>
      </c>
      <c r="B150" s="11">
        <f>+MONTH(A150)</f>
        <v>1</v>
      </c>
      <c r="C150" s="11">
        <f>+WEEKNUM(A150)</f>
        <v>4</v>
      </c>
      <c r="D150" s="3" t="s">
        <v>3905</v>
      </c>
      <c r="E150" s="3" t="s">
        <v>3904</v>
      </c>
      <c r="F150" s="3">
        <v>573016334016</v>
      </c>
      <c r="G150" s="3">
        <v>77197</v>
      </c>
      <c r="H150" s="34" t="s">
        <v>12</v>
      </c>
      <c r="I150" s="34" t="s">
        <v>13</v>
      </c>
      <c r="J150" s="3" t="s">
        <v>3903</v>
      </c>
      <c r="K150" s="3" t="s">
        <v>23</v>
      </c>
      <c r="L150" s="3"/>
      <c r="M150" s="3" t="s">
        <v>3902</v>
      </c>
      <c r="N150" s="17"/>
      <c r="O150" s="17"/>
    </row>
    <row r="151" spans="1:15" ht="25.5" x14ac:dyDescent="0.2">
      <c r="A151" s="21">
        <v>46046</v>
      </c>
      <c r="B151" s="11">
        <f>+MONTH(A151)</f>
        <v>1</v>
      </c>
      <c r="C151" s="11">
        <f>+WEEKNUM(A151)</f>
        <v>4</v>
      </c>
      <c r="D151" s="3" t="s">
        <v>1539</v>
      </c>
      <c r="E151" s="3" t="s">
        <v>3901</v>
      </c>
      <c r="F151" s="3">
        <v>573132604849</v>
      </c>
      <c r="G151" s="3">
        <v>77639</v>
      </c>
      <c r="H151" s="34" t="s">
        <v>22</v>
      </c>
      <c r="I151" s="34" t="s">
        <v>22</v>
      </c>
      <c r="J151" s="44" t="s">
        <v>3900</v>
      </c>
      <c r="K151" s="3"/>
      <c r="L151" s="3"/>
      <c r="M151" s="3" t="s">
        <v>2782</v>
      </c>
      <c r="N151" s="17"/>
      <c r="O151" s="17"/>
    </row>
    <row r="152" spans="1:15" ht="25.5" x14ac:dyDescent="0.2">
      <c r="A152" s="21">
        <v>46046</v>
      </c>
      <c r="B152" s="11">
        <f>+MONTH(A152)</f>
        <v>1</v>
      </c>
      <c r="C152" s="11">
        <f>+WEEKNUM(A152)</f>
        <v>4</v>
      </c>
      <c r="D152" s="3" t="s">
        <v>2244</v>
      </c>
      <c r="E152" s="3" t="s">
        <v>3899</v>
      </c>
      <c r="F152" s="3">
        <v>573114613080</v>
      </c>
      <c r="G152" s="3">
        <v>77619</v>
      </c>
      <c r="H152" s="34" t="s">
        <v>12</v>
      </c>
      <c r="I152" s="34" t="s">
        <v>13</v>
      </c>
      <c r="J152" s="3" t="s">
        <v>3898</v>
      </c>
      <c r="K152" s="3" t="s">
        <v>23</v>
      </c>
      <c r="L152" s="3"/>
      <c r="M152" s="3" t="s">
        <v>3250</v>
      </c>
      <c r="N152" s="17"/>
      <c r="O152" s="17"/>
    </row>
    <row r="153" spans="1:15" ht="25.5" x14ac:dyDescent="0.2">
      <c r="A153" s="21">
        <v>46046</v>
      </c>
      <c r="B153" s="11">
        <f>+MONTH(A153)</f>
        <v>1</v>
      </c>
      <c r="C153" s="11">
        <f>+WEEKNUM(A153)</f>
        <v>4</v>
      </c>
      <c r="D153" s="3" t="s">
        <v>2190</v>
      </c>
      <c r="E153" s="3" t="s">
        <v>3897</v>
      </c>
      <c r="F153" s="3">
        <v>573132852253</v>
      </c>
      <c r="G153" s="3">
        <v>77627</v>
      </c>
      <c r="H153" s="34" t="s">
        <v>12</v>
      </c>
      <c r="I153" s="34" t="s">
        <v>13</v>
      </c>
      <c r="J153" s="3" t="s">
        <v>3896</v>
      </c>
      <c r="K153" s="3" t="s">
        <v>23</v>
      </c>
      <c r="L153" s="3"/>
      <c r="M153" s="3" t="s">
        <v>2780</v>
      </c>
      <c r="N153" s="17"/>
      <c r="O153" s="17"/>
    </row>
    <row r="154" spans="1:15" ht="12.75" x14ac:dyDescent="0.2">
      <c r="A154" s="21">
        <v>46046</v>
      </c>
      <c r="B154" s="11">
        <f>+MONTH(A154)</f>
        <v>1</v>
      </c>
      <c r="C154" s="11">
        <f>+WEEKNUM(A154)</f>
        <v>4</v>
      </c>
      <c r="D154" s="3" t="s">
        <v>1939</v>
      </c>
      <c r="E154" s="3" t="s">
        <v>2188</v>
      </c>
      <c r="F154" s="3">
        <v>573124501453</v>
      </c>
      <c r="G154" s="3">
        <v>76731</v>
      </c>
      <c r="H154" s="34" t="s">
        <v>12</v>
      </c>
      <c r="I154" s="34" t="s">
        <v>13</v>
      </c>
      <c r="J154" s="3" t="s">
        <v>3895</v>
      </c>
      <c r="K154" s="3" t="s">
        <v>23</v>
      </c>
      <c r="L154" s="3"/>
      <c r="M154" s="3">
        <v>95</v>
      </c>
      <c r="N154" s="17"/>
      <c r="O154" s="17"/>
    </row>
    <row r="155" spans="1:15" ht="63.75" x14ac:dyDescent="0.2">
      <c r="A155" s="21">
        <v>46046</v>
      </c>
      <c r="B155" s="11">
        <f>+MONTH(A155)</f>
        <v>1</v>
      </c>
      <c r="C155" s="11">
        <f>+WEEKNUM(A155)</f>
        <v>4</v>
      </c>
      <c r="D155" s="3" t="s">
        <v>2050</v>
      </c>
      <c r="E155" s="3" t="s">
        <v>3894</v>
      </c>
      <c r="F155" s="3">
        <v>573168205351</v>
      </c>
      <c r="G155" s="3">
        <v>77258</v>
      </c>
      <c r="H155" s="34" t="s">
        <v>22</v>
      </c>
      <c r="I155" s="34" t="s">
        <v>13</v>
      </c>
      <c r="J155" s="3" t="s">
        <v>3893</v>
      </c>
      <c r="K155" s="3"/>
      <c r="L155" s="3"/>
      <c r="M155" s="3" t="s">
        <v>2821</v>
      </c>
      <c r="N155" s="17"/>
      <c r="O155" s="17"/>
    </row>
    <row r="156" spans="1:15" ht="25.5" x14ac:dyDescent="0.2">
      <c r="A156" s="21">
        <v>46046</v>
      </c>
      <c r="B156" s="11">
        <f>+MONTH(A156)</f>
        <v>1</v>
      </c>
      <c r="C156" s="11">
        <f>+WEEKNUM(A156)</f>
        <v>4</v>
      </c>
      <c r="D156" s="3" t="s">
        <v>1473</v>
      </c>
      <c r="E156" s="3" t="s">
        <v>3892</v>
      </c>
      <c r="F156" s="3">
        <v>573219021490</v>
      </c>
      <c r="G156" s="3">
        <v>77272</v>
      </c>
      <c r="H156" s="34" t="s">
        <v>12</v>
      </c>
      <c r="I156" s="34" t="s">
        <v>13</v>
      </c>
      <c r="J156" s="3" t="s">
        <v>3891</v>
      </c>
      <c r="K156" s="3" t="s">
        <v>23</v>
      </c>
      <c r="L156" s="3"/>
      <c r="M156" s="3" t="s">
        <v>3890</v>
      </c>
      <c r="N156" s="17"/>
      <c r="O156" s="17"/>
    </row>
    <row r="157" spans="1:15" ht="25.5" x14ac:dyDescent="0.2">
      <c r="A157" s="21">
        <v>46045</v>
      </c>
      <c r="B157" s="11">
        <f>+MONTH(A157)</f>
        <v>1</v>
      </c>
      <c r="C157" s="11">
        <f>+WEEKNUM(A157)</f>
        <v>4</v>
      </c>
      <c r="D157" s="3" t="s">
        <v>1473</v>
      </c>
      <c r="E157" s="3" t="s">
        <v>3889</v>
      </c>
      <c r="F157" s="3">
        <v>573133963151</v>
      </c>
      <c r="G157" s="3">
        <v>77542</v>
      </c>
      <c r="H157" s="34" t="s">
        <v>12</v>
      </c>
      <c r="I157" s="34" t="s">
        <v>13</v>
      </c>
      <c r="J157" s="3" t="s">
        <v>3888</v>
      </c>
      <c r="K157" s="3" t="s">
        <v>23</v>
      </c>
      <c r="L157" s="3"/>
      <c r="M157" s="3" t="s">
        <v>2780</v>
      </c>
      <c r="N157" s="17"/>
      <c r="O157" s="17"/>
    </row>
    <row r="158" spans="1:15" ht="25.5" x14ac:dyDescent="0.2">
      <c r="A158" s="21">
        <v>46045</v>
      </c>
      <c r="B158" s="11">
        <f>+MONTH(A158)</f>
        <v>1</v>
      </c>
      <c r="C158" s="11">
        <f>+WEEKNUM(A158)</f>
        <v>4</v>
      </c>
      <c r="D158" s="3" t="s">
        <v>1473</v>
      </c>
      <c r="E158" s="3" t="s">
        <v>3887</v>
      </c>
      <c r="F158" s="3">
        <v>573013230802</v>
      </c>
      <c r="G158" s="3">
        <v>77686</v>
      </c>
      <c r="H158" s="34" t="s">
        <v>12</v>
      </c>
      <c r="I158" s="34" t="s">
        <v>13</v>
      </c>
      <c r="J158" s="3"/>
      <c r="K158" s="3" t="s">
        <v>23</v>
      </c>
      <c r="L158" s="3"/>
      <c r="M158" s="3" t="s">
        <v>2782</v>
      </c>
      <c r="N158" s="17"/>
      <c r="O158" s="17"/>
    </row>
    <row r="159" spans="1:15" ht="25.5" x14ac:dyDescent="0.2">
      <c r="A159" s="21">
        <v>46045</v>
      </c>
      <c r="B159" s="11">
        <f>+MONTH(A159)</f>
        <v>1</v>
      </c>
      <c r="C159" s="11">
        <f>+WEEKNUM(A159)</f>
        <v>4</v>
      </c>
      <c r="D159" s="3" t="s">
        <v>1473</v>
      </c>
      <c r="E159" s="3" t="s">
        <v>3887</v>
      </c>
      <c r="F159" s="3">
        <v>573013230802</v>
      </c>
      <c r="G159" s="3">
        <v>77686</v>
      </c>
      <c r="H159" s="34" t="s">
        <v>12</v>
      </c>
      <c r="I159" s="34" t="s">
        <v>13</v>
      </c>
      <c r="J159" s="3" t="s">
        <v>3886</v>
      </c>
      <c r="K159" s="3" t="s">
        <v>23</v>
      </c>
      <c r="L159" s="3"/>
      <c r="M159" s="3" t="s">
        <v>2782</v>
      </c>
      <c r="N159" s="17"/>
      <c r="O159" s="17"/>
    </row>
    <row r="160" spans="1:15" ht="25.5" x14ac:dyDescent="0.2">
      <c r="A160" s="21">
        <v>46045</v>
      </c>
      <c r="B160" s="11">
        <f>+MONTH(A160)</f>
        <v>1</v>
      </c>
      <c r="C160" s="11">
        <f>+WEEKNUM(A160)</f>
        <v>4</v>
      </c>
      <c r="D160" s="3" t="s">
        <v>3850</v>
      </c>
      <c r="E160" s="3" t="s">
        <v>3849</v>
      </c>
      <c r="F160" s="3">
        <v>573132320974</v>
      </c>
      <c r="G160" s="3">
        <v>77659</v>
      </c>
      <c r="H160" s="34" t="s">
        <v>22</v>
      </c>
      <c r="I160" s="34" t="s">
        <v>13</v>
      </c>
      <c r="J160" s="3" t="s">
        <v>3885</v>
      </c>
      <c r="K160" s="3"/>
      <c r="L160" s="3"/>
      <c r="M160" s="3" t="s">
        <v>3884</v>
      </c>
      <c r="N160" s="17"/>
      <c r="O160" s="17"/>
    </row>
    <row r="161" spans="1:15" ht="12.75" x14ac:dyDescent="0.2">
      <c r="A161" s="21">
        <v>46045</v>
      </c>
      <c r="B161" s="11">
        <f>+MONTH(A161)</f>
        <v>1</v>
      </c>
      <c r="C161" s="11">
        <f>+WEEKNUM(A161)</f>
        <v>4</v>
      </c>
      <c r="D161" s="3" t="s">
        <v>3812</v>
      </c>
      <c r="E161" s="3" t="s">
        <v>3883</v>
      </c>
      <c r="F161" s="3">
        <v>573014772130</v>
      </c>
      <c r="G161" s="3">
        <v>77490</v>
      </c>
      <c r="H161" s="34" t="s">
        <v>12</v>
      </c>
      <c r="I161" s="34" t="s">
        <v>13</v>
      </c>
      <c r="J161" s="3" t="s">
        <v>3882</v>
      </c>
      <c r="K161" s="3" t="s">
        <v>23</v>
      </c>
      <c r="L161" s="3"/>
      <c r="M161" s="3" t="s">
        <v>3652</v>
      </c>
      <c r="N161" s="17"/>
      <c r="O161" s="17"/>
    </row>
    <row r="162" spans="1:15" ht="25.5" x14ac:dyDescent="0.2">
      <c r="A162" s="21">
        <v>46045</v>
      </c>
      <c r="B162" s="11">
        <f>+MONTH(A162)</f>
        <v>1</v>
      </c>
      <c r="C162" s="11">
        <f>+WEEKNUM(A162)</f>
        <v>4</v>
      </c>
      <c r="D162" s="3" t="s">
        <v>2112</v>
      </c>
      <c r="E162" s="3" t="s">
        <v>3180</v>
      </c>
      <c r="F162" s="3">
        <v>573144359375</v>
      </c>
      <c r="G162" s="3">
        <v>77162</v>
      </c>
      <c r="H162" s="34" t="s">
        <v>12</v>
      </c>
      <c r="I162" s="34" t="s">
        <v>13</v>
      </c>
      <c r="J162" s="3" t="s">
        <v>3881</v>
      </c>
      <c r="K162" s="3" t="s">
        <v>23</v>
      </c>
      <c r="L162" s="3"/>
      <c r="M162" s="3" t="s">
        <v>3880</v>
      </c>
      <c r="N162" s="17"/>
      <c r="O162" s="17"/>
    </row>
    <row r="163" spans="1:15" ht="38.25" x14ac:dyDescent="0.2">
      <c r="A163" s="21">
        <v>46045</v>
      </c>
      <c r="B163" s="11">
        <f>+MONTH(A163)</f>
        <v>1</v>
      </c>
      <c r="C163" s="11">
        <f>+WEEKNUM(A163)</f>
        <v>4</v>
      </c>
      <c r="D163" s="3" t="s">
        <v>1470</v>
      </c>
      <c r="E163" s="3" t="s">
        <v>3879</v>
      </c>
      <c r="F163" s="3">
        <v>573165320076</v>
      </c>
      <c r="G163" s="3">
        <v>76935</v>
      </c>
      <c r="H163" s="34" t="s">
        <v>12</v>
      </c>
      <c r="I163" s="34" t="s">
        <v>44</v>
      </c>
      <c r="J163" s="3" t="s">
        <v>3878</v>
      </c>
      <c r="K163" s="3"/>
      <c r="L163" s="3"/>
      <c r="M163" s="3" t="s">
        <v>2840</v>
      </c>
      <c r="N163" s="17"/>
      <c r="O163" s="17"/>
    </row>
    <row r="164" spans="1:15" ht="12.75" x14ac:dyDescent="0.2">
      <c r="A164" s="21">
        <v>46045</v>
      </c>
      <c r="B164" s="11">
        <f>+MONTH(A164)</f>
        <v>1</v>
      </c>
      <c r="C164" s="11">
        <f>+WEEKNUM(A164)</f>
        <v>4</v>
      </c>
      <c r="D164" s="3" t="s">
        <v>1525</v>
      </c>
      <c r="E164" s="3" t="s">
        <v>1526</v>
      </c>
      <c r="F164" s="3">
        <v>573195849802</v>
      </c>
      <c r="G164" s="3">
        <v>75811</v>
      </c>
      <c r="H164" s="34" t="s">
        <v>12</v>
      </c>
      <c r="I164" s="34" t="s">
        <v>13</v>
      </c>
      <c r="J164" s="3" t="s">
        <v>3877</v>
      </c>
      <c r="K164" s="3" t="s">
        <v>23</v>
      </c>
      <c r="L164" s="3"/>
      <c r="M164" s="3" t="s">
        <v>3876</v>
      </c>
      <c r="N164" s="17"/>
      <c r="O164" s="17"/>
    </row>
    <row r="165" spans="1:15" ht="25.5" x14ac:dyDescent="0.2">
      <c r="A165" s="21">
        <v>46045</v>
      </c>
      <c r="B165" s="11">
        <f>+MONTH(A165)</f>
        <v>1</v>
      </c>
      <c r="C165" s="11">
        <f>+WEEKNUM(A165)</f>
        <v>4</v>
      </c>
      <c r="D165" s="3" t="s">
        <v>3875</v>
      </c>
      <c r="E165" s="3" t="s">
        <v>3874</v>
      </c>
      <c r="F165" s="3">
        <v>573164720699</v>
      </c>
      <c r="G165" s="3">
        <v>77366</v>
      </c>
      <c r="H165" s="34" t="s">
        <v>12</v>
      </c>
      <c r="I165" s="34" t="s">
        <v>13</v>
      </c>
      <c r="J165" s="3" t="s">
        <v>3873</v>
      </c>
      <c r="K165" s="3" t="s">
        <v>23</v>
      </c>
      <c r="L165" s="3"/>
      <c r="M165" s="3" t="s">
        <v>3872</v>
      </c>
      <c r="N165" s="17"/>
      <c r="O165" s="17"/>
    </row>
    <row r="166" spans="1:15" ht="12.75" x14ac:dyDescent="0.2">
      <c r="A166" s="21">
        <v>46045</v>
      </c>
      <c r="B166" s="11">
        <f>+MONTH(A166)</f>
        <v>1</v>
      </c>
      <c r="C166" s="11">
        <f>+WEEKNUM(A166)</f>
        <v>4</v>
      </c>
      <c r="D166" s="3" t="s">
        <v>2551</v>
      </c>
      <c r="E166" s="3" t="s">
        <v>2635</v>
      </c>
      <c r="F166" s="3">
        <v>573102680412</v>
      </c>
      <c r="G166" s="3">
        <v>77553</v>
      </c>
      <c r="H166" s="34" t="s">
        <v>12</v>
      </c>
      <c r="I166" s="34" t="s">
        <v>13</v>
      </c>
      <c r="J166" s="3" t="s">
        <v>3871</v>
      </c>
      <c r="K166" s="3" t="s">
        <v>23</v>
      </c>
      <c r="L166" s="3"/>
      <c r="M166" s="3" t="s">
        <v>2782</v>
      </c>
      <c r="N166" s="17"/>
      <c r="O166" s="17"/>
    </row>
    <row r="167" spans="1:15" ht="25.5" x14ac:dyDescent="0.2">
      <c r="A167" s="21">
        <v>46045</v>
      </c>
      <c r="B167" s="11">
        <f>+MONTH(A167)</f>
        <v>1</v>
      </c>
      <c r="C167" s="11">
        <f>+WEEKNUM(A167)</f>
        <v>4</v>
      </c>
      <c r="D167" s="3" t="s">
        <v>3870</v>
      </c>
      <c r="E167" s="3" t="s">
        <v>3869</v>
      </c>
      <c r="F167" s="3">
        <v>573166173273</v>
      </c>
      <c r="G167" s="3">
        <v>76939</v>
      </c>
      <c r="H167" s="34" t="s">
        <v>12</v>
      </c>
      <c r="I167" s="34" t="s">
        <v>13</v>
      </c>
      <c r="J167" s="3" t="s">
        <v>3868</v>
      </c>
      <c r="K167" s="3" t="s">
        <v>23</v>
      </c>
      <c r="L167" s="3"/>
      <c r="M167" s="3" t="s">
        <v>3431</v>
      </c>
      <c r="N167" s="17"/>
      <c r="O167" s="17"/>
    </row>
    <row r="168" spans="1:15" ht="12.75" x14ac:dyDescent="0.2">
      <c r="A168" s="21">
        <v>46045</v>
      </c>
      <c r="B168" s="11">
        <f>+MONTH(A168)</f>
        <v>1</v>
      </c>
      <c r="C168" s="11">
        <f>+WEEKNUM(A168)</f>
        <v>4</v>
      </c>
      <c r="D168" s="3" t="s">
        <v>3867</v>
      </c>
      <c r="E168" s="3" t="s">
        <v>3866</v>
      </c>
      <c r="F168" s="3">
        <v>573506003377</v>
      </c>
      <c r="G168" s="3">
        <v>77721</v>
      </c>
      <c r="H168" s="34" t="s">
        <v>12</v>
      </c>
      <c r="I168" s="34" t="s">
        <v>13</v>
      </c>
      <c r="J168" s="3" t="s">
        <v>3865</v>
      </c>
      <c r="K168" s="3" t="s">
        <v>23</v>
      </c>
      <c r="L168" s="3"/>
      <c r="M168" s="3" t="s">
        <v>2784</v>
      </c>
      <c r="N168" s="17"/>
      <c r="O168" s="17"/>
    </row>
    <row r="169" spans="1:15" ht="89.25" x14ac:dyDescent="0.2">
      <c r="A169" s="21">
        <v>46045</v>
      </c>
      <c r="B169" s="11">
        <f>+MONTH(A169)</f>
        <v>1</v>
      </c>
      <c r="C169" s="11">
        <f>+WEEKNUM(A169)</f>
        <v>4</v>
      </c>
      <c r="D169" s="3" t="s">
        <v>2639</v>
      </c>
      <c r="E169" s="3" t="s">
        <v>2638</v>
      </c>
      <c r="F169" s="3">
        <v>573213550182</v>
      </c>
      <c r="G169" s="3">
        <v>76594</v>
      </c>
      <c r="H169" s="34" t="s">
        <v>12</v>
      </c>
      <c r="I169" s="34" t="s">
        <v>22</v>
      </c>
      <c r="J169" s="44" t="s">
        <v>3864</v>
      </c>
      <c r="K169" s="3"/>
      <c r="L169" s="3"/>
      <c r="M169" s="3" t="s">
        <v>2784</v>
      </c>
      <c r="N169" s="17"/>
      <c r="O169" s="17"/>
    </row>
    <row r="170" spans="1:15" ht="25.5" x14ac:dyDescent="0.2">
      <c r="A170" s="21">
        <v>46045</v>
      </c>
      <c r="B170" s="11">
        <f>+MONTH(A170)</f>
        <v>1</v>
      </c>
      <c r="C170" s="11">
        <f>+WEEKNUM(A170)</f>
        <v>4</v>
      </c>
      <c r="D170" s="3" t="s">
        <v>1785</v>
      </c>
      <c r="E170" s="3" t="s">
        <v>3863</v>
      </c>
      <c r="F170" s="3">
        <v>573219878442</v>
      </c>
      <c r="G170" s="3">
        <v>77322</v>
      </c>
      <c r="H170" s="34" t="s">
        <v>12</v>
      </c>
      <c r="I170" s="34" t="s">
        <v>13</v>
      </c>
      <c r="J170" s="3" t="s">
        <v>3862</v>
      </c>
      <c r="K170" s="3" t="s">
        <v>23</v>
      </c>
      <c r="L170" s="3"/>
      <c r="M170" s="3" t="s">
        <v>2784</v>
      </c>
      <c r="N170" s="17"/>
      <c r="O170" s="17"/>
    </row>
    <row r="171" spans="1:15" ht="63.75" x14ac:dyDescent="0.2">
      <c r="A171" s="21">
        <v>46045</v>
      </c>
      <c r="B171" s="11">
        <f>+MONTH(A171)</f>
        <v>1</v>
      </c>
      <c r="C171" s="11">
        <f>+WEEKNUM(A171)</f>
        <v>4</v>
      </c>
      <c r="D171" s="3" t="s">
        <v>3861</v>
      </c>
      <c r="E171" s="3" t="s">
        <v>3860</v>
      </c>
      <c r="F171" s="3">
        <v>573194650698</v>
      </c>
      <c r="G171" s="3">
        <v>77376</v>
      </c>
      <c r="H171" s="34" t="s">
        <v>71</v>
      </c>
      <c r="I171" s="34" t="s">
        <v>44</v>
      </c>
      <c r="J171" s="3" t="s">
        <v>3859</v>
      </c>
      <c r="K171" s="3"/>
      <c r="L171" s="3"/>
      <c r="M171" s="3" t="s">
        <v>3858</v>
      </c>
      <c r="N171" s="17"/>
      <c r="O171" s="17"/>
    </row>
    <row r="172" spans="1:15" ht="12.75" x14ac:dyDescent="0.2">
      <c r="A172" s="21">
        <v>46044</v>
      </c>
      <c r="B172" s="11">
        <f>+MONTH(A172)</f>
        <v>1</v>
      </c>
      <c r="C172" s="11">
        <f>+WEEKNUM(A172)</f>
        <v>4</v>
      </c>
      <c r="D172" s="3" t="s">
        <v>3857</v>
      </c>
      <c r="E172" s="3" t="s">
        <v>3856</v>
      </c>
      <c r="F172" s="3">
        <v>573160561140</v>
      </c>
      <c r="G172" s="3">
        <v>77583</v>
      </c>
      <c r="H172" s="34" t="s">
        <v>12</v>
      </c>
      <c r="I172" s="34" t="s">
        <v>13</v>
      </c>
      <c r="J172" s="3" t="s">
        <v>3855</v>
      </c>
      <c r="K172" s="3" t="s">
        <v>23</v>
      </c>
      <c r="L172" s="3"/>
      <c r="M172" s="3" t="s">
        <v>3243</v>
      </c>
      <c r="N172" s="17"/>
      <c r="O172" s="17"/>
    </row>
    <row r="173" spans="1:15" ht="12.75" x14ac:dyDescent="0.2">
      <c r="A173" s="21">
        <v>46044</v>
      </c>
      <c r="B173" s="11">
        <f>+MONTH(A173)</f>
        <v>1</v>
      </c>
      <c r="C173" s="11">
        <f>+WEEKNUM(A173)</f>
        <v>4</v>
      </c>
      <c r="D173" s="3" t="s">
        <v>3854</v>
      </c>
      <c r="E173" s="3" t="s">
        <v>3853</v>
      </c>
      <c r="F173" s="3">
        <v>573126682761</v>
      </c>
      <c r="G173" s="3">
        <v>76993</v>
      </c>
      <c r="H173" s="34" t="s">
        <v>12</v>
      </c>
      <c r="I173" s="34" t="s">
        <v>22</v>
      </c>
      <c r="J173" s="3" t="s">
        <v>12</v>
      </c>
      <c r="K173" s="3"/>
      <c r="L173" s="3"/>
      <c r="M173" s="3" t="s">
        <v>3169</v>
      </c>
      <c r="N173" s="17"/>
      <c r="O173" s="17"/>
    </row>
    <row r="174" spans="1:15" ht="25.5" x14ac:dyDescent="0.2">
      <c r="A174" s="21">
        <v>46044</v>
      </c>
      <c r="B174" s="11">
        <f>+MONTH(A174)</f>
        <v>1</v>
      </c>
      <c r="C174" s="11">
        <f>+WEEKNUM(A174)</f>
        <v>4</v>
      </c>
      <c r="D174" s="3" t="s">
        <v>2275</v>
      </c>
      <c r="E174" s="3" t="s">
        <v>3122</v>
      </c>
      <c r="F174" s="3">
        <v>573102530581</v>
      </c>
      <c r="G174" s="3">
        <v>77439</v>
      </c>
      <c r="H174" s="34" t="s">
        <v>12</v>
      </c>
      <c r="I174" s="34" t="s">
        <v>13</v>
      </c>
      <c r="J174" s="3" t="s">
        <v>3852</v>
      </c>
      <c r="K174" s="3" t="s">
        <v>23</v>
      </c>
      <c r="L174" s="3"/>
      <c r="M174" s="3" t="s">
        <v>3851</v>
      </c>
      <c r="N174" s="17"/>
      <c r="O174" s="17"/>
    </row>
    <row r="175" spans="1:15" ht="25.5" x14ac:dyDescent="0.2">
      <c r="A175" s="21">
        <v>46044</v>
      </c>
      <c r="B175" s="11">
        <f>+MONTH(A175)</f>
        <v>1</v>
      </c>
      <c r="C175" s="11">
        <f>+WEEKNUM(A175)</f>
        <v>4</v>
      </c>
      <c r="D175" s="3" t="s">
        <v>3850</v>
      </c>
      <c r="E175" s="3" t="s">
        <v>3849</v>
      </c>
      <c r="F175" s="3">
        <v>573132320974</v>
      </c>
      <c r="G175" s="3">
        <v>76729</v>
      </c>
      <c r="H175" s="34" t="s">
        <v>71</v>
      </c>
      <c r="I175" s="34" t="s">
        <v>13</v>
      </c>
      <c r="J175" s="44" t="s">
        <v>3848</v>
      </c>
      <c r="K175" s="3"/>
      <c r="L175" s="3"/>
      <c r="M175" s="3" t="s">
        <v>3847</v>
      </c>
      <c r="N175" s="17"/>
      <c r="O175" s="17"/>
    </row>
    <row r="176" spans="1:15" ht="25.5" x14ac:dyDescent="0.2">
      <c r="A176" s="21">
        <v>46044</v>
      </c>
      <c r="B176" s="11">
        <f>+MONTH(A176)</f>
        <v>1</v>
      </c>
      <c r="C176" s="11">
        <f>+WEEKNUM(A176)</f>
        <v>4</v>
      </c>
      <c r="D176" s="3" t="s">
        <v>3846</v>
      </c>
      <c r="E176" s="3" t="s">
        <v>1940</v>
      </c>
      <c r="F176" s="3">
        <v>573107022459</v>
      </c>
      <c r="G176" s="3">
        <v>77609</v>
      </c>
      <c r="H176" s="34" t="s">
        <v>12</v>
      </c>
      <c r="I176" s="34" t="s">
        <v>13</v>
      </c>
      <c r="J176" s="3" t="s">
        <v>3845</v>
      </c>
      <c r="K176" s="3" t="s">
        <v>23</v>
      </c>
      <c r="L176" s="3"/>
      <c r="M176" s="3" t="s">
        <v>2822</v>
      </c>
      <c r="N176" s="17"/>
      <c r="O176" s="17"/>
    </row>
    <row r="177" spans="1:15" ht="153" x14ac:dyDescent="0.2">
      <c r="A177" s="21">
        <v>46044</v>
      </c>
      <c r="B177" s="11">
        <f>+MONTH(A177)</f>
        <v>1</v>
      </c>
      <c r="C177" s="11">
        <f>+WEEKNUM(A177)</f>
        <v>4</v>
      </c>
      <c r="D177" s="3" t="s">
        <v>3844</v>
      </c>
      <c r="E177" s="3" t="s">
        <v>3843</v>
      </c>
      <c r="F177" s="3">
        <v>573214835639</v>
      </c>
      <c r="G177" s="3">
        <v>76756</v>
      </c>
      <c r="H177" s="34" t="s">
        <v>22</v>
      </c>
      <c r="I177" s="34" t="s">
        <v>13</v>
      </c>
      <c r="J177" s="44" t="s">
        <v>3842</v>
      </c>
      <c r="K177" s="3"/>
      <c r="L177" s="3"/>
      <c r="M177" s="3" t="s">
        <v>2810</v>
      </c>
      <c r="N177" s="17"/>
      <c r="O177" s="17"/>
    </row>
    <row r="178" spans="1:15" ht="25.5" x14ac:dyDescent="0.2">
      <c r="A178" s="21">
        <v>46044</v>
      </c>
      <c r="B178" s="11">
        <f>+MONTH(A178)</f>
        <v>1</v>
      </c>
      <c r="C178" s="11">
        <f>+WEEKNUM(A178)</f>
        <v>4</v>
      </c>
      <c r="D178" s="3" t="s">
        <v>3841</v>
      </c>
      <c r="E178" s="3" t="s">
        <v>3840</v>
      </c>
      <c r="F178" s="3">
        <v>573009697804</v>
      </c>
      <c r="G178" s="3">
        <v>77537</v>
      </c>
      <c r="H178" s="34" t="s">
        <v>12</v>
      </c>
      <c r="I178" s="34" t="s">
        <v>13</v>
      </c>
      <c r="J178" s="3" t="s">
        <v>3839</v>
      </c>
      <c r="K178" s="3" t="s">
        <v>23</v>
      </c>
      <c r="L178" s="3"/>
      <c r="M178" s="3" t="s">
        <v>3838</v>
      </c>
      <c r="N178" s="17"/>
      <c r="O178" s="17"/>
    </row>
    <row r="179" spans="1:15" ht="25.5" x14ac:dyDescent="0.2">
      <c r="A179" s="21">
        <v>46044</v>
      </c>
      <c r="B179" s="11">
        <f>+MONTH(A179)</f>
        <v>1</v>
      </c>
      <c r="C179" s="11">
        <f>+WEEKNUM(A179)</f>
        <v>4</v>
      </c>
      <c r="D179" s="3" t="s">
        <v>3837</v>
      </c>
      <c r="E179" s="3" t="s">
        <v>3836</v>
      </c>
      <c r="F179" s="3">
        <v>573023626172</v>
      </c>
      <c r="G179" s="3">
        <v>76918</v>
      </c>
      <c r="H179" s="34" t="s">
        <v>12</v>
      </c>
      <c r="I179" s="34" t="s">
        <v>13</v>
      </c>
      <c r="J179" s="3" t="s">
        <v>3835</v>
      </c>
      <c r="K179" s="3" t="s">
        <v>23</v>
      </c>
      <c r="L179" s="3"/>
      <c r="M179" s="3" t="s">
        <v>2887</v>
      </c>
      <c r="N179" s="17"/>
      <c r="O179" s="17"/>
    </row>
    <row r="180" spans="1:15" ht="12.75" x14ac:dyDescent="0.2">
      <c r="A180" s="21">
        <v>46044</v>
      </c>
      <c r="B180" s="11">
        <f>+MONTH(A180)</f>
        <v>1</v>
      </c>
      <c r="C180" s="11">
        <f>+WEEKNUM(A180)</f>
        <v>4</v>
      </c>
      <c r="D180" s="3" t="s">
        <v>2112</v>
      </c>
      <c r="E180" s="3" t="s">
        <v>3834</v>
      </c>
      <c r="F180" s="3">
        <v>573016388323</v>
      </c>
      <c r="G180" s="3">
        <v>76976</v>
      </c>
      <c r="H180" s="34" t="s">
        <v>12</v>
      </c>
      <c r="I180" s="34" t="s">
        <v>13</v>
      </c>
      <c r="J180" s="3"/>
      <c r="K180" s="3" t="s">
        <v>23</v>
      </c>
      <c r="L180" s="3"/>
      <c r="M180" s="3" t="s">
        <v>257</v>
      </c>
      <c r="N180" s="17"/>
      <c r="O180" s="17"/>
    </row>
    <row r="181" spans="1:15" ht="25.5" x14ac:dyDescent="0.2">
      <c r="A181" s="21">
        <v>46044</v>
      </c>
      <c r="B181" s="11">
        <f>+MONTH(A181)</f>
        <v>1</v>
      </c>
      <c r="C181" s="11">
        <f>+WEEKNUM(A181)</f>
        <v>4</v>
      </c>
      <c r="D181" s="3" t="s">
        <v>1499</v>
      </c>
      <c r="E181" s="3" t="s">
        <v>3833</v>
      </c>
      <c r="F181" s="3">
        <v>573124797740</v>
      </c>
      <c r="G181" s="3">
        <v>77286</v>
      </c>
      <c r="H181" s="34" t="s">
        <v>12</v>
      </c>
      <c r="I181" s="34" t="s">
        <v>13</v>
      </c>
      <c r="J181" s="3" t="s">
        <v>3832</v>
      </c>
      <c r="K181" s="3" t="s">
        <v>23</v>
      </c>
      <c r="L181" s="3"/>
      <c r="M181" s="3" t="s">
        <v>2784</v>
      </c>
      <c r="N181" s="17"/>
      <c r="O181" s="17"/>
    </row>
    <row r="182" spans="1:15" ht="25.5" x14ac:dyDescent="0.2">
      <c r="A182" s="21">
        <v>46044</v>
      </c>
      <c r="B182" s="11">
        <f>+MONTH(A182)</f>
        <v>1</v>
      </c>
      <c r="C182" s="11">
        <f>+WEEKNUM(A182)</f>
        <v>4</v>
      </c>
      <c r="D182" s="3" t="s">
        <v>1697</v>
      </c>
      <c r="E182" s="3" t="s">
        <v>3831</v>
      </c>
      <c r="F182" s="3">
        <v>573155165464</v>
      </c>
      <c r="G182" s="3">
        <v>77599</v>
      </c>
      <c r="H182" s="34" t="s">
        <v>12</v>
      </c>
      <c r="I182" s="34" t="s">
        <v>13</v>
      </c>
      <c r="J182" s="3" t="s">
        <v>3830</v>
      </c>
      <c r="K182" s="3" t="s">
        <v>23</v>
      </c>
      <c r="L182" s="3"/>
      <c r="M182" s="3" t="s">
        <v>2840</v>
      </c>
      <c r="N182" s="17"/>
      <c r="O182" s="17"/>
    </row>
    <row r="183" spans="1:15" ht="25.5" x14ac:dyDescent="0.2">
      <c r="A183" s="21">
        <v>46044</v>
      </c>
      <c r="B183" s="11">
        <f>+MONTH(A183)</f>
        <v>1</v>
      </c>
      <c r="C183" s="11">
        <f>+WEEKNUM(A183)</f>
        <v>4</v>
      </c>
      <c r="D183" s="3" t="s">
        <v>2602</v>
      </c>
      <c r="E183" s="3" t="s">
        <v>3829</v>
      </c>
      <c r="F183" s="3">
        <v>573012885519</v>
      </c>
      <c r="G183" s="3">
        <v>77506</v>
      </c>
      <c r="H183" s="34" t="s">
        <v>12</v>
      </c>
      <c r="I183" s="34" t="s">
        <v>13</v>
      </c>
      <c r="J183" s="3" t="s">
        <v>3828</v>
      </c>
      <c r="K183" s="3" t="s">
        <v>23</v>
      </c>
      <c r="L183" s="3"/>
      <c r="M183" s="3" t="s">
        <v>2780</v>
      </c>
      <c r="N183" s="17"/>
      <c r="O183" s="17"/>
    </row>
    <row r="184" spans="1:15" ht="63.75" x14ac:dyDescent="0.2">
      <c r="A184" s="21">
        <v>46044</v>
      </c>
      <c r="B184" s="11">
        <f>+MONTH(A184)</f>
        <v>1</v>
      </c>
      <c r="C184" s="11">
        <f>+WEEKNUM(A184)</f>
        <v>4</v>
      </c>
      <c r="D184" s="3" t="s">
        <v>2214</v>
      </c>
      <c r="E184" s="3" t="s">
        <v>3427</v>
      </c>
      <c r="F184" s="3">
        <v>573013261098</v>
      </c>
      <c r="G184" s="3">
        <v>77477</v>
      </c>
      <c r="H184" s="34" t="s">
        <v>12</v>
      </c>
      <c r="I184" s="34" t="s">
        <v>13</v>
      </c>
      <c r="J184" s="3" t="s">
        <v>3826</v>
      </c>
      <c r="K184" s="3" t="s">
        <v>23</v>
      </c>
      <c r="L184" s="3" t="s">
        <v>3827</v>
      </c>
      <c r="M184" s="3" t="s">
        <v>2784</v>
      </c>
      <c r="N184" s="17"/>
      <c r="O184" s="17"/>
    </row>
    <row r="185" spans="1:15" ht="63.75" x14ac:dyDescent="0.2">
      <c r="A185" s="21">
        <v>46044</v>
      </c>
      <c r="B185" s="11">
        <f>+MONTH(A185)</f>
        <v>1</v>
      </c>
      <c r="C185" s="11">
        <f>+WEEKNUM(A185)</f>
        <v>4</v>
      </c>
      <c r="D185" s="3" t="s">
        <v>2214</v>
      </c>
      <c r="E185" s="3" t="s">
        <v>3427</v>
      </c>
      <c r="F185" s="3">
        <v>573013261098</v>
      </c>
      <c r="G185" s="3">
        <v>77477</v>
      </c>
      <c r="H185" s="34" t="s">
        <v>12</v>
      </c>
      <c r="I185" s="34" t="s">
        <v>13</v>
      </c>
      <c r="J185" s="3" t="s">
        <v>3826</v>
      </c>
      <c r="K185" s="3" t="s">
        <v>23</v>
      </c>
      <c r="L185" s="3"/>
      <c r="M185" s="3" t="s">
        <v>2784</v>
      </c>
      <c r="N185" s="17"/>
      <c r="O185" s="17"/>
    </row>
    <row r="186" spans="1:15" ht="25.5" x14ac:dyDescent="0.2">
      <c r="A186" s="21">
        <v>46044</v>
      </c>
      <c r="B186" s="11">
        <f>+MONTH(A186)</f>
        <v>1</v>
      </c>
      <c r="C186" s="11">
        <f>+WEEKNUM(A186)</f>
        <v>4</v>
      </c>
      <c r="D186" s="3" t="s">
        <v>3825</v>
      </c>
      <c r="E186" s="3" t="s">
        <v>3824</v>
      </c>
      <c r="F186" s="3">
        <v>573197898622</v>
      </c>
      <c r="G186" s="3">
        <v>76962</v>
      </c>
      <c r="H186" s="34" t="s">
        <v>12</v>
      </c>
      <c r="I186" s="34" t="s">
        <v>13</v>
      </c>
      <c r="J186" s="3" t="s">
        <v>3823</v>
      </c>
      <c r="K186" s="3" t="s">
        <v>23</v>
      </c>
      <c r="L186" s="3"/>
      <c r="M186" s="3" t="s">
        <v>2782</v>
      </c>
      <c r="N186" s="17"/>
      <c r="O186" s="17"/>
    </row>
    <row r="187" spans="1:15" ht="89.25" x14ac:dyDescent="0.2">
      <c r="A187" s="21">
        <v>46044</v>
      </c>
      <c r="B187" s="11">
        <f>+MONTH(A187)</f>
        <v>1</v>
      </c>
      <c r="C187" s="11">
        <f>+WEEKNUM(A187)</f>
        <v>4</v>
      </c>
      <c r="D187" s="3" t="s">
        <v>3822</v>
      </c>
      <c r="E187" s="3" t="s">
        <v>3821</v>
      </c>
      <c r="F187" s="3">
        <v>573506397468</v>
      </c>
      <c r="G187" s="3">
        <v>77001</v>
      </c>
      <c r="H187" s="34" t="s">
        <v>12</v>
      </c>
      <c r="I187" s="34" t="s">
        <v>13</v>
      </c>
      <c r="J187" s="3" t="s">
        <v>3820</v>
      </c>
      <c r="K187" s="3" t="s">
        <v>23</v>
      </c>
      <c r="L187" s="3"/>
      <c r="M187" s="3" t="s">
        <v>2780</v>
      </c>
      <c r="N187" s="17"/>
      <c r="O187" s="17"/>
    </row>
    <row r="188" spans="1:15" ht="25.5" x14ac:dyDescent="0.2">
      <c r="A188" s="21">
        <v>46044</v>
      </c>
      <c r="B188" s="11">
        <f>+MONTH(A188)</f>
        <v>1</v>
      </c>
      <c r="C188" s="11">
        <f>+WEEKNUM(A188)</f>
        <v>4</v>
      </c>
      <c r="D188" s="3" t="s">
        <v>1539</v>
      </c>
      <c r="E188" s="3" t="s">
        <v>3819</v>
      </c>
      <c r="F188" s="3">
        <v>573183350038</v>
      </c>
      <c r="G188" s="3">
        <v>76087</v>
      </c>
      <c r="H188" s="34" t="s">
        <v>12</v>
      </c>
      <c r="I188" s="34" t="s">
        <v>13</v>
      </c>
      <c r="J188" s="3"/>
      <c r="K188" s="3" t="s">
        <v>23</v>
      </c>
      <c r="L188" s="3"/>
      <c r="M188" s="3" t="s">
        <v>257</v>
      </c>
      <c r="N188" s="17"/>
      <c r="O188" s="17"/>
    </row>
    <row r="189" spans="1:15" ht="96" x14ac:dyDescent="0.2">
      <c r="A189" s="52">
        <v>46043</v>
      </c>
      <c r="B189" s="48">
        <f>+MONTH(A189)</f>
        <v>1</v>
      </c>
      <c r="C189" s="48">
        <f>+WEEKNUM(A189)</f>
        <v>4</v>
      </c>
      <c r="D189" s="46" t="s">
        <v>1937</v>
      </c>
      <c r="E189" s="46" t="s">
        <v>3814</v>
      </c>
      <c r="F189" s="46">
        <v>573214910901</v>
      </c>
      <c r="G189" s="46">
        <v>77254</v>
      </c>
      <c r="H189" s="47" t="s">
        <v>12</v>
      </c>
      <c r="I189" s="47" t="s">
        <v>13</v>
      </c>
      <c r="J189" s="56" t="s">
        <v>3813</v>
      </c>
      <c r="K189" s="46" t="s">
        <v>23</v>
      </c>
      <c r="L189" s="46"/>
      <c r="M189" s="46" t="s">
        <v>2810</v>
      </c>
      <c r="N189" s="17"/>
      <c r="O189" s="17"/>
    </row>
    <row r="190" spans="1:15" ht="25.5" x14ac:dyDescent="0.2">
      <c r="A190" s="52">
        <v>46043</v>
      </c>
      <c r="B190" s="48">
        <f>+MONTH(A190)</f>
        <v>1</v>
      </c>
      <c r="C190" s="48">
        <f>+WEEKNUM(A190)</f>
        <v>4</v>
      </c>
      <c r="D190" s="46" t="s">
        <v>3812</v>
      </c>
      <c r="E190" s="46" t="s">
        <v>3811</v>
      </c>
      <c r="F190" s="46">
        <v>573164912365</v>
      </c>
      <c r="G190" s="46">
        <v>77503</v>
      </c>
      <c r="H190" s="47" t="s">
        <v>12</v>
      </c>
      <c r="I190" s="47" t="s">
        <v>13</v>
      </c>
      <c r="J190" s="46"/>
      <c r="K190" s="46" t="s">
        <v>23</v>
      </c>
      <c r="L190" s="46"/>
      <c r="M190" s="46">
        <v>72</v>
      </c>
      <c r="N190" s="17"/>
      <c r="O190" s="17"/>
    </row>
    <row r="191" spans="1:15" ht="12.75" x14ac:dyDescent="0.2">
      <c r="A191" s="52">
        <v>46043</v>
      </c>
      <c r="B191" s="48">
        <f>+MONTH(A191)</f>
        <v>1</v>
      </c>
      <c r="C191" s="48">
        <f>+WEEKNUM(A191)</f>
        <v>4</v>
      </c>
      <c r="D191" s="46" t="s">
        <v>3810</v>
      </c>
      <c r="E191" s="46" t="s">
        <v>3809</v>
      </c>
      <c r="F191" s="46">
        <v>573173092660</v>
      </c>
      <c r="G191" s="46">
        <v>77455</v>
      </c>
      <c r="H191" s="47" t="s">
        <v>12</v>
      </c>
      <c r="I191" s="47" t="s">
        <v>13</v>
      </c>
      <c r="J191" s="46"/>
      <c r="K191" s="46" t="s">
        <v>23</v>
      </c>
      <c r="L191" s="46"/>
      <c r="M191" s="46" t="s">
        <v>2784</v>
      </c>
      <c r="N191" s="17"/>
      <c r="O191" s="17"/>
    </row>
    <row r="192" spans="1:15" ht="51" x14ac:dyDescent="0.2">
      <c r="A192" s="52">
        <v>46043</v>
      </c>
      <c r="B192" s="48">
        <f>+MONTH(A192)</f>
        <v>1</v>
      </c>
      <c r="C192" s="48">
        <f>+WEEKNUM(A192)</f>
        <v>4</v>
      </c>
      <c r="D192" s="46" t="s">
        <v>1499</v>
      </c>
      <c r="E192" s="46" t="s">
        <v>3808</v>
      </c>
      <c r="F192" s="46">
        <v>573192890181</v>
      </c>
      <c r="G192" s="46">
        <v>76864</v>
      </c>
      <c r="H192" s="47" t="s">
        <v>71</v>
      </c>
      <c r="I192" s="47" t="s">
        <v>22</v>
      </c>
      <c r="J192" s="53" t="s">
        <v>3807</v>
      </c>
      <c r="K192" s="46"/>
      <c r="L192" s="46"/>
      <c r="M192" s="46" t="s">
        <v>3806</v>
      </c>
      <c r="N192" s="17"/>
      <c r="O192" s="17"/>
    </row>
    <row r="193" spans="1:15" ht="63.75" x14ac:dyDescent="0.2">
      <c r="A193" s="52">
        <v>46043</v>
      </c>
      <c r="B193" s="48">
        <f>+MONTH(A193)</f>
        <v>1</v>
      </c>
      <c r="C193" s="48">
        <f>+WEEKNUM(A193)</f>
        <v>4</v>
      </c>
      <c r="D193" s="46" t="s">
        <v>1939</v>
      </c>
      <c r="E193" s="46" t="s">
        <v>3206</v>
      </c>
      <c r="F193" s="46">
        <v>573162838965</v>
      </c>
      <c r="G193" s="46">
        <v>77290</v>
      </c>
      <c r="H193" s="47" t="s">
        <v>12</v>
      </c>
      <c r="I193" s="47" t="s">
        <v>13</v>
      </c>
      <c r="J193" s="53" t="s">
        <v>3433</v>
      </c>
      <c r="K193" s="46" t="s">
        <v>23</v>
      </c>
      <c r="L193" s="46"/>
      <c r="M193" s="46" t="s">
        <v>2810</v>
      </c>
      <c r="N193" s="17"/>
      <c r="O193" s="17"/>
    </row>
    <row r="194" spans="1:15" ht="25.5" x14ac:dyDescent="0.2">
      <c r="A194" s="52">
        <v>46043</v>
      </c>
      <c r="B194" s="48">
        <f>+MONTH(A194)</f>
        <v>1</v>
      </c>
      <c r="C194" s="48">
        <f>+WEEKNUM(A194)</f>
        <v>4</v>
      </c>
      <c r="D194" s="46" t="s">
        <v>3805</v>
      </c>
      <c r="E194" s="46" t="s">
        <v>3804</v>
      </c>
      <c r="F194" s="46">
        <v>573043765034</v>
      </c>
      <c r="G194" s="46">
        <v>77204</v>
      </c>
      <c r="H194" s="47" t="s">
        <v>12</v>
      </c>
      <c r="I194" s="47" t="s">
        <v>13</v>
      </c>
      <c r="J194" s="46" t="s">
        <v>3803</v>
      </c>
      <c r="K194" s="46" t="s">
        <v>23</v>
      </c>
      <c r="L194" s="46"/>
      <c r="M194" s="46" t="s">
        <v>2784</v>
      </c>
      <c r="N194" s="17"/>
      <c r="O194" s="17"/>
    </row>
    <row r="195" spans="1:15" ht="25.5" x14ac:dyDescent="0.2">
      <c r="A195" s="52">
        <v>46043</v>
      </c>
      <c r="B195" s="48">
        <f>+MONTH(A195)</f>
        <v>1</v>
      </c>
      <c r="C195" s="48">
        <f>+WEEKNUM(A195)</f>
        <v>4</v>
      </c>
      <c r="D195" s="46" t="s">
        <v>3802</v>
      </c>
      <c r="E195" s="46" t="s">
        <v>3801</v>
      </c>
      <c r="F195" s="46">
        <v>573016381218</v>
      </c>
      <c r="G195" s="46">
        <v>77281</v>
      </c>
      <c r="H195" s="47" t="s">
        <v>12</v>
      </c>
      <c r="I195" s="47" t="s">
        <v>13</v>
      </c>
      <c r="J195" s="46" t="s">
        <v>3800</v>
      </c>
      <c r="K195" s="46" t="s">
        <v>23</v>
      </c>
      <c r="L195" s="46"/>
      <c r="M195" s="46" t="s">
        <v>2784</v>
      </c>
      <c r="N195" s="17"/>
      <c r="O195" s="17"/>
    </row>
    <row r="196" spans="1:15" ht="25.5" x14ac:dyDescent="0.2">
      <c r="A196" s="52">
        <v>46043</v>
      </c>
      <c r="B196" s="48">
        <f>+MONTH(A196)</f>
        <v>1</v>
      </c>
      <c r="C196" s="48">
        <f>+WEEKNUM(A196)</f>
        <v>4</v>
      </c>
      <c r="D196" s="46" t="s">
        <v>3799</v>
      </c>
      <c r="E196" s="46" t="s">
        <v>3798</v>
      </c>
      <c r="F196" s="46">
        <v>573106085050</v>
      </c>
      <c r="G196" s="46">
        <v>77008</v>
      </c>
      <c r="H196" s="47" t="s">
        <v>12</v>
      </c>
      <c r="I196" s="47" t="s">
        <v>13</v>
      </c>
      <c r="J196" s="46" t="s">
        <v>3797</v>
      </c>
      <c r="K196" s="46" t="s">
        <v>23</v>
      </c>
      <c r="L196" s="46"/>
      <c r="M196" s="46" t="s">
        <v>2782</v>
      </c>
      <c r="N196" s="17"/>
      <c r="O196" s="17"/>
    </row>
    <row r="197" spans="1:15" ht="25.5" x14ac:dyDescent="0.2">
      <c r="A197" s="52">
        <v>46043</v>
      </c>
      <c r="B197" s="48">
        <f>+MONTH(A197)</f>
        <v>1</v>
      </c>
      <c r="C197" s="48">
        <f>+WEEKNUM(A197)</f>
        <v>4</v>
      </c>
      <c r="D197" s="46" t="s">
        <v>3796</v>
      </c>
      <c r="E197" s="46" t="s">
        <v>3795</v>
      </c>
      <c r="F197" s="46">
        <v>573102623167</v>
      </c>
      <c r="G197" s="46">
        <v>77133</v>
      </c>
      <c r="H197" s="47" t="s">
        <v>12</v>
      </c>
      <c r="I197" s="47" t="s">
        <v>13</v>
      </c>
      <c r="J197" s="46" t="s">
        <v>3794</v>
      </c>
      <c r="K197" s="46" t="s">
        <v>23</v>
      </c>
      <c r="L197" s="46"/>
      <c r="M197" s="46" t="s">
        <v>3793</v>
      </c>
      <c r="N197" s="17"/>
      <c r="O197" s="17"/>
    </row>
    <row r="198" spans="1:15" ht="25.5" x14ac:dyDescent="0.2">
      <c r="A198" s="52">
        <v>46043</v>
      </c>
      <c r="B198" s="48">
        <f>+MONTH(A198)</f>
        <v>1</v>
      </c>
      <c r="C198" s="48">
        <f>+WEEKNUM(A198)</f>
        <v>4</v>
      </c>
      <c r="D198" s="46" t="s">
        <v>1640</v>
      </c>
      <c r="E198" s="46" t="s">
        <v>3792</v>
      </c>
      <c r="F198" s="46">
        <v>573114417917</v>
      </c>
      <c r="G198" s="46">
        <v>77487</v>
      </c>
      <c r="H198" s="47" t="s">
        <v>12</v>
      </c>
      <c r="I198" s="47" t="s">
        <v>13</v>
      </c>
      <c r="J198" s="46" t="s">
        <v>3791</v>
      </c>
      <c r="K198" s="46" t="s">
        <v>23</v>
      </c>
      <c r="L198" s="46"/>
      <c r="M198" s="46" t="s">
        <v>2810</v>
      </c>
      <c r="N198" s="17"/>
      <c r="O198" s="17"/>
    </row>
    <row r="199" spans="1:15" ht="12.75" x14ac:dyDescent="0.2">
      <c r="A199" s="52">
        <v>46043</v>
      </c>
      <c r="B199" s="48">
        <f>+MONTH(A199)</f>
        <v>1</v>
      </c>
      <c r="C199" s="48">
        <f>+WEEKNUM(A199)</f>
        <v>4</v>
      </c>
      <c r="D199" s="46" t="s">
        <v>3790</v>
      </c>
      <c r="E199" s="46" t="s">
        <v>3789</v>
      </c>
      <c r="F199" s="46">
        <v>573142227320</v>
      </c>
      <c r="G199" s="46">
        <v>77138</v>
      </c>
      <c r="H199" s="47" t="s">
        <v>12</v>
      </c>
      <c r="I199" s="47" t="s">
        <v>13</v>
      </c>
      <c r="J199" s="46" t="s">
        <v>64</v>
      </c>
      <c r="K199" s="46" t="s">
        <v>23</v>
      </c>
      <c r="L199" s="46"/>
      <c r="M199" s="46" t="s">
        <v>3243</v>
      </c>
      <c r="N199" s="17"/>
      <c r="O199" s="17"/>
    </row>
    <row r="200" spans="1:15" ht="25.5" x14ac:dyDescent="0.2">
      <c r="A200" s="52">
        <v>46043</v>
      </c>
      <c r="B200" s="48">
        <f>+MONTH(A200)</f>
        <v>1</v>
      </c>
      <c r="C200" s="48">
        <f>+WEEKNUM(A200)</f>
        <v>4</v>
      </c>
      <c r="D200" s="46" t="s">
        <v>3788</v>
      </c>
      <c r="E200" s="46" t="s">
        <v>3787</v>
      </c>
      <c r="F200" s="46">
        <v>573117197619</v>
      </c>
      <c r="G200" s="46">
        <v>76868</v>
      </c>
      <c r="H200" s="47" t="s">
        <v>12</v>
      </c>
      <c r="I200" s="47" t="s">
        <v>13</v>
      </c>
      <c r="J200" s="46" t="s">
        <v>3786</v>
      </c>
      <c r="K200" s="46" t="s">
        <v>23</v>
      </c>
      <c r="L200" s="46"/>
      <c r="M200" s="46" t="s">
        <v>2780</v>
      </c>
      <c r="N200" s="17"/>
      <c r="O200" s="17"/>
    </row>
    <row r="201" spans="1:15" ht="25.5" x14ac:dyDescent="0.2">
      <c r="A201" s="52">
        <v>46043</v>
      </c>
      <c r="B201" s="48">
        <f>+MONTH(A201)</f>
        <v>1</v>
      </c>
      <c r="C201" s="48">
        <f>+WEEKNUM(A201)</f>
        <v>4</v>
      </c>
      <c r="D201" s="46" t="s">
        <v>3785</v>
      </c>
      <c r="E201" s="46" t="s">
        <v>3784</v>
      </c>
      <c r="F201" s="46">
        <v>573144442365</v>
      </c>
      <c r="G201" s="46">
        <v>76979</v>
      </c>
      <c r="H201" s="47" t="s">
        <v>12</v>
      </c>
      <c r="I201" s="47" t="s">
        <v>13</v>
      </c>
      <c r="J201" s="46" t="s">
        <v>3783</v>
      </c>
      <c r="K201" s="46" t="s">
        <v>23</v>
      </c>
      <c r="L201" s="46"/>
      <c r="M201" s="46" t="s">
        <v>3243</v>
      </c>
      <c r="N201" s="17"/>
      <c r="O201" s="17"/>
    </row>
    <row r="202" spans="1:15" ht="38.25" x14ac:dyDescent="0.2">
      <c r="A202" s="52">
        <v>46043</v>
      </c>
      <c r="B202" s="48">
        <f>+MONTH(A202)</f>
        <v>1</v>
      </c>
      <c r="C202" s="48">
        <f>+WEEKNUM(A202)</f>
        <v>4</v>
      </c>
      <c r="D202" s="46" t="s">
        <v>1937</v>
      </c>
      <c r="E202" s="46" t="s">
        <v>3782</v>
      </c>
      <c r="F202" s="46">
        <v>573174274121</v>
      </c>
      <c r="G202" s="46">
        <v>76925</v>
      </c>
      <c r="H202" s="47" t="s">
        <v>12</v>
      </c>
      <c r="I202" s="47" t="s">
        <v>13</v>
      </c>
      <c r="J202" s="46" t="s">
        <v>3781</v>
      </c>
      <c r="K202" s="46" t="s">
        <v>23</v>
      </c>
      <c r="L202" s="46"/>
      <c r="M202" s="46" t="s">
        <v>3243</v>
      </c>
      <c r="N202" s="17"/>
      <c r="O202" s="17"/>
    </row>
    <row r="203" spans="1:15" ht="25.5" x14ac:dyDescent="0.2">
      <c r="A203" s="52">
        <v>46042</v>
      </c>
      <c r="B203" s="48">
        <f>+MONTH(A203)</f>
        <v>1</v>
      </c>
      <c r="C203" s="48">
        <f>+WEEKNUM(A203)</f>
        <v>4</v>
      </c>
      <c r="D203" s="46" t="s">
        <v>3780</v>
      </c>
      <c r="E203" s="46" t="s">
        <v>3779</v>
      </c>
      <c r="F203" s="46">
        <v>573183577440</v>
      </c>
      <c r="G203" s="46">
        <v>76861</v>
      </c>
      <c r="H203" s="47" t="s">
        <v>12</v>
      </c>
      <c r="I203" s="47" t="s">
        <v>13</v>
      </c>
      <c r="J203" s="46"/>
      <c r="K203" s="46" t="s">
        <v>23</v>
      </c>
      <c r="L203" s="46"/>
      <c r="M203" s="46" t="s">
        <v>2780</v>
      </c>
      <c r="N203" s="17"/>
      <c r="O203" s="17"/>
    </row>
    <row r="204" spans="1:15" ht="25.5" x14ac:dyDescent="0.2">
      <c r="A204" s="52">
        <v>46042</v>
      </c>
      <c r="B204" s="48">
        <f>+MONTH(A204)</f>
        <v>1</v>
      </c>
      <c r="C204" s="48">
        <f>+WEEKNUM(A204)</f>
        <v>4</v>
      </c>
      <c r="D204" s="46" t="s">
        <v>3778</v>
      </c>
      <c r="E204" s="46" t="s">
        <v>3777</v>
      </c>
      <c r="F204" s="46">
        <v>573007259624</v>
      </c>
      <c r="G204" s="46">
        <v>76713</v>
      </c>
      <c r="H204" s="47" t="s">
        <v>12</v>
      </c>
      <c r="I204" s="47" t="s">
        <v>13</v>
      </c>
      <c r="J204" s="46" t="s">
        <v>3776</v>
      </c>
      <c r="K204" s="46" t="s">
        <v>23</v>
      </c>
      <c r="L204" s="46"/>
      <c r="M204" s="46" t="s">
        <v>3775</v>
      </c>
      <c r="N204" s="17"/>
      <c r="O204" s="17"/>
    </row>
    <row r="205" spans="1:15" ht="12.75" x14ac:dyDescent="0.2">
      <c r="A205" s="52">
        <v>46042</v>
      </c>
      <c r="B205" s="48">
        <f>+MONTH(A205)</f>
        <v>1</v>
      </c>
      <c r="C205" s="48">
        <f>+WEEKNUM(A205)</f>
        <v>4</v>
      </c>
      <c r="D205" s="46" t="s">
        <v>3774</v>
      </c>
      <c r="E205" s="46" t="s">
        <v>3773</v>
      </c>
      <c r="F205" s="46">
        <v>573157278767</v>
      </c>
      <c r="G205" s="46">
        <v>77092</v>
      </c>
      <c r="H205" s="47" t="s">
        <v>71</v>
      </c>
      <c r="I205" s="47" t="s">
        <v>22</v>
      </c>
      <c r="J205" s="46" t="s">
        <v>3772</v>
      </c>
      <c r="K205" s="46"/>
      <c r="L205" s="46"/>
      <c r="M205" s="46" t="s">
        <v>3771</v>
      </c>
      <c r="N205" s="17"/>
      <c r="O205" s="17"/>
    </row>
    <row r="206" spans="1:15" ht="25.5" x14ac:dyDescent="0.2">
      <c r="A206" s="52">
        <v>46042</v>
      </c>
      <c r="B206" s="48">
        <f>+MONTH(A206)</f>
        <v>1</v>
      </c>
      <c r="C206" s="48">
        <f>+WEEKNUM(A206)</f>
        <v>4</v>
      </c>
      <c r="D206" s="46" t="s">
        <v>2410</v>
      </c>
      <c r="E206" s="46" t="s">
        <v>2411</v>
      </c>
      <c r="F206" s="46">
        <v>573006145534</v>
      </c>
      <c r="G206" s="46">
        <v>76981</v>
      </c>
      <c r="H206" s="47" t="s">
        <v>12</v>
      </c>
      <c r="I206" s="47" t="s">
        <v>13</v>
      </c>
      <c r="J206" s="46" t="s">
        <v>165</v>
      </c>
      <c r="K206" s="46" t="s">
        <v>23</v>
      </c>
      <c r="L206" s="46"/>
      <c r="M206" s="46" t="s">
        <v>257</v>
      </c>
      <c r="N206" s="17"/>
      <c r="O206" s="17"/>
    </row>
    <row r="207" spans="1:15" ht="102" x14ac:dyDescent="0.2">
      <c r="A207" s="52">
        <v>46042</v>
      </c>
      <c r="B207" s="48">
        <f>+MONTH(A207)</f>
        <v>1</v>
      </c>
      <c r="C207" s="48">
        <f>+WEEKNUM(A207)</f>
        <v>4</v>
      </c>
      <c r="D207" s="46" t="s">
        <v>3770</v>
      </c>
      <c r="E207" s="46" t="s">
        <v>3769</v>
      </c>
      <c r="F207" s="46">
        <v>573107529171</v>
      </c>
      <c r="G207" s="46">
        <v>77233</v>
      </c>
      <c r="H207" s="47" t="s">
        <v>12</v>
      </c>
      <c r="I207" s="47" t="s">
        <v>13</v>
      </c>
      <c r="J207" s="46" t="s">
        <v>3768</v>
      </c>
      <c r="K207" s="46" t="s">
        <v>23</v>
      </c>
      <c r="L207" s="46"/>
      <c r="M207" s="46" t="s">
        <v>3493</v>
      </c>
      <c r="N207" s="17"/>
      <c r="O207" s="17"/>
    </row>
    <row r="208" spans="1:15" ht="25.5" x14ac:dyDescent="0.2">
      <c r="A208" s="52">
        <v>46042</v>
      </c>
      <c r="B208" s="48">
        <f>+MONTH(A208)</f>
        <v>1</v>
      </c>
      <c r="C208" s="48">
        <f>+WEEKNUM(A208)</f>
        <v>4</v>
      </c>
      <c r="D208" s="46" t="s">
        <v>1527</v>
      </c>
      <c r="E208" s="46" t="s">
        <v>1528</v>
      </c>
      <c r="F208" s="46">
        <v>573164964457</v>
      </c>
      <c r="G208" s="46">
        <v>77419</v>
      </c>
      <c r="H208" s="47" t="s">
        <v>12</v>
      </c>
      <c r="I208" s="47" t="s">
        <v>13</v>
      </c>
      <c r="J208" s="46" t="s">
        <v>3767</v>
      </c>
      <c r="K208" s="46" t="s">
        <v>23</v>
      </c>
      <c r="L208" s="46"/>
      <c r="M208" s="46" t="s">
        <v>2821</v>
      </c>
      <c r="N208" s="17"/>
      <c r="O208" s="17"/>
    </row>
    <row r="209" spans="1:15" ht="25.5" x14ac:dyDescent="0.2">
      <c r="A209" s="52">
        <v>46042</v>
      </c>
      <c r="B209" s="48">
        <f>+MONTH(A209)</f>
        <v>1</v>
      </c>
      <c r="C209" s="48">
        <f>+WEEKNUM(A209)</f>
        <v>4</v>
      </c>
      <c r="D209" s="46" t="s">
        <v>3766</v>
      </c>
      <c r="E209" s="46" t="s">
        <v>3765</v>
      </c>
      <c r="F209" s="46">
        <v>573124298122</v>
      </c>
      <c r="G209" s="46">
        <v>77065</v>
      </c>
      <c r="H209" s="47" t="s">
        <v>12</v>
      </c>
      <c r="I209" s="47" t="s">
        <v>13</v>
      </c>
      <c r="J209" s="46" t="s">
        <v>3764</v>
      </c>
      <c r="K209" s="46" t="s">
        <v>23</v>
      </c>
      <c r="L209" s="46"/>
      <c r="M209" s="46" t="s">
        <v>2784</v>
      </c>
      <c r="N209" s="17"/>
      <c r="O209" s="17"/>
    </row>
    <row r="210" spans="1:15" ht="12.75" x14ac:dyDescent="0.2">
      <c r="A210" s="52">
        <v>46042</v>
      </c>
      <c r="B210" s="48">
        <f>+MONTH(A210)</f>
        <v>1</v>
      </c>
      <c r="C210" s="48">
        <f>+WEEKNUM(A210)</f>
        <v>4</v>
      </c>
      <c r="D210" s="46" t="s">
        <v>1496</v>
      </c>
      <c r="E210" s="46" t="s">
        <v>3763</v>
      </c>
      <c r="F210" s="46">
        <v>573012688799</v>
      </c>
      <c r="G210" s="46">
        <v>76846</v>
      </c>
      <c r="H210" s="47" t="s">
        <v>12</v>
      </c>
      <c r="I210" s="47" t="s">
        <v>13</v>
      </c>
      <c r="J210" s="46" t="s">
        <v>3762</v>
      </c>
      <c r="K210" s="46" t="s">
        <v>23</v>
      </c>
      <c r="L210" s="46"/>
      <c r="M210" s="46" t="s">
        <v>2782</v>
      </c>
      <c r="N210" s="17"/>
      <c r="O210" s="17"/>
    </row>
    <row r="211" spans="1:15" ht="38.25" x14ac:dyDescent="0.2">
      <c r="A211" s="52">
        <v>46042</v>
      </c>
      <c r="B211" s="48">
        <f>+MONTH(A211)</f>
        <v>1</v>
      </c>
      <c r="C211" s="48">
        <f>+WEEKNUM(A211)</f>
        <v>4</v>
      </c>
      <c r="D211" s="46" t="s">
        <v>3712</v>
      </c>
      <c r="E211" s="46" t="s">
        <v>3711</v>
      </c>
      <c r="F211" s="46">
        <v>573214853418</v>
      </c>
      <c r="G211" s="46">
        <v>77356</v>
      </c>
      <c r="H211" s="47" t="s">
        <v>12</v>
      </c>
      <c r="I211" s="47" t="s">
        <v>13</v>
      </c>
      <c r="J211" s="46" t="s">
        <v>3761</v>
      </c>
      <c r="K211" s="46" t="s">
        <v>23</v>
      </c>
      <c r="L211" s="46"/>
      <c r="M211" s="46">
        <v>45</v>
      </c>
      <c r="N211" s="17"/>
      <c r="O211" s="17"/>
    </row>
    <row r="212" spans="1:15" ht="51" x14ac:dyDescent="0.2">
      <c r="A212" s="52">
        <v>46042</v>
      </c>
      <c r="B212" s="48">
        <f>+MONTH(A212)</f>
        <v>1</v>
      </c>
      <c r="C212" s="48">
        <f>+WEEKNUM(A212)</f>
        <v>4</v>
      </c>
      <c r="D212" s="46" t="s">
        <v>1865</v>
      </c>
      <c r="E212" s="46" t="s">
        <v>1866</v>
      </c>
      <c r="F212" s="46">
        <v>573133173323</v>
      </c>
      <c r="G212" s="46">
        <v>76596</v>
      </c>
      <c r="H212" s="47" t="s">
        <v>12</v>
      </c>
      <c r="I212" s="47" t="s">
        <v>13</v>
      </c>
      <c r="J212" s="46" t="s">
        <v>3760</v>
      </c>
      <c r="K212" s="46" t="s">
        <v>23</v>
      </c>
      <c r="L212" s="46"/>
      <c r="M212" s="46" t="s">
        <v>3759</v>
      </c>
      <c r="N212" s="17"/>
      <c r="O212" s="17"/>
    </row>
    <row r="213" spans="1:15" ht="38.25" x14ac:dyDescent="0.2">
      <c r="A213" s="52">
        <v>46042</v>
      </c>
      <c r="B213" s="48">
        <f>+MONTH(A213)</f>
        <v>1</v>
      </c>
      <c r="C213" s="48">
        <f>+WEEKNUM(A213)</f>
        <v>4</v>
      </c>
      <c r="D213" s="46" t="s">
        <v>3758</v>
      </c>
      <c r="E213" s="46" t="s">
        <v>3757</v>
      </c>
      <c r="F213" s="46">
        <v>573006032455</v>
      </c>
      <c r="G213" s="46">
        <v>77255</v>
      </c>
      <c r="H213" s="47" t="s">
        <v>12</v>
      </c>
      <c r="I213" s="47" t="s">
        <v>13</v>
      </c>
      <c r="J213" s="46" t="s">
        <v>3756</v>
      </c>
      <c r="K213" s="46" t="s">
        <v>23</v>
      </c>
      <c r="L213" s="46"/>
      <c r="M213" s="46" t="s">
        <v>3755</v>
      </c>
      <c r="N213" s="17"/>
      <c r="O213" s="17"/>
    </row>
    <row r="214" spans="1:15" ht="25.5" x14ac:dyDescent="0.2">
      <c r="A214" s="52">
        <v>46042</v>
      </c>
      <c r="B214" s="48">
        <f>+MONTH(A214)</f>
        <v>1</v>
      </c>
      <c r="C214" s="48">
        <f>+WEEKNUM(A214)</f>
        <v>4</v>
      </c>
      <c r="D214" s="46" t="s">
        <v>3754</v>
      </c>
      <c r="E214" s="46" t="s">
        <v>3753</v>
      </c>
      <c r="F214" s="46">
        <v>573154448735</v>
      </c>
      <c r="G214" s="46">
        <v>77294</v>
      </c>
      <c r="H214" s="47" t="s">
        <v>12</v>
      </c>
      <c r="I214" s="47" t="s">
        <v>13</v>
      </c>
      <c r="J214" s="46" t="s">
        <v>3752</v>
      </c>
      <c r="K214" s="46" t="s">
        <v>23</v>
      </c>
      <c r="L214" s="46"/>
      <c r="M214" s="46" t="s">
        <v>3751</v>
      </c>
      <c r="N214" s="17"/>
      <c r="O214" s="17"/>
    </row>
    <row r="215" spans="1:15" ht="12.75" x14ac:dyDescent="0.2">
      <c r="A215" s="52">
        <v>46042</v>
      </c>
      <c r="B215" s="48">
        <f>+MONTH(A215)</f>
        <v>1</v>
      </c>
      <c r="C215" s="48">
        <f>+WEEKNUM(A215)</f>
        <v>4</v>
      </c>
      <c r="D215" s="46" t="s">
        <v>3750</v>
      </c>
      <c r="E215" s="46" t="s">
        <v>3749</v>
      </c>
      <c r="F215" s="46">
        <v>573208011353</v>
      </c>
      <c r="G215" s="46">
        <v>77171</v>
      </c>
      <c r="H215" s="47" t="s">
        <v>12</v>
      </c>
      <c r="I215" s="47" t="s">
        <v>13</v>
      </c>
      <c r="J215" s="46" t="s">
        <v>3748</v>
      </c>
      <c r="K215" s="46" t="s">
        <v>23</v>
      </c>
      <c r="L215" s="46"/>
      <c r="M215" s="46" t="s">
        <v>2782</v>
      </c>
      <c r="N215" s="17"/>
      <c r="O215" s="17"/>
    </row>
    <row r="216" spans="1:15" ht="38.25" x14ac:dyDescent="0.2">
      <c r="A216" s="52">
        <v>46042</v>
      </c>
      <c r="B216" s="48">
        <f>+MONTH(A216)</f>
        <v>1</v>
      </c>
      <c r="C216" s="48">
        <f>+WEEKNUM(A216)</f>
        <v>4</v>
      </c>
      <c r="D216" s="46" t="s">
        <v>3192</v>
      </c>
      <c r="E216" s="46" t="s">
        <v>3747</v>
      </c>
      <c r="F216" s="46">
        <v>573184935856</v>
      </c>
      <c r="G216" s="46">
        <v>70171</v>
      </c>
      <c r="H216" s="47" t="s">
        <v>12</v>
      </c>
      <c r="I216" s="47" t="s">
        <v>13</v>
      </c>
      <c r="J216" s="46" t="s">
        <v>3746</v>
      </c>
      <c r="K216" s="46" t="s">
        <v>23</v>
      </c>
      <c r="L216" s="46"/>
      <c r="M216" s="46" t="s">
        <v>2810</v>
      </c>
      <c r="N216" s="17"/>
      <c r="O216" s="17"/>
    </row>
    <row r="217" spans="1:15" ht="25.5" x14ac:dyDescent="0.2">
      <c r="A217" s="52">
        <v>46042</v>
      </c>
      <c r="B217" s="48">
        <f>+MONTH(A217)</f>
        <v>1</v>
      </c>
      <c r="C217" s="48">
        <f>+WEEKNUM(A217)</f>
        <v>4</v>
      </c>
      <c r="D217" s="46" t="s">
        <v>3745</v>
      </c>
      <c r="E217" s="46" t="s">
        <v>3744</v>
      </c>
      <c r="F217" s="46">
        <v>573155338740</v>
      </c>
      <c r="G217" s="46">
        <v>77059</v>
      </c>
      <c r="H217" s="47" t="s">
        <v>12</v>
      </c>
      <c r="I217" s="47" t="s">
        <v>13</v>
      </c>
      <c r="J217" s="46" t="s">
        <v>3743</v>
      </c>
      <c r="K217" s="46" t="s">
        <v>23</v>
      </c>
      <c r="L217" s="46"/>
      <c r="M217" s="46" t="s">
        <v>2782</v>
      </c>
      <c r="N217" s="17"/>
      <c r="O217" s="17"/>
    </row>
    <row r="218" spans="1:15" ht="12.75" x14ac:dyDescent="0.2">
      <c r="A218" s="52">
        <v>46042</v>
      </c>
      <c r="B218" s="48">
        <f>+MONTH(A218)</f>
        <v>1</v>
      </c>
      <c r="C218" s="48">
        <f>+WEEKNUM(A218)</f>
        <v>4</v>
      </c>
      <c r="D218" s="46" t="s">
        <v>2050</v>
      </c>
      <c r="E218" s="46" t="s">
        <v>3742</v>
      </c>
      <c r="F218" s="46">
        <v>573045791269</v>
      </c>
      <c r="G218" s="46">
        <v>77351</v>
      </c>
      <c r="H218" s="47" t="s">
        <v>12</v>
      </c>
      <c r="I218" s="47" t="s">
        <v>13</v>
      </c>
      <c r="J218" s="46" t="s">
        <v>3741</v>
      </c>
      <c r="K218" s="46" t="s">
        <v>23</v>
      </c>
      <c r="L218" s="46"/>
      <c r="M218" s="46">
        <v>90</v>
      </c>
      <c r="N218" s="17"/>
      <c r="O218" s="17"/>
    </row>
    <row r="219" spans="1:15" ht="25.5" x14ac:dyDescent="0.2">
      <c r="A219" s="52">
        <v>46042</v>
      </c>
      <c r="B219" s="48">
        <f>+MONTH(A219)</f>
        <v>1</v>
      </c>
      <c r="C219" s="48">
        <f>+WEEKNUM(A219)</f>
        <v>4</v>
      </c>
      <c r="D219" s="46" t="s">
        <v>2839</v>
      </c>
      <c r="E219" s="46" t="s">
        <v>2838</v>
      </c>
      <c r="F219" s="46">
        <v>573023962294</v>
      </c>
      <c r="G219" s="46">
        <v>77069</v>
      </c>
      <c r="H219" s="47" t="s">
        <v>12</v>
      </c>
      <c r="I219" s="47" t="s">
        <v>13</v>
      </c>
      <c r="J219" s="46" t="s">
        <v>3674</v>
      </c>
      <c r="K219" s="46" t="s">
        <v>23</v>
      </c>
      <c r="L219" s="46"/>
      <c r="M219" s="46" t="s">
        <v>2822</v>
      </c>
      <c r="N219" s="17"/>
      <c r="O219" s="17"/>
    </row>
    <row r="220" spans="1:15" ht="12.75" x14ac:dyDescent="0.2">
      <c r="A220" s="52">
        <v>46041</v>
      </c>
      <c r="B220" s="48">
        <f>+MONTH(A220)</f>
        <v>1</v>
      </c>
      <c r="C220" s="48">
        <f>+WEEKNUM(A220)</f>
        <v>4</v>
      </c>
      <c r="D220" s="46" t="s">
        <v>3740</v>
      </c>
      <c r="E220" s="46" t="s">
        <v>3739</v>
      </c>
      <c r="F220" s="46">
        <v>573103172259</v>
      </c>
      <c r="G220" s="46">
        <v>77280</v>
      </c>
      <c r="H220" s="47" t="s">
        <v>12</v>
      </c>
      <c r="I220" s="47" t="s">
        <v>13</v>
      </c>
      <c r="J220" s="46" t="s">
        <v>61</v>
      </c>
      <c r="K220" s="46" t="s">
        <v>23</v>
      </c>
      <c r="L220" s="46"/>
      <c r="M220" s="46" t="s">
        <v>2782</v>
      </c>
      <c r="N220" s="17"/>
      <c r="O220" s="17"/>
    </row>
    <row r="221" spans="1:15" ht="25.5" x14ac:dyDescent="0.2">
      <c r="A221" s="52">
        <v>46041</v>
      </c>
      <c r="B221" s="48">
        <f>+MONTH(A221)</f>
        <v>1</v>
      </c>
      <c r="C221" s="48">
        <f>+WEEKNUM(A221)</f>
        <v>4</v>
      </c>
      <c r="D221" s="46" t="s">
        <v>2429</v>
      </c>
      <c r="E221" s="46" t="s">
        <v>3738</v>
      </c>
      <c r="F221" s="46">
        <v>573057128589</v>
      </c>
      <c r="G221" s="46">
        <v>77298</v>
      </c>
      <c r="H221" s="47" t="s">
        <v>12</v>
      </c>
      <c r="I221" s="47" t="s">
        <v>13</v>
      </c>
      <c r="J221" s="46" t="s">
        <v>3737</v>
      </c>
      <c r="K221" s="46" t="s">
        <v>23</v>
      </c>
      <c r="L221" s="46"/>
      <c r="M221" s="46" t="s">
        <v>2788</v>
      </c>
      <c r="N221" s="17"/>
      <c r="O221" s="17"/>
    </row>
    <row r="222" spans="1:15" ht="63.75" x14ac:dyDescent="0.2">
      <c r="A222" s="52">
        <v>46041</v>
      </c>
      <c r="B222" s="48">
        <f>+MONTH(A222)</f>
        <v>1</v>
      </c>
      <c r="C222" s="48">
        <f>+WEEKNUM(A222)</f>
        <v>4</v>
      </c>
      <c r="D222" s="46" t="s">
        <v>2322</v>
      </c>
      <c r="E222" s="46" t="s">
        <v>3736</v>
      </c>
      <c r="F222" s="46">
        <v>573192471773</v>
      </c>
      <c r="G222" s="46">
        <v>75024</v>
      </c>
      <c r="H222" s="47" t="s">
        <v>71</v>
      </c>
      <c r="I222" s="47" t="s">
        <v>22</v>
      </c>
      <c r="J222" s="46" t="s">
        <v>3735</v>
      </c>
      <c r="K222" s="46"/>
      <c r="L222" s="46"/>
      <c r="M222" s="46" t="s">
        <v>3734</v>
      </c>
      <c r="N222" s="17"/>
      <c r="O222" s="17"/>
    </row>
    <row r="223" spans="1:15" ht="38.25" x14ac:dyDescent="0.2">
      <c r="A223" s="52">
        <v>46041</v>
      </c>
      <c r="B223" s="48">
        <f>+MONTH(A223)</f>
        <v>1</v>
      </c>
      <c r="C223" s="48">
        <f>+WEEKNUM(A223)</f>
        <v>4</v>
      </c>
      <c r="D223" s="46" t="s">
        <v>1516</v>
      </c>
      <c r="E223" s="46" t="s">
        <v>1517</v>
      </c>
      <c r="F223" s="46">
        <v>573138624997</v>
      </c>
      <c r="G223" s="46">
        <v>76902</v>
      </c>
      <c r="H223" s="47" t="s">
        <v>12</v>
      </c>
      <c r="I223" s="47" t="s">
        <v>13</v>
      </c>
      <c r="J223" s="46" t="s">
        <v>3733</v>
      </c>
      <c r="K223" s="46" t="s">
        <v>23</v>
      </c>
      <c r="L223" s="46"/>
      <c r="M223" s="46" t="s">
        <v>3169</v>
      </c>
      <c r="N223" s="17"/>
      <c r="O223" s="17"/>
    </row>
    <row r="224" spans="1:15" ht="12.75" x14ac:dyDescent="0.2">
      <c r="A224" s="52">
        <v>46041</v>
      </c>
      <c r="B224" s="48">
        <f>+MONTH(A224)</f>
        <v>1</v>
      </c>
      <c r="C224" s="48">
        <f>+WEEKNUM(A224)</f>
        <v>4</v>
      </c>
      <c r="D224" s="46" t="s">
        <v>1560</v>
      </c>
      <c r="E224" s="46" t="s">
        <v>3732</v>
      </c>
      <c r="F224" s="46">
        <v>573145049031</v>
      </c>
      <c r="G224" s="46">
        <v>77051</v>
      </c>
      <c r="H224" s="47" t="s">
        <v>12</v>
      </c>
      <c r="I224" s="47" t="s">
        <v>22</v>
      </c>
      <c r="J224" s="46" t="s">
        <v>3731</v>
      </c>
      <c r="K224" s="46"/>
      <c r="L224" s="46"/>
      <c r="M224" s="46" t="s">
        <v>2782</v>
      </c>
      <c r="N224" s="17"/>
      <c r="O224" s="17"/>
    </row>
    <row r="225" spans="1:15" ht="25.5" x14ac:dyDescent="0.2">
      <c r="A225" s="52">
        <v>46041</v>
      </c>
      <c r="B225" s="48">
        <f>+MONTH(A225)</f>
        <v>1</v>
      </c>
      <c r="C225" s="48">
        <f>+WEEKNUM(A225)</f>
        <v>4</v>
      </c>
      <c r="D225" s="46" t="s">
        <v>3136</v>
      </c>
      <c r="E225" s="46" t="s">
        <v>3730</v>
      </c>
      <c r="F225" s="46">
        <v>573138508755</v>
      </c>
      <c r="G225" s="46">
        <v>77310</v>
      </c>
      <c r="H225" s="47" t="s">
        <v>12</v>
      </c>
      <c r="I225" s="47" t="s">
        <v>13</v>
      </c>
      <c r="J225" s="46" t="s">
        <v>61</v>
      </c>
      <c r="K225" s="46" t="s">
        <v>23</v>
      </c>
      <c r="L225" s="46"/>
      <c r="M225" s="46" t="s">
        <v>3729</v>
      </c>
      <c r="N225" s="17"/>
      <c r="O225" s="17"/>
    </row>
    <row r="226" spans="1:15" ht="89.25" x14ac:dyDescent="0.2">
      <c r="A226" s="52">
        <v>46041</v>
      </c>
      <c r="B226" s="48">
        <f>+MONTH(A226)</f>
        <v>1</v>
      </c>
      <c r="C226" s="48">
        <f>+WEEKNUM(A226)</f>
        <v>4</v>
      </c>
      <c r="D226" s="46" t="s">
        <v>3728</v>
      </c>
      <c r="E226" s="46" t="s">
        <v>3727</v>
      </c>
      <c r="F226" s="46">
        <v>573508208842</v>
      </c>
      <c r="G226" s="46">
        <v>76900</v>
      </c>
      <c r="H226" s="47" t="s">
        <v>12</v>
      </c>
      <c r="I226" s="47" t="s">
        <v>22</v>
      </c>
      <c r="J226" s="46" t="s">
        <v>3726</v>
      </c>
      <c r="K226" s="46"/>
      <c r="L226" s="46"/>
      <c r="M226" s="46" t="s">
        <v>3725</v>
      </c>
      <c r="N226" s="17"/>
      <c r="O226" s="17"/>
    </row>
    <row r="227" spans="1:15" ht="25.5" x14ac:dyDescent="0.2">
      <c r="A227" s="52">
        <v>46041</v>
      </c>
      <c r="B227" s="48">
        <f>+MONTH(A227)</f>
        <v>1</v>
      </c>
      <c r="C227" s="48">
        <f>+WEEKNUM(A227)</f>
        <v>4</v>
      </c>
      <c r="D227" s="46" t="s">
        <v>2656</v>
      </c>
      <c r="E227" s="46" t="s">
        <v>3724</v>
      </c>
      <c r="F227" s="46">
        <v>573232785371</v>
      </c>
      <c r="G227" s="46">
        <v>77319</v>
      </c>
      <c r="H227" s="47" t="s">
        <v>12</v>
      </c>
      <c r="I227" s="47" t="s">
        <v>13</v>
      </c>
      <c r="J227" s="46" t="s">
        <v>3723</v>
      </c>
      <c r="K227" s="46" t="s">
        <v>23</v>
      </c>
      <c r="L227" s="46"/>
      <c r="M227" s="46" t="s">
        <v>3034</v>
      </c>
      <c r="N227" s="17"/>
      <c r="O227" s="17"/>
    </row>
    <row r="228" spans="1:15" ht="25.5" x14ac:dyDescent="0.2">
      <c r="A228" s="52">
        <v>46041</v>
      </c>
      <c r="B228" s="48">
        <f>+MONTH(A228)</f>
        <v>1</v>
      </c>
      <c r="C228" s="48">
        <f>+WEEKNUM(A228)</f>
        <v>4</v>
      </c>
      <c r="D228" s="46" t="s">
        <v>3722</v>
      </c>
      <c r="E228" s="46" t="s">
        <v>3721</v>
      </c>
      <c r="F228" s="46">
        <v>573163950909</v>
      </c>
      <c r="G228" s="46">
        <v>76719</v>
      </c>
      <c r="H228" s="47" t="s">
        <v>12</v>
      </c>
      <c r="I228" s="47" t="s">
        <v>13</v>
      </c>
      <c r="J228" s="46" t="s">
        <v>13</v>
      </c>
      <c r="K228" s="46" t="s">
        <v>23</v>
      </c>
      <c r="L228" s="46"/>
      <c r="M228" s="46" t="s">
        <v>3720</v>
      </c>
      <c r="N228" s="17"/>
      <c r="O228" s="17"/>
    </row>
    <row r="229" spans="1:15" ht="12.75" x14ac:dyDescent="0.2">
      <c r="A229" s="52">
        <v>46041</v>
      </c>
      <c r="B229" s="48">
        <f>+MONTH(A229)</f>
        <v>1</v>
      </c>
      <c r="C229" s="48">
        <f>+WEEKNUM(A229)</f>
        <v>4</v>
      </c>
      <c r="D229" s="46" t="s">
        <v>1501</v>
      </c>
      <c r="E229" s="46" t="s">
        <v>2466</v>
      </c>
      <c r="F229" s="46">
        <v>573143705709</v>
      </c>
      <c r="G229" s="46">
        <v>75888</v>
      </c>
      <c r="H229" s="47" t="s">
        <v>71</v>
      </c>
      <c r="I229" s="47" t="s">
        <v>13</v>
      </c>
      <c r="J229" s="46" t="s">
        <v>3719</v>
      </c>
      <c r="K229" s="46" t="s">
        <v>14</v>
      </c>
      <c r="L229" s="46"/>
      <c r="M229" s="46" t="s">
        <v>257</v>
      </c>
      <c r="N229" s="17"/>
      <c r="O229" s="17"/>
    </row>
    <row r="230" spans="1:15" ht="63.75" x14ac:dyDescent="0.2">
      <c r="A230" s="52">
        <v>46041</v>
      </c>
      <c r="B230" s="48">
        <f>+MONTH(A230)</f>
        <v>1</v>
      </c>
      <c r="C230" s="48">
        <f>+WEEKNUM(A230)</f>
        <v>4</v>
      </c>
      <c r="D230" s="46" t="s">
        <v>1408</v>
      </c>
      <c r="E230" s="46" t="s">
        <v>3718</v>
      </c>
      <c r="F230" s="46">
        <v>573057976794</v>
      </c>
      <c r="G230" s="46">
        <v>76782</v>
      </c>
      <c r="H230" s="47" t="s">
        <v>12</v>
      </c>
      <c r="I230" s="47" t="s">
        <v>13</v>
      </c>
      <c r="J230" s="46" t="s">
        <v>3717</v>
      </c>
      <c r="K230" s="46" t="s">
        <v>23</v>
      </c>
      <c r="L230" s="46"/>
      <c r="M230" s="46" t="s">
        <v>2784</v>
      </c>
      <c r="N230" s="17"/>
      <c r="O230" s="17"/>
    </row>
    <row r="231" spans="1:15" ht="12.75" x14ac:dyDescent="0.2">
      <c r="A231" s="52">
        <v>46041</v>
      </c>
      <c r="B231" s="48">
        <f>+MONTH(A231)</f>
        <v>1</v>
      </c>
      <c r="C231" s="48">
        <f>+WEEKNUM(A231)</f>
        <v>4</v>
      </c>
      <c r="D231" s="46" t="s">
        <v>1579</v>
      </c>
      <c r="E231" s="46" t="s">
        <v>3716</v>
      </c>
      <c r="F231" s="46">
        <v>573134048314</v>
      </c>
      <c r="G231" s="46">
        <v>76643</v>
      </c>
      <c r="H231" s="47" t="s">
        <v>12</v>
      </c>
      <c r="I231" s="47" t="s">
        <v>13</v>
      </c>
      <c r="J231" s="46" t="s">
        <v>3715</v>
      </c>
      <c r="K231" s="46" t="s">
        <v>23</v>
      </c>
      <c r="L231" s="46"/>
      <c r="M231" s="46" t="s">
        <v>2810</v>
      </c>
      <c r="N231" s="17"/>
      <c r="O231" s="17"/>
    </row>
    <row r="232" spans="1:15" ht="12.75" x14ac:dyDescent="0.2">
      <c r="A232" s="52">
        <v>46041</v>
      </c>
      <c r="B232" s="48">
        <f>+MONTH(A232)</f>
        <v>1</v>
      </c>
      <c r="C232" s="48">
        <f>+WEEKNUM(A232)</f>
        <v>4</v>
      </c>
      <c r="D232" s="46" t="s">
        <v>1939</v>
      </c>
      <c r="E232" s="46" t="s">
        <v>1877</v>
      </c>
      <c r="F232" s="46">
        <v>573132317989</v>
      </c>
      <c r="G232" s="46">
        <v>77043</v>
      </c>
      <c r="H232" s="47" t="s">
        <v>12</v>
      </c>
      <c r="I232" s="47" t="s">
        <v>13</v>
      </c>
      <c r="J232" s="46" t="s">
        <v>64</v>
      </c>
      <c r="K232" s="46" t="s">
        <v>23</v>
      </c>
      <c r="L232" s="46"/>
      <c r="M232" s="46" t="s">
        <v>2780</v>
      </c>
      <c r="N232" s="17"/>
      <c r="O232" s="17"/>
    </row>
    <row r="233" spans="1:15" ht="12.75" x14ac:dyDescent="0.2">
      <c r="A233" s="52">
        <v>46041</v>
      </c>
      <c r="B233" s="48">
        <f>+MONTH(A233)</f>
        <v>1</v>
      </c>
      <c r="C233" s="48">
        <f>+WEEKNUM(A233)</f>
        <v>4</v>
      </c>
      <c r="D233" s="46" t="s">
        <v>1758</v>
      </c>
      <c r="E233" s="46" t="s">
        <v>3714</v>
      </c>
      <c r="F233" s="46">
        <v>573185206729</v>
      </c>
      <c r="G233" s="46">
        <v>77221</v>
      </c>
      <c r="H233" s="47" t="s">
        <v>12</v>
      </c>
      <c r="I233" s="47" t="s">
        <v>13</v>
      </c>
      <c r="J233" s="46" t="s">
        <v>3713</v>
      </c>
      <c r="K233" s="46" t="s">
        <v>23</v>
      </c>
      <c r="L233" s="46"/>
      <c r="M233" s="46" t="s">
        <v>3286</v>
      </c>
      <c r="N233" s="17"/>
      <c r="O233" s="17"/>
    </row>
    <row r="234" spans="1:15" ht="51" x14ac:dyDescent="0.2">
      <c r="A234" s="52">
        <v>46039</v>
      </c>
      <c r="B234" s="48">
        <f>+MONTH(A234)</f>
        <v>1</v>
      </c>
      <c r="C234" s="48">
        <f>+WEEKNUM(A234)</f>
        <v>3</v>
      </c>
      <c r="D234" s="46" t="s">
        <v>3712</v>
      </c>
      <c r="E234" s="46" t="s">
        <v>3711</v>
      </c>
      <c r="F234" s="46">
        <v>573214853418</v>
      </c>
      <c r="G234" s="46">
        <v>77122</v>
      </c>
      <c r="H234" s="47" t="s">
        <v>22</v>
      </c>
      <c r="I234" s="47" t="s">
        <v>13</v>
      </c>
      <c r="J234" s="53" t="s">
        <v>3710</v>
      </c>
      <c r="K234" s="46"/>
      <c r="L234" s="46" t="s">
        <v>82</v>
      </c>
      <c r="M234" s="46">
        <v>45</v>
      </c>
      <c r="N234" s="17"/>
      <c r="O234" s="17"/>
    </row>
    <row r="235" spans="1:15" ht="51" x14ac:dyDescent="0.2">
      <c r="A235" s="52">
        <v>46039</v>
      </c>
      <c r="B235" s="48">
        <f>+MONTH(A235)</f>
        <v>1</v>
      </c>
      <c r="C235" s="48">
        <f>+WEEKNUM(A235)</f>
        <v>3</v>
      </c>
      <c r="D235" s="46" t="s">
        <v>3709</v>
      </c>
      <c r="E235" s="46" t="s">
        <v>3708</v>
      </c>
      <c r="F235" s="46">
        <v>573213988284</v>
      </c>
      <c r="G235" s="46">
        <v>76629</v>
      </c>
      <c r="H235" s="47" t="s">
        <v>71</v>
      </c>
      <c r="I235" s="47" t="s">
        <v>44</v>
      </c>
      <c r="J235" s="53" t="s">
        <v>3707</v>
      </c>
      <c r="K235" s="46"/>
      <c r="L235" s="46"/>
      <c r="M235" s="46" t="s">
        <v>2864</v>
      </c>
      <c r="N235" s="17"/>
      <c r="O235" s="17"/>
    </row>
    <row r="236" spans="1:15" ht="25.5" x14ac:dyDescent="0.2">
      <c r="A236" s="52">
        <v>46039</v>
      </c>
      <c r="B236" s="48">
        <f>+MONTH(A236)</f>
        <v>1</v>
      </c>
      <c r="C236" s="48">
        <f>+WEEKNUM(A236)</f>
        <v>3</v>
      </c>
      <c r="D236" s="46" t="s">
        <v>3706</v>
      </c>
      <c r="E236" s="46" t="s">
        <v>3705</v>
      </c>
      <c r="F236" s="46">
        <v>573147391889</v>
      </c>
      <c r="G236" s="46">
        <v>77170</v>
      </c>
      <c r="H236" s="47" t="s">
        <v>12</v>
      </c>
      <c r="I236" s="47" t="s">
        <v>13</v>
      </c>
      <c r="J236" s="46" t="s">
        <v>3704</v>
      </c>
      <c r="K236" s="46" t="s">
        <v>23</v>
      </c>
      <c r="L236" s="46"/>
      <c r="M236" s="46" t="s">
        <v>3703</v>
      </c>
      <c r="N236" s="17"/>
      <c r="O236" s="17"/>
    </row>
    <row r="237" spans="1:15" ht="12.75" x14ac:dyDescent="0.2">
      <c r="A237" s="52">
        <v>46039</v>
      </c>
      <c r="B237" s="48">
        <f>+MONTH(A237)</f>
        <v>1</v>
      </c>
      <c r="C237" s="48">
        <f>+WEEKNUM(A237)</f>
        <v>3</v>
      </c>
      <c r="D237" s="46" t="s">
        <v>2121</v>
      </c>
      <c r="E237" s="46" t="s">
        <v>2122</v>
      </c>
      <c r="F237" s="46">
        <v>573154715620</v>
      </c>
      <c r="G237" s="46">
        <v>76584</v>
      </c>
      <c r="H237" s="47" t="s">
        <v>71</v>
      </c>
      <c r="I237" s="47" t="s">
        <v>44</v>
      </c>
      <c r="J237" s="46" t="s">
        <v>3702</v>
      </c>
      <c r="K237" s="46"/>
      <c r="L237" s="46"/>
      <c r="M237" s="46" t="s">
        <v>257</v>
      </c>
      <c r="N237" s="17"/>
      <c r="O237" s="17"/>
    </row>
    <row r="238" spans="1:15" ht="25.5" x14ac:dyDescent="0.2">
      <c r="A238" s="52">
        <v>46039</v>
      </c>
      <c r="B238" s="48">
        <f>+MONTH(A238)</f>
        <v>1</v>
      </c>
      <c r="C238" s="48">
        <f>+WEEKNUM(A238)</f>
        <v>3</v>
      </c>
      <c r="D238" s="46" t="s">
        <v>3701</v>
      </c>
      <c r="E238" s="46" t="s">
        <v>3700</v>
      </c>
      <c r="F238" s="46">
        <v>573004647659</v>
      </c>
      <c r="G238" s="46">
        <v>76960</v>
      </c>
      <c r="H238" s="47" t="s">
        <v>12</v>
      </c>
      <c r="I238" s="47" t="s">
        <v>13</v>
      </c>
      <c r="J238" s="46" t="s">
        <v>217</v>
      </c>
      <c r="K238" s="46" t="s">
        <v>23</v>
      </c>
      <c r="L238" s="46"/>
      <c r="M238" s="46" t="s">
        <v>2784</v>
      </c>
      <c r="N238" s="17"/>
      <c r="O238" s="17"/>
    </row>
    <row r="239" spans="1:15" ht="25.5" x14ac:dyDescent="0.2">
      <c r="A239" s="52">
        <v>46039</v>
      </c>
      <c r="B239" s="48">
        <f>+MONTH(A239)</f>
        <v>1</v>
      </c>
      <c r="C239" s="48">
        <f>+WEEKNUM(A239)</f>
        <v>3</v>
      </c>
      <c r="D239" s="46" t="s">
        <v>1513</v>
      </c>
      <c r="E239" s="46" t="s">
        <v>3699</v>
      </c>
      <c r="F239" s="46">
        <v>573142862612</v>
      </c>
      <c r="G239" s="46">
        <v>77132</v>
      </c>
      <c r="H239" s="47" t="s">
        <v>12</v>
      </c>
      <c r="I239" s="47" t="s">
        <v>13</v>
      </c>
      <c r="J239" s="46" t="s">
        <v>3698</v>
      </c>
      <c r="K239" s="46" t="s">
        <v>23</v>
      </c>
      <c r="L239" s="46"/>
      <c r="M239" s="46" t="s">
        <v>257</v>
      </c>
      <c r="N239" s="17"/>
      <c r="O239" s="17"/>
    </row>
    <row r="240" spans="1:15" ht="25.5" x14ac:dyDescent="0.2">
      <c r="A240" s="52">
        <v>46039</v>
      </c>
      <c r="B240" s="48">
        <f>+MONTH(A240)</f>
        <v>1</v>
      </c>
      <c r="C240" s="48">
        <f>+WEEKNUM(A240)</f>
        <v>3</v>
      </c>
      <c r="D240" s="46" t="s">
        <v>1868</v>
      </c>
      <c r="E240" s="46" t="s">
        <v>3697</v>
      </c>
      <c r="F240" s="46">
        <v>573138789100</v>
      </c>
      <c r="G240" s="46">
        <v>76947</v>
      </c>
      <c r="H240" s="47" t="s">
        <v>12</v>
      </c>
      <c r="I240" s="47" t="s">
        <v>13</v>
      </c>
      <c r="J240" s="46"/>
      <c r="K240" s="46" t="s">
        <v>23</v>
      </c>
      <c r="L240" s="46"/>
      <c r="M240" s="46" t="s">
        <v>3169</v>
      </c>
      <c r="N240" s="17"/>
      <c r="O240" s="17"/>
    </row>
    <row r="241" spans="1:15" ht="89.25" x14ac:dyDescent="0.2">
      <c r="A241" s="52">
        <v>46039</v>
      </c>
      <c r="B241" s="48">
        <f>+MONTH(A241)</f>
        <v>1</v>
      </c>
      <c r="C241" s="48">
        <f>+WEEKNUM(A241)</f>
        <v>3</v>
      </c>
      <c r="D241" s="46" t="s">
        <v>3696</v>
      </c>
      <c r="E241" s="46" t="s">
        <v>3695</v>
      </c>
      <c r="F241" s="46">
        <v>573163048049</v>
      </c>
      <c r="G241" s="46">
        <v>77140</v>
      </c>
      <c r="H241" s="47" t="s">
        <v>12</v>
      </c>
      <c r="I241" s="47" t="s">
        <v>13</v>
      </c>
      <c r="J241" s="46" t="s">
        <v>3694</v>
      </c>
      <c r="K241" s="46" t="s">
        <v>23</v>
      </c>
      <c r="L241" s="46"/>
      <c r="M241" s="46" t="s">
        <v>3693</v>
      </c>
      <c r="N241" s="17"/>
      <c r="O241" s="17"/>
    </row>
    <row r="242" spans="1:15" ht="25.5" x14ac:dyDescent="0.2">
      <c r="A242" s="52">
        <v>46039</v>
      </c>
      <c r="B242" s="48">
        <f>+MONTH(A242)</f>
        <v>1</v>
      </c>
      <c r="C242" s="48">
        <f>+WEEKNUM(A242)</f>
        <v>3</v>
      </c>
      <c r="D242" s="46" t="s">
        <v>3692</v>
      </c>
      <c r="E242" s="46" t="s">
        <v>3691</v>
      </c>
      <c r="F242" s="46">
        <v>573193032172</v>
      </c>
      <c r="G242" s="46">
        <v>77134</v>
      </c>
      <c r="H242" s="47" t="s">
        <v>12</v>
      </c>
      <c r="I242" s="47" t="s">
        <v>13</v>
      </c>
      <c r="J242" s="46" t="s">
        <v>3690</v>
      </c>
      <c r="K242" s="46" t="s">
        <v>23</v>
      </c>
      <c r="L242" s="46"/>
      <c r="M242" s="46" t="s">
        <v>2780</v>
      </c>
      <c r="N242" s="17"/>
      <c r="O242" s="17"/>
    </row>
    <row r="243" spans="1:15" ht="102" x14ac:dyDescent="0.2">
      <c r="A243" s="52">
        <v>46038</v>
      </c>
      <c r="B243" s="48">
        <f>+MONTH(A243)</f>
        <v>1</v>
      </c>
      <c r="C243" s="48">
        <f>+WEEKNUM(A243)</f>
        <v>3</v>
      </c>
      <c r="D243" s="46" t="s">
        <v>1450</v>
      </c>
      <c r="E243" s="46" t="s">
        <v>3689</v>
      </c>
      <c r="F243" s="46">
        <v>573124150574</v>
      </c>
      <c r="G243" s="46">
        <v>77102</v>
      </c>
      <c r="H243" s="47" t="s">
        <v>12</v>
      </c>
      <c r="I243" s="47" t="s">
        <v>13</v>
      </c>
      <c r="J243" s="46" t="s">
        <v>3688</v>
      </c>
      <c r="K243" s="46" t="s">
        <v>23</v>
      </c>
      <c r="L243" s="46"/>
      <c r="M243" s="46" t="s">
        <v>3687</v>
      </c>
      <c r="N243" s="17"/>
      <c r="O243" s="17"/>
    </row>
    <row r="244" spans="1:15" ht="25.5" x14ac:dyDescent="0.2">
      <c r="A244" s="52">
        <v>46038</v>
      </c>
      <c r="B244" s="48">
        <f>+MONTH(A244)</f>
        <v>1</v>
      </c>
      <c r="C244" s="48">
        <f>+WEEKNUM(A244)</f>
        <v>3</v>
      </c>
      <c r="D244" s="46" t="s">
        <v>3686</v>
      </c>
      <c r="E244" s="46" t="s">
        <v>3685</v>
      </c>
      <c r="F244" s="46">
        <v>573105811020</v>
      </c>
      <c r="G244" s="46">
        <v>77017</v>
      </c>
      <c r="H244" s="47" t="s">
        <v>12</v>
      </c>
      <c r="I244" s="47" t="s">
        <v>13</v>
      </c>
      <c r="J244" s="46" t="s">
        <v>3684</v>
      </c>
      <c r="K244" s="46" t="s">
        <v>23</v>
      </c>
      <c r="L244" s="46"/>
      <c r="M244" s="46" t="s">
        <v>2793</v>
      </c>
      <c r="N244" s="17"/>
      <c r="O244" s="17"/>
    </row>
    <row r="245" spans="1:15" ht="25.5" x14ac:dyDescent="0.2">
      <c r="A245" s="52">
        <v>46038</v>
      </c>
      <c r="B245" s="48">
        <f>+MONTH(A245)</f>
        <v>1</v>
      </c>
      <c r="C245" s="48">
        <f>+WEEKNUM(A245)</f>
        <v>3</v>
      </c>
      <c r="D245" s="46" t="s">
        <v>3683</v>
      </c>
      <c r="E245" s="46" t="s">
        <v>3682</v>
      </c>
      <c r="F245" s="46">
        <v>573504406040</v>
      </c>
      <c r="G245" s="46">
        <v>77076</v>
      </c>
      <c r="H245" s="47" t="s">
        <v>12</v>
      </c>
      <c r="I245" s="47" t="s">
        <v>13</v>
      </c>
      <c r="J245" s="46" t="s">
        <v>3681</v>
      </c>
      <c r="K245" s="46" t="s">
        <v>23</v>
      </c>
      <c r="L245" s="46"/>
      <c r="M245" s="46" t="s">
        <v>3128</v>
      </c>
      <c r="N245" s="17"/>
      <c r="O245" s="17"/>
    </row>
    <row r="246" spans="1:15" ht="25.5" x14ac:dyDescent="0.2">
      <c r="A246" s="52">
        <v>46038</v>
      </c>
      <c r="B246" s="48">
        <f>+MONTH(A246)</f>
        <v>1</v>
      </c>
      <c r="C246" s="48">
        <f>+WEEKNUM(A246)</f>
        <v>3</v>
      </c>
      <c r="D246" s="46" t="s">
        <v>3680</v>
      </c>
      <c r="E246" s="46" t="s">
        <v>3679</v>
      </c>
      <c r="F246" s="46">
        <v>573157638530</v>
      </c>
      <c r="G246" s="46">
        <v>76687</v>
      </c>
      <c r="H246" s="47" t="s">
        <v>12</v>
      </c>
      <c r="I246" s="47" t="s">
        <v>13</v>
      </c>
      <c r="J246" s="46" t="s">
        <v>3678</v>
      </c>
      <c r="K246" s="46" t="s">
        <v>23</v>
      </c>
      <c r="L246" s="46"/>
      <c r="M246" s="46" t="s">
        <v>2782</v>
      </c>
      <c r="N246" s="17"/>
      <c r="O246" s="17"/>
    </row>
    <row r="247" spans="1:15" ht="25.5" x14ac:dyDescent="0.2">
      <c r="A247" s="52">
        <v>46038</v>
      </c>
      <c r="B247" s="48">
        <f>+MONTH(A247)</f>
        <v>1</v>
      </c>
      <c r="C247" s="48">
        <f>+WEEKNUM(A247)</f>
        <v>3</v>
      </c>
      <c r="D247" s="46" t="s">
        <v>3677</v>
      </c>
      <c r="E247" s="46" t="s">
        <v>3676</v>
      </c>
      <c r="F247" s="46">
        <v>573045286981</v>
      </c>
      <c r="G247" s="46">
        <v>76611</v>
      </c>
      <c r="H247" s="47" t="s">
        <v>12</v>
      </c>
      <c r="I247" s="47" t="s">
        <v>13</v>
      </c>
      <c r="J247" s="46" t="s">
        <v>3675</v>
      </c>
      <c r="K247" s="46" t="s">
        <v>23</v>
      </c>
      <c r="L247" s="46"/>
      <c r="M247" s="46" t="s">
        <v>2780</v>
      </c>
      <c r="N247" s="17"/>
      <c r="O247" s="17"/>
    </row>
    <row r="248" spans="1:15" ht="25.5" x14ac:dyDescent="0.2">
      <c r="A248" s="52">
        <v>46038</v>
      </c>
      <c r="B248" s="48">
        <f>+MONTH(A248)</f>
        <v>1</v>
      </c>
      <c r="C248" s="48">
        <f>+WEEKNUM(A248)</f>
        <v>3</v>
      </c>
      <c r="D248" s="46" t="s">
        <v>2839</v>
      </c>
      <c r="E248" s="46" t="s">
        <v>2838</v>
      </c>
      <c r="F248" s="46">
        <v>573023962294</v>
      </c>
      <c r="G248" s="46">
        <v>77069</v>
      </c>
      <c r="H248" s="47" t="s">
        <v>12</v>
      </c>
      <c r="I248" s="47" t="s">
        <v>13</v>
      </c>
      <c r="J248" s="46" t="s">
        <v>3674</v>
      </c>
      <c r="K248" s="46" t="s">
        <v>23</v>
      </c>
      <c r="L248" s="46"/>
      <c r="M248" s="46" t="s">
        <v>2822</v>
      </c>
      <c r="N248" s="17"/>
      <c r="O248" s="17"/>
    </row>
    <row r="249" spans="1:15" ht="12.75" x14ac:dyDescent="0.2">
      <c r="A249" s="52">
        <v>46038</v>
      </c>
      <c r="B249" s="48">
        <f>+MONTH(A249)</f>
        <v>1</v>
      </c>
      <c r="C249" s="48">
        <f>+WEEKNUM(A249)</f>
        <v>3</v>
      </c>
      <c r="D249" s="46" t="s">
        <v>2108</v>
      </c>
      <c r="E249" s="46" t="s">
        <v>3673</v>
      </c>
      <c r="F249" s="46">
        <v>573148238532</v>
      </c>
      <c r="G249" s="46">
        <v>75527</v>
      </c>
      <c r="H249" s="47" t="s">
        <v>12</v>
      </c>
      <c r="I249" s="47" t="s">
        <v>13</v>
      </c>
      <c r="J249" s="46" t="s">
        <v>3672</v>
      </c>
      <c r="K249" s="46" t="s">
        <v>23</v>
      </c>
      <c r="L249" s="46"/>
      <c r="M249" s="46" t="s">
        <v>3128</v>
      </c>
      <c r="N249" s="17"/>
      <c r="O249" s="17"/>
    </row>
    <row r="250" spans="1:15" ht="25.5" x14ac:dyDescent="0.2">
      <c r="A250" s="52">
        <v>46038</v>
      </c>
      <c r="B250" s="48">
        <f>+MONTH(A250)</f>
        <v>1</v>
      </c>
      <c r="C250" s="48">
        <f>+WEEKNUM(A250)</f>
        <v>3</v>
      </c>
      <c r="D250" s="46" t="s">
        <v>3671</v>
      </c>
      <c r="E250" s="46" t="s">
        <v>3670</v>
      </c>
      <c r="F250" s="46">
        <v>573018010969</v>
      </c>
      <c r="G250" s="46">
        <v>76693</v>
      </c>
      <c r="H250" s="47" t="s">
        <v>12</v>
      </c>
      <c r="I250" s="47" t="s">
        <v>13</v>
      </c>
      <c r="J250" s="46" t="s">
        <v>174</v>
      </c>
      <c r="K250" s="46" t="s">
        <v>23</v>
      </c>
      <c r="L250" s="46"/>
      <c r="M250" s="46" t="s">
        <v>2784</v>
      </c>
      <c r="N250" s="17"/>
      <c r="O250" s="17"/>
    </row>
    <row r="251" spans="1:15" ht="25.5" x14ac:dyDescent="0.2">
      <c r="A251" s="52">
        <v>46038</v>
      </c>
      <c r="B251" s="48">
        <f>+MONTH(A251)</f>
        <v>1</v>
      </c>
      <c r="C251" s="48">
        <f>+WEEKNUM(A251)</f>
        <v>3</v>
      </c>
      <c r="D251" s="46" t="s">
        <v>1450</v>
      </c>
      <c r="E251" s="46" t="s">
        <v>3669</v>
      </c>
      <c r="F251" s="46">
        <v>573102024240</v>
      </c>
      <c r="G251" s="46">
        <v>76955</v>
      </c>
      <c r="H251" s="47" t="s">
        <v>12</v>
      </c>
      <c r="I251" s="47" t="s">
        <v>13</v>
      </c>
      <c r="J251" s="46" t="s">
        <v>3668</v>
      </c>
      <c r="K251" s="46" t="s">
        <v>23</v>
      </c>
      <c r="L251" s="46"/>
      <c r="M251" s="46" t="s">
        <v>3667</v>
      </c>
      <c r="N251" s="17"/>
      <c r="O251" s="17"/>
    </row>
    <row r="252" spans="1:15" ht="38.25" x14ac:dyDescent="0.2">
      <c r="A252" s="52">
        <v>46038</v>
      </c>
      <c r="B252" s="48">
        <f>+MONTH(A252)</f>
        <v>1</v>
      </c>
      <c r="C252" s="48">
        <f>+WEEKNUM(A252)</f>
        <v>3</v>
      </c>
      <c r="D252" s="46" t="s">
        <v>1513</v>
      </c>
      <c r="E252" s="46" t="s">
        <v>3666</v>
      </c>
      <c r="F252" s="46">
        <v>573103031503</v>
      </c>
      <c r="G252" s="46">
        <v>77028</v>
      </c>
      <c r="H252" s="47" t="s">
        <v>12</v>
      </c>
      <c r="I252" s="47" t="s">
        <v>13</v>
      </c>
      <c r="J252" s="46" t="s">
        <v>3665</v>
      </c>
      <c r="K252" s="46" t="s">
        <v>23</v>
      </c>
      <c r="L252" s="46"/>
      <c r="M252" s="46" t="s">
        <v>2822</v>
      </c>
      <c r="N252" s="17"/>
      <c r="O252" s="17"/>
    </row>
    <row r="253" spans="1:15" ht="25.5" x14ac:dyDescent="0.2">
      <c r="A253" s="52">
        <v>46038</v>
      </c>
      <c r="B253" s="48">
        <f>+MONTH(A253)</f>
        <v>1</v>
      </c>
      <c r="C253" s="48">
        <f>+WEEKNUM(A253)</f>
        <v>3</v>
      </c>
      <c r="D253" s="46" t="s">
        <v>3297</v>
      </c>
      <c r="E253" s="46" t="s">
        <v>3298</v>
      </c>
      <c r="F253" s="46">
        <v>573022345280</v>
      </c>
      <c r="G253" s="46">
        <v>76631</v>
      </c>
      <c r="H253" s="47" t="s">
        <v>22</v>
      </c>
      <c r="I253" s="47" t="s">
        <v>13</v>
      </c>
      <c r="J253" s="53" t="s">
        <v>3664</v>
      </c>
      <c r="K253" s="46" t="s">
        <v>23</v>
      </c>
      <c r="L253" s="46" t="s">
        <v>3663</v>
      </c>
      <c r="M253" s="3" t="s">
        <v>1967</v>
      </c>
      <c r="N253" s="17"/>
      <c r="O253" s="17"/>
    </row>
    <row r="254" spans="1:15" ht="25.5" x14ac:dyDescent="0.2">
      <c r="A254" s="52">
        <v>46038</v>
      </c>
      <c r="B254" s="48">
        <f>+MONTH(A254)</f>
        <v>1</v>
      </c>
      <c r="C254" s="48">
        <f>+WEEKNUM(A254)</f>
        <v>3</v>
      </c>
      <c r="D254" s="46" t="s">
        <v>1499</v>
      </c>
      <c r="E254" s="46" t="s">
        <v>3662</v>
      </c>
      <c r="F254" s="46">
        <v>573108777663</v>
      </c>
      <c r="G254" s="46">
        <v>76986</v>
      </c>
      <c r="H254" s="47" t="s">
        <v>12</v>
      </c>
      <c r="I254" s="47" t="s">
        <v>13</v>
      </c>
      <c r="J254" s="46" t="s">
        <v>3661</v>
      </c>
      <c r="K254" s="46" t="s">
        <v>23</v>
      </c>
      <c r="L254" s="46"/>
      <c r="M254" s="46" t="s">
        <v>2840</v>
      </c>
      <c r="N254" s="17"/>
      <c r="O254" s="17"/>
    </row>
    <row r="255" spans="1:15" ht="25.5" x14ac:dyDescent="0.2">
      <c r="A255" s="52">
        <v>46038</v>
      </c>
      <c r="B255" s="48">
        <f>+MONTH(A255)</f>
        <v>1</v>
      </c>
      <c r="C255" s="48">
        <f>+WEEKNUM(A255)</f>
        <v>3</v>
      </c>
      <c r="D255" s="46" t="s">
        <v>3660</v>
      </c>
      <c r="E255" s="46" t="s">
        <v>3659</v>
      </c>
      <c r="F255" s="46">
        <v>573114579738</v>
      </c>
      <c r="G255" s="46">
        <v>76589</v>
      </c>
      <c r="H255" s="47" t="s">
        <v>12</v>
      </c>
      <c r="I255" s="47" t="s">
        <v>13</v>
      </c>
      <c r="J255" s="46"/>
      <c r="K255" s="46" t="s">
        <v>23</v>
      </c>
      <c r="L255" s="46"/>
      <c r="M255" s="46" t="s">
        <v>3658</v>
      </c>
      <c r="N255" s="17"/>
      <c r="O255" s="17"/>
    </row>
    <row r="256" spans="1:15" ht="25.5" x14ac:dyDescent="0.2">
      <c r="A256" s="52">
        <v>46038</v>
      </c>
      <c r="B256" s="48">
        <f>+MONTH(A256)</f>
        <v>1</v>
      </c>
      <c r="C256" s="48">
        <f>+WEEKNUM(A256)</f>
        <v>3</v>
      </c>
      <c r="D256" s="46" t="s">
        <v>3660</v>
      </c>
      <c r="E256" s="46" t="s">
        <v>3659</v>
      </c>
      <c r="F256" s="46">
        <v>573114579738</v>
      </c>
      <c r="G256" s="46">
        <v>76589</v>
      </c>
      <c r="H256" s="47" t="s">
        <v>12</v>
      </c>
      <c r="I256" s="47" t="s">
        <v>13</v>
      </c>
      <c r="J256" s="46" t="s">
        <v>228</v>
      </c>
      <c r="K256" s="46" t="s">
        <v>23</v>
      </c>
      <c r="L256" s="46"/>
      <c r="M256" s="46" t="s">
        <v>3658</v>
      </c>
      <c r="N256" s="17"/>
      <c r="O256" s="17"/>
    </row>
    <row r="257" spans="1:15" ht="25.5" x14ac:dyDescent="0.2">
      <c r="A257" s="52">
        <v>46037</v>
      </c>
      <c r="B257" s="48">
        <f>+MONTH(A257)</f>
        <v>1</v>
      </c>
      <c r="C257" s="48">
        <f>+WEEKNUM(A257)</f>
        <v>3</v>
      </c>
      <c r="D257" s="46" t="s">
        <v>3657</v>
      </c>
      <c r="E257" s="46" t="s">
        <v>3656</v>
      </c>
      <c r="F257" s="46">
        <v>573133702020</v>
      </c>
      <c r="G257" s="46">
        <v>76951</v>
      </c>
      <c r="H257" s="47" t="s">
        <v>12</v>
      </c>
      <c r="I257" s="47" t="s">
        <v>13</v>
      </c>
      <c r="J257" s="46" t="s">
        <v>3655</v>
      </c>
      <c r="K257" s="46" t="s">
        <v>23</v>
      </c>
      <c r="L257" s="46"/>
      <c r="M257" s="46" t="s">
        <v>3169</v>
      </c>
      <c r="N257" s="17"/>
      <c r="O257" s="17"/>
    </row>
    <row r="258" spans="1:15" ht="25.5" x14ac:dyDescent="0.2">
      <c r="A258" s="52">
        <v>46037</v>
      </c>
      <c r="B258" s="48">
        <f>+MONTH(A258)</f>
        <v>1</v>
      </c>
      <c r="C258" s="48">
        <f>+WEEKNUM(A258)</f>
        <v>3</v>
      </c>
      <c r="D258" s="46" t="s">
        <v>1625</v>
      </c>
      <c r="E258" s="46" t="s">
        <v>3654</v>
      </c>
      <c r="F258" s="46">
        <v>573024138210</v>
      </c>
      <c r="G258" s="46">
        <v>76532</v>
      </c>
      <c r="H258" s="47" t="s">
        <v>12</v>
      </c>
      <c r="I258" s="47" t="s">
        <v>13</v>
      </c>
      <c r="J258" s="46" t="s">
        <v>3653</v>
      </c>
      <c r="K258" s="46" t="s">
        <v>23</v>
      </c>
      <c r="L258" s="46"/>
      <c r="M258" s="46" t="s">
        <v>3652</v>
      </c>
      <c r="N258" s="17"/>
      <c r="O258" s="17"/>
    </row>
    <row r="259" spans="1:15" ht="76.5" x14ac:dyDescent="0.2">
      <c r="A259" s="52">
        <v>46037</v>
      </c>
      <c r="B259" s="48">
        <f>+MONTH(A259)</f>
        <v>1</v>
      </c>
      <c r="C259" s="48">
        <f>+WEEKNUM(A259)</f>
        <v>3</v>
      </c>
      <c r="D259" s="46" t="s">
        <v>3651</v>
      </c>
      <c r="E259" s="46" t="s">
        <v>3650</v>
      </c>
      <c r="F259" s="46">
        <v>573152075269</v>
      </c>
      <c r="G259" s="46">
        <v>76622</v>
      </c>
      <c r="H259" s="47" t="s">
        <v>12</v>
      </c>
      <c r="I259" s="47" t="s">
        <v>13</v>
      </c>
      <c r="J259" s="46" t="s">
        <v>3649</v>
      </c>
      <c r="K259" s="46" t="s">
        <v>23</v>
      </c>
      <c r="L259" s="46"/>
      <c r="M259" s="46" t="s">
        <v>3648</v>
      </c>
      <c r="N259" s="17"/>
      <c r="O259" s="17"/>
    </row>
    <row r="260" spans="1:15" ht="25.5" x14ac:dyDescent="0.2">
      <c r="A260" s="52">
        <v>46037</v>
      </c>
      <c r="B260" s="48">
        <f>+MONTH(A260)</f>
        <v>1</v>
      </c>
      <c r="C260" s="48">
        <f>+WEEKNUM(A260)</f>
        <v>3</v>
      </c>
      <c r="D260" s="46" t="s">
        <v>1744</v>
      </c>
      <c r="E260" s="46" t="s">
        <v>3647</v>
      </c>
      <c r="F260" s="46">
        <v>573016856355</v>
      </c>
      <c r="G260" s="46">
        <v>76575</v>
      </c>
      <c r="H260" s="47" t="s">
        <v>12</v>
      </c>
      <c r="I260" s="47" t="s">
        <v>13</v>
      </c>
      <c r="J260" s="46" t="s">
        <v>3646</v>
      </c>
      <c r="K260" s="46" t="s">
        <v>23</v>
      </c>
      <c r="L260" s="46"/>
      <c r="M260" s="46" t="s">
        <v>2822</v>
      </c>
      <c r="N260" s="17"/>
      <c r="O260" s="17"/>
    </row>
    <row r="261" spans="1:15" ht="25.5" x14ac:dyDescent="0.2">
      <c r="A261" s="52">
        <v>46037</v>
      </c>
      <c r="B261" s="48">
        <f>+MONTH(A261)</f>
        <v>1</v>
      </c>
      <c r="C261" s="48">
        <f>+WEEKNUM(A261)</f>
        <v>3</v>
      </c>
      <c r="D261" s="46" t="s">
        <v>2723</v>
      </c>
      <c r="E261" s="46" t="s">
        <v>3645</v>
      </c>
      <c r="F261" s="46">
        <v>573118186537</v>
      </c>
      <c r="G261" s="46">
        <v>76549</v>
      </c>
      <c r="H261" s="47" t="s">
        <v>12</v>
      </c>
      <c r="I261" s="47" t="s">
        <v>13</v>
      </c>
      <c r="J261" s="46" t="s">
        <v>3644</v>
      </c>
      <c r="K261" s="46" t="s">
        <v>23</v>
      </c>
      <c r="L261" s="46"/>
      <c r="M261" s="46" t="s">
        <v>2782</v>
      </c>
      <c r="N261" s="17"/>
      <c r="O261" s="17"/>
    </row>
    <row r="262" spans="1:15" ht="12.75" x14ac:dyDescent="0.2">
      <c r="A262" s="52">
        <v>46037</v>
      </c>
      <c r="B262" s="48">
        <f>+MONTH(A262)</f>
        <v>1</v>
      </c>
      <c r="C262" s="48">
        <f>+WEEKNUM(A262)</f>
        <v>3</v>
      </c>
      <c r="D262" s="46" t="s">
        <v>1479</v>
      </c>
      <c r="E262" s="46" t="s">
        <v>2338</v>
      </c>
      <c r="F262" s="46">
        <v>573016572382</v>
      </c>
      <c r="G262" s="46">
        <v>76661</v>
      </c>
      <c r="H262" s="47" t="s">
        <v>12</v>
      </c>
      <c r="I262" s="47" t="s">
        <v>13</v>
      </c>
      <c r="J262" s="46" t="s">
        <v>3643</v>
      </c>
      <c r="K262" s="46" t="s">
        <v>23</v>
      </c>
      <c r="L262" s="46"/>
      <c r="M262" s="46" t="s">
        <v>257</v>
      </c>
      <c r="N262" s="17"/>
      <c r="O262" s="17"/>
    </row>
    <row r="263" spans="1:15" ht="12.75" x14ac:dyDescent="0.2">
      <c r="A263" s="52">
        <v>46037</v>
      </c>
      <c r="B263" s="48">
        <f>+MONTH(A263)</f>
        <v>1</v>
      </c>
      <c r="C263" s="48">
        <f>+WEEKNUM(A263)</f>
        <v>3</v>
      </c>
      <c r="D263" s="46" t="s">
        <v>3642</v>
      </c>
      <c r="E263" s="46" t="s">
        <v>1597</v>
      </c>
      <c r="F263" s="46">
        <v>573012895259</v>
      </c>
      <c r="G263" s="46">
        <v>76840</v>
      </c>
      <c r="H263" s="47" t="s">
        <v>12</v>
      </c>
      <c r="I263" s="47" t="s">
        <v>13</v>
      </c>
      <c r="J263" s="46" t="s">
        <v>3641</v>
      </c>
      <c r="K263" s="46" t="s">
        <v>23</v>
      </c>
      <c r="L263" s="46"/>
      <c r="M263" s="46" t="s">
        <v>2782</v>
      </c>
      <c r="N263" s="17"/>
      <c r="O263" s="17"/>
    </row>
    <row r="264" spans="1:15" ht="51" x14ac:dyDescent="0.2">
      <c r="A264" s="52">
        <v>46037</v>
      </c>
      <c r="B264" s="48">
        <f>+MONTH(A264)</f>
        <v>1</v>
      </c>
      <c r="C264" s="48">
        <f>+WEEKNUM(A264)</f>
        <v>3</v>
      </c>
      <c r="D264" s="46" t="s">
        <v>3640</v>
      </c>
      <c r="E264" s="46" t="s">
        <v>3639</v>
      </c>
      <c r="F264" s="46">
        <v>573143379285</v>
      </c>
      <c r="G264" s="46">
        <v>76625</v>
      </c>
      <c r="H264" s="47" t="s">
        <v>12</v>
      </c>
      <c r="I264" s="47" t="s">
        <v>13</v>
      </c>
      <c r="J264" s="46" t="s">
        <v>3638</v>
      </c>
      <c r="K264" s="46" t="s">
        <v>23</v>
      </c>
      <c r="L264" s="46"/>
      <c r="M264" s="46" t="s">
        <v>2784</v>
      </c>
      <c r="N264" s="17"/>
      <c r="O264" s="17"/>
    </row>
    <row r="265" spans="1:15" ht="25.5" x14ac:dyDescent="0.2">
      <c r="A265" s="52">
        <v>46037</v>
      </c>
      <c r="B265" s="48">
        <f>+MONTH(A265)</f>
        <v>1</v>
      </c>
      <c r="C265" s="48">
        <f>+WEEKNUM(A265)</f>
        <v>3</v>
      </c>
      <c r="D265" s="46" t="s">
        <v>3637</v>
      </c>
      <c r="E265" s="46" t="s">
        <v>3636</v>
      </c>
      <c r="F265" s="46">
        <v>573188009244</v>
      </c>
      <c r="G265" s="46">
        <v>76850</v>
      </c>
      <c r="H265" s="47" t="s">
        <v>12</v>
      </c>
      <c r="I265" s="47" t="s">
        <v>13</v>
      </c>
      <c r="J265" s="46" t="s">
        <v>3635</v>
      </c>
      <c r="K265" s="46" t="s">
        <v>23</v>
      </c>
      <c r="L265" s="46" t="s">
        <v>90</v>
      </c>
      <c r="M265" s="46" t="s">
        <v>3403</v>
      </c>
      <c r="N265" s="17"/>
      <c r="O265" s="17"/>
    </row>
    <row r="266" spans="1:15" ht="12.75" x14ac:dyDescent="0.2">
      <c r="A266" s="52">
        <v>46037</v>
      </c>
      <c r="B266" s="48">
        <f>+MONTH(A266)</f>
        <v>1</v>
      </c>
      <c r="C266" s="48">
        <f>+WEEKNUM(A266)</f>
        <v>3</v>
      </c>
      <c r="D266" s="46" t="s">
        <v>1814</v>
      </c>
      <c r="E266" s="46" t="s">
        <v>1815</v>
      </c>
      <c r="F266" s="46">
        <v>573015420771</v>
      </c>
      <c r="G266" s="46">
        <v>76750</v>
      </c>
      <c r="H266" s="47" t="s">
        <v>12</v>
      </c>
      <c r="I266" s="47" t="s">
        <v>13</v>
      </c>
      <c r="J266" s="46" t="s">
        <v>3634</v>
      </c>
      <c r="K266" s="46" t="s">
        <v>23</v>
      </c>
      <c r="L266" s="46"/>
      <c r="M266" s="46" t="s">
        <v>3243</v>
      </c>
      <c r="N266" s="17"/>
      <c r="O266" s="17"/>
    </row>
    <row r="267" spans="1:15" ht="25.5" x14ac:dyDescent="0.2">
      <c r="A267" s="52">
        <v>46036</v>
      </c>
      <c r="B267" s="48">
        <f>+MONTH(A267)</f>
        <v>1</v>
      </c>
      <c r="C267" s="48">
        <f>+WEEKNUM(A267)</f>
        <v>3</v>
      </c>
      <c r="D267" s="46" t="s">
        <v>1640</v>
      </c>
      <c r="E267" s="46" t="s">
        <v>3633</v>
      </c>
      <c r="F267" s="46">
        <v>573103084741</v>
      </c>
      <c r="G267" s="46">
        <v>76695</v>
      </c>
      <c r="H267" s="47" t="s">
        <v>12</v>
      </c>
      <c r="I267" s="47" t="s">
        <v>13</v>
      </c>
      <c r="J267" s="46" t="s">
        <v>3632</v>
      </c>
      <c r="K267" s="46" t="s">
        <v>23</v>
      </c>
      <c r="L267" s="46"/>
      <c r="M267" s="46" t="s">
        <v>2810</v>
      </c>
      <c r="N267" s="17"/>
      <c r="O267" s="17"/>
    </row>
    <row r="268" spans="1:15" ht="25.5" x14ac:dyDescent="0.2">
      <c r="A268" s="52">
        <v>46036</v>
      </c>
      <c r="B268" s="48">
        <f>+MONTH(A268)</f>
        <v>1</v>
      </c>
      <c r="C268" s="48">
        <f>+WEEKNUM(A268)</f>
        <v>3</v>
      </c>
      <c r="D268" s="46" t="s">
        <v>3631</v>
      </c>
      <c r="E268" s="46" t="s">
        <v>3630</v>
      </c>
      <c r="F268" s="46">
        <v>573144131518</v>
      </c>
      <c r="G268" s="46">
        <v>76015</v>
      </c>
      <c r="H268" s="47" t="s">
        <v>12</v>
      </c>
      <c r="I268" s="47" t="s">
        <v>13</v>
      </c>
      <c r="J268" s="46" t="s">
        <v>3629</v>
      </c>
      <c r="K268" s="46" t="s">
        <v>23</v>
      </c>
      <c r="L268" s="46"/>
      <c r="M268" s="46" t="s">
        <v>3243</v>
      </c>
      <c r="N268" s="17"/>
      <c r="O268" s="17"/>
    </row>
    <row r="269" spans="1:15" ht="25.5" x14ac:dyDescent="0.2">
      <c r="A269" s="52">
        <v>46036</v>
      </c>
      <c r="B269" s="48">
        <f>+MONTH(A269)</f>
        <v>1</v>
      </c>
      <c r="C269" s="48">
        <f>+WEEKNUM(A269)</f>
        <v>3</v>
      </c>
      <c r="D269" s="46" t="s">
        <v>3631</v>
      </c>
      <c r="E269" s="46" t="s">
        <v>3630</v>
      </c>
      <c r="F269" s="46">
        <v>573144131518</v>
      </c>
      <c r="G269" s="46">
        <v>76015</v>
      </c>
      <c r="H269" s="47" t="s">
        <v>12</v>
      </c>
      <c r="I269" s="47" t="s">
        <v>44</v>
      </c>
      <c r="J269" s="46" t="s">
        <v>3629</v>
      </c>
      <c r="K269" s="46" t="s">
        <v>14</v>
      </c>
      <c r="L269" s="46"/>
      <c r="M269" s="46" t="s">
        <v>3243</v>
      </c>
      <c r="N269" s="17"/>
      <c r="O269" s="17"/>
    </row>
    <row r="270" spans="1:15" ht="38.25" x14ac:dyDescent="0.2">
      <c r="A270" s="52">
        <v>46036</v>
      </c>
      <c r="B270" s="48">
        <f>+MONTH(A270)</f>
        <v>1</v>
      </c>
      <c r="C270" s="48">
        <f>+WEEKNUM(A270)</f>
        <v>3</v>
      </c>
      <c r="D270" s="46" t="s">
        <v>3628</v>
      </c>
      <c r="E270" s="46" t="s">
        <v>3627</v>
      </c>
      <c r="F270" s="46">
        <v>573212712740</v>
      </c>
      <c r="G270" s="46">
        <v>75124</v>
      </c>
      <c r="H270" s="47" t="s">
        <v>12</v>
      </c>
      <c r="I270" s="47" t="s">
        <v>13</v>
      </c>
      <c r="J270" s="46" t="s">
        <v>3626</v>
      </c>
      <c r="K270" s="46" t="s">
        <v>23</v>
      </c>
      <c r="L270" s="46"/>
      <c r="M270" s="46" t="s">
        <v>2884</v>
      </c>
      <c r="N270" s="17"/>
      <c r="O270" s="17"/>
    </row>
    <row r="271" spans="1:15" ht="25.5" x14ac:dyDescent="0.2">
      <c r="A271" s="52">
        <v>46036</v>
      </c>
      <c r="B271" s="48">
        <f>+MONTH(A271)</f>
        <v>1</v>
      </c>
      <c r="C271" s="48">
        <f>+WEEKNUM(A271)</f>
        <v>3</v>
      </c>
      <c r="D271" s="46" t="s">
        <v>3625</v>
      </c>
      <c r="E271" s="46" t="s">
        <v>3624</v>
      </c>
      <c r="F271" s="46">
        <v>573175608795</v>
      </c>
      <c r="G271" s="46">
        <v>76701</v>
      </c>
      <c r="H271" s="47" t="s">
        <v>12</v>
      </c>
      <c r="I271" s="47" t="s">
        <v>13</v>
      </c>
      <c r="J271" s="46" t="s">
        <v>174</v>
      </c>
      <c r="K271" s="46" t="s">
        <v>23</v>
      </c>
      <c r="L271" s="46"/>
      <c r="M271" s="46" t="s">
        <v>2782</v>
      </c>
      <c r="N271" s="17"/>
      <c r="O271" s="17"/>
    </row>
    <row r="272" spans="1:15" ht="12.75" x14ac:dyDescent="0.2">
      <c r="A272" s="52">
        <v>46036</v>
      </c>
      <c r="B272" s="48">
        <f>+MONTH(A272)</f>
        <v>1</v>
      </c>
      <c r="C272" s="48">
        <f>+WEEKNUM(A272)</f>
        <v>3</v>
      </c>
      <c r="D272" s="46" t="s">
        <v>2835</v>
      </c>
      <c r="E272" s="46" t="s">
        <v>2834</v>
      </c>
      <c r="F272" s="46">
        <v>573222387832</v>
      </c>
      <c r="G272" s="46">
        <v>76749</v>
      </c>
      <c r="H272" s="47" t="s">
        <v>12</v>
      </c>
      <c r="I272" s="47" t="s">
        <v>13</v>
      </c>
      <c r="J272" s="46" t="s">
        <v>228</v>
      </c>
      <c r="K272" s="46" t="s">
        <v>23</v>
      </c>
      <c r="L272" s="46"/>
      <c r="M272" s="46" t="s">
        <v>2822</v>
      </c>
      <c r="N272" s="17"/>
      <c r="O272" s="17"/>
    </row>
    <row r="273" spans="1:15" ht="12.75" x14ac:dyDescent="0.2">
      <c r="A273" s="52">
        <v>46036</v>
      </c>
      <c r="B273" s="48">
        <f>+MONTH(A273)</f>
        <v>1</v>
      </c>
      <c r="C273" s="48">
        <f>+WEEKNUM(A273)</f>
        <v>3</v>
      </c>
      <c r="D273" s="46" t="s">
        <v>2396</v>
      </c>
      <c r="E273" s="46" t="s">
        <v>3623</v>
      </c>
      <c r="F273" s="46">
        <v>573207238360</v>
      </c>
      <c r="G273" s="46">
        <v>75263</v>
      </c>
      <c r="H273" s="47" t="s">
        <v>12</v>
      </c>
      <c r="I273" s="47" t="s">
        <v>13</v>
      </c>
      <c r="J273" s="46" t="s">
        <v>3622</v>
      </c>
      <c r="K273" s="46" t="s">
        <v>23</v>
      </c>
      <c r="L273" s="46"/>
      <c r="M273" s="46">
        <v>96</v>
      </c>
      <c r="N273" s="17"/>
      <c r="O273" s="17"/>
    </row>
    <row r="274" spans="1:15" ht="25.5" x14ac:dyDescent="0.2">
      <c r="A274" s="52">
        <v>46036</v>
      </c>
      <c r="B274" s="48">
        <f>+MONTH(A274)</f>
        <v>1</v>
      </c>
      <c r="C274" s="48">
        <f>+WEEKNUM(A274)</f>
        <v>3</v>
      </c>
      <c r="D274" s="46" t="s">
        <v>3621</v>
      </c>
      <c r="E274" s="46" t="s">
        <v>3620</v>
      </c>
      <c r="F274" s="46">
        <v>573507659729</v>
      </c>
      <c r="G274" s="46">
        <v>76715</v>
      </c>
      <c r="H274" s="47" t="s">
        <v>12</v>
      </c>
      <c r="I274" s="47" t="s">
        <v>13</v>
      </c>
      <c r="J274" s="46"/>
      <c r="K274" s="46" t="s">
        <v>23</v>
      </c>
      <c r="L274" s="46"/>
      <c r="M274" s="46" t="s">
        <v>2780</v>
      </c>
      <c r="N274" s="17"/>
      <c r="O274" s="17"/>
    </row>
    <row r="275" spans="1:15" ht="63.75" x14ac:dyDescent="0.2">
      <c r="A275" s="52">
        <v>46036</v>
      </c>
      <c r="B275" s="48">
        <f>+MONTH(A275)</f>
        <v>1</v>
      </c>
      <c r="C275" s="48">
        <f>+WEEKNUM(A275)</f>
        <v>3</v>
      </c>
      <c r="D275" s="46" t="s">
        <v>1760</v>
      </c>
      <c r="E275" s="46" t="s">
        <v>3619</v>
      </c>
      <c r="F275" s="46">
        <v>573102993569</v>
      </c>
      <c r="G275" s="46">
        <v>73004</v>
      </c>
      <c r="H275" s="47" t="s">
        <v>12</v>
      </c>
      <c r="I275" s="47" t="s">
        <v>13</v>
      </c>
      <c r="J275" s="46" t="s">
        <v>3618</v>
      </c>
      <c r="K275" s="46" t="s">
        <v>23</v>
      </c>
      <c r="L275" s="46"/>
      <c r="M275" s="46" t="s">
        <v>2782</v>
      </c>
      <c r="N275" s="17"/>
      <c r="O275" s="17"/>
    </row>
    <row r="276" spans="1:15" ht="25.5" x14ac:dyDescent="0.2">
      <c r="A276" s="52">
        <v>46036</v>
      </c>
      <c r="B276" s="48">
        <f>+MONTH(A276)</f>
        <v>1</v>
      </c>
      <c r="C276" s="48">
        <f>+WEEKNUM(A276)</f>
        <v>3</v>
      </c>
      <c r="D276" s="46" t="s">
        <v>3617</v>
      </c>
      <c r="E276" s="46" t="s">
        <v>1591</v>
      </c>
      <c r="F276" s="46">
        <v>573002673927</v>
      </c>
      <c r="G276" s="46">
        <v>75921</v>
      </c>
      <c r="H276" s="47" t="s">
        <v>12</v>
      </c>
      <c r="I276" s="47" t="s">
        <v>13</v>
      </c>
      <c r="J276" s="46" t="s">
        <v>3616</v>
      </c>
      <c r="K276" s="46" t="s">
        <v>23</v>
      </c>
      <c r="L276" s="46"/>
      <c r="M276" s="46" t="s">
        <v>3615</v>
      </c>
      <c r="N276" s="17"/>
      <c r="O276" s="17"/>
    </row>
    <row r="277" spans="1:15" ht="38.25" x14ac:dyDescent="0.2">
      <c r="A277" s="52">
        <v>46035</v>
      </c>
      <c r="B277" s="48">
        <f>+MONTH(A277)</f>
        <v>1</v>
      </c>
      <c r="C277" s="48">
        <f>+WEEKNUM(A277)</f>
        <v>3</v>
      </c>
      <c r="D277" s="46" t="s">
        <v>1679</v>
      </c>
      <c r="E277" s="46" t="s">
        <v>3614</v>
      </c>
      <c r="F277" s="46">
        <v>573168720708</v>
      </c>
      <c r="G277" s="46">
        <v>73694</v>
      </c>
      <c r="H277" s="47" t="s">
        <v>22</v>
      </c>
      <c r="I277" s="47" t="s">
        <v>22</v>
      </c>
      <c r="J277" s="46" t="s">
        <v>3613</v>
      </c>
      <c r="K277" s="46"/>
      <c r="L277" s="46"/>
      <c r="M277" s="46" t="s">
        <v>2782</v>
      </c>
      <c r="N277" s="17"/>
      <c r="O277" s="17"/>
    </row>
    <row r="278" spans="1:15" ht="63.75" x14ac:dyDescent="0.2">
      <c r="A278" s="52">
        <v>46035</v>
      </c>
      <c r="B278" s="48">
        <f>+MONTH(A278)</f>
        <v>1</v>
      </c>
      <c r="C278" s="48">
        <f>+WEEKNUM(A278)</f>
        <v>3</v>
      </c>
      <c r="D278" s="46" t="s">
        <v>3612</v>
      </c>
      <c r="E278" s="46" t="s">
        <v>3611</v>
      </c>
      <c r="F278" s="46">
        <v>573112326166</v>
      </c>
      <c r="G278" s="46">
        <v>76579</v>
      </c>
      <c r="H278" s="47" t="s">
        <v>12</v>
      </c>
      <c r="I278" s="47" t="s">
        <v>13</v>
      </c>
      <c r="J278" s="46" t="s">
        <v>3610</v>
      </c>
      <c r="K278" s="46" t="s">
        <v>23</v>
      </c>
      <c r="L278" s="46"/>
      <c r="M278" s="46" t="s">
        <v>257</v>
      </c>
      <c r="N278" s="17"/>
      <c r="O278" s="17"/>
    </row>
    <row r="279" spans="1:15" ht="25.5" x14ac:dyDescent="0.2">
      <c r="A279" s="52">
        <v>46035</v>
      </c>
      <c r="B279" s="48">
        <f>+MONTH(A279)</f>
        <v>1</v>
      </c>
      <c r="C279" s="48">
        <f>+WEEKNUM(A279)</f>
        <v>3</v>
      </c>
      <c r="D279" s="46" t="s">
        <v>3609</v>
      </c>
      <c r="E279" s="46" t="s">
        <v>3608</v>
      </c>
      <c r="F279" s="46">
        <v>573214248482</v>
      </c>
      <c r="G279" s="46">
        <v>76632</v>
      </c>
      <c r="H279" s="47" t="s">
        <v>12</v>
      </c>
      <c r="I279" s="47" t="s">
        <v>13</v>
      </c>
      <c r="J279" s="46" t="s">
        <v>165</v>
      </c>
      <c r="K279" s="46" t="s">
        <v>23</v>
      </c>
      <c r="L279" s="46"/>
      <c r="M279" s="46" t="s">
        <v>2784</v>
      </c>
      <c r="N279" s="17"/>
      <c r="O279" s="17"/>
    </row>
    <row r="280" spans="1:15" ht="25.5" x14ac:dyDescent="0.2">
      <c r="A280" s="52">
        <v>46035</v>
      </c>
      <c r="B280" s="48">
        <f>+MONTH(A280)</f>
        <v>1</v>
      </c>
      <c r="C280" s="48">
        <f>+WEEKNUM(A280)</f>
        <v>3</v>
      </c>
      <c r="D280" s="46" t="s">
        <v>3607</v>
      </c>
      <c r="E280" s="46" t="s">
        <v>3606</v>
      </c>
      <c r="F280" s="46">
        <v>573103509843</v>
      </c>
      <c r="G280" s="46">
        <v>76539</v>
      </c>
      <c r="H280" s="47" t="s">
        <v>12</v>
      </c>
      <c r="I280" s="47" t="s">
        <v>13</v>
      </c>
      <c r="J280" s="46" t="s">
        <v>3605</v>
      </c>
      <c r="K280" s="46" t="s">
        <v>23</v>
      </c>
      <c r="L280" s="46" t="s">
        <v>3604</v>
      </c>
      <c r="M280" s="46" t="s">
        <v>2793</v>
      </c>
      <c r="N280" s="17"/>
      <c r="O280" s="17"/>
    </row>
    <row r="281" spans="1:15" ht="25.5" x14ac:dyDescent="0.2">
      <c r="A281" s="52">
        <v>46035</v>
      </c>
      <c r="B281" s="48">
        <f>+MONTH(A281)</f>
        <v>1</v>
      </c>
      <c r="C281" s="48">
        <f>+WEEKNUM(A281)</f>
        <v>3</v>
      </c>
      <c r="D281" s="46" t="s">
        <v>2648</v>
      </c>
      <c r="E281" s="46" t="s">
        <v>2647</v>
      </c>
      <c r="F281" s="46">
        <v>573107633195</v>
      </c>
      <c r="G281" s="46">
        <v>76581</v>
      </c>
      <c r="H281" s="47" t="s">
        <v>12</v>
      </c>
      <c r="I281" s="47" t="s">
        <v>13</v>
      </c>
      <c r="J281" s="46" t="s">
        <v>3603</v>
      </c>
      <c r="K281" s="46" t="s">
        <v>23</v>
      </c>
      <c r="L281" s="46"/>
      <c r="M281" s="46" t="s">
        <v>2784</v>
      </c>
      <c r="N281" s="17"/>
      <c r="O281" s="17"/>
    </row>
    <row r="282" spans="1:15" ht="12.75" x14ac:dyDescent="0.2">
      <c r="A282" s="52">
        <v>46015</v>
      </c>
      <c r="B282" s="48">
        <f>+MONTH(A282)</f>
        <v>12</v>
      </c>
      <c r="C282" s="48">
        <f>+WEEKNUM(A282)</f>
        <v>52</v>
      </c>
      <c r="D282" s="46" t="s">
        <v>2371</v>
      </c>
      <c r="E282" s="46" t="s">
        <v>3602</v>
      </c>
      <c r="F282" s="46">
        <v>573007369400</v>
      </c>
      <c r="G282" s="46">
        <v>75886</v>
      </c>
      <c r="H282" s="47" t="s">
        <v>12</v>
      </c>
      <c r="I282" s="47" t="s">
        <v>13</v>
      </c>
      <c r="J282" s="46" t="s">
        <v>3601</v>
      </c>
      <c r="K282" s="46" t="s">
        <v>23</v>
      </c>
      <c r="L282" s="46"/>
      <c r="M282" s="46" t="s">
        <v>2780</v>
      </c>
      <c r="N282" s="17"/>
      <c r="O282" s="17"/>
    </row>
    <row r="283" spans="1:15" ht="25.5" x14ac:dyDescent="0.2">
      <c r="A283" s="52">
        <v>46015</v>
      </c>
      <c r="B283" s="48">
        <f>+MONTH(A283)</f>
        <v>12</v>
      </c>
      <c r="C283" s="48">
        <f>+WEEKNUM(A283)</f>
        <v>52</v>
      </c>
      <c r="D283" s="46" t="s">
        <v>2608</v>
      </c>
      <c r="E283" s="46" t="s">
        <v>2073</v>
      </c>
      <c r="F283" s="46">
        <v>573015923632</v>
      </c>
      <c r="G283" s="46">
        <v>75809</v>
      </c>
      <c r="H283" s="47" t="s">
        <v>12</v>
      </c>
      <c r="I283" s="47" t="s">
        <v>13</v>
      </c>
      <c r="J283" s="46" t="s">
        <v>3600</v>
      </c>
      <c r="K283" s="46" t="s">
        <v>23</v>
      </c>
      <c r="L283" s="46"/>
      <c r="M283" s="46" t="s">
        <v>2864</v>
      </c>
      <c r="N283" s="17"/>
      <c r="O283" s="17"/>
    </row>
    <row r="284" spans="1:15" ht="25.5" x14ac:dyDescent="0.2">
      <c r="A284" s="52">
        <v>46015</v>
      </c>
      <c r="B284" s="48">
        <f>+MONTH(A284)</f>
        <v>12</v>
      </c>
      <c r="C284" s="48">
        <f>+WEEKNUM(A284)</f>
        <v>52</v>
      </c>
      <c r="D284" s="46" t="s">
        <v>3599</v>
      </c>
      <c r="E284" s="46" t="s">
        <v>3598</v>
      </c>
      <c r="F284" s="46">
        <v>573108621584</v>
      </c>
      <c r="G284" s="46">
        <v>76109</v>
      </c>
      <c r="H284" s="47" t="s">
        <v>12</v>
      </c>
      <c r="I284" s="47" t="s">
        <v>22</v>
      </c>
      <c r="J284" s="46"/>
      <c r="K284" s="46"/>
      <c r="L284" s="46"/>
      <c r="M284" s="46" t="s">
        <v>257</v>
      </c>
      <c r="N284" s="17"/>
      <c r="O284" s="17"/>
    </row>
    <row r="285" spans="1:15" ht="25.5" x14ac:dyDescent="0.2">
      <c r="A285" s="52">
        <v>46015</v>
      </c>
      <c r="B285" s="48">
        <f>+MONTH(A285)</f>
        <v>12</v>
      </c>
      <c r="C285" s="48">
        <f>+WEEKNUM(A285)</f>
        <v>52</v>
      </c>
      <c r="D285" s="46" t="s">
        <v>1470</v>
      </c>
      <c r="E285" s="46" t="s">
        <v>1471</v>
      </c>
      <c r="F285" s="46">
        <v>573155277625</v>
      </c>
      <c r="G285" s="46">
        <v>75821</v>
      </c>
      <c r="H285" s="47" t="s">
        <v>12</v>
      </c>
      <c r="I285" s="47" t="s">
        <v>13</v>
      </c>
      <c r="J285" s="46" t="s">
        <v>3597</v>
      </c>
      <c r="K285" s="46" t="s">
        <v>23</v>
      </c>
      <c r="L285" s="46"/>
      <c r="M285" s="46" t="s">
        <v>3596</v>
      </c>
      <c r="N285" s="17"/>
      <c r="O285" s="17"/>
    </row>
    <row r="286" spans="1:15" ht="63.75" x14ac:dyDescent="0.2">
      <c r="A286" s="52">
        <v>46015</v>
      </c>
      <c r="B286" s="48">
        <f>+MONTH(A286)</f>
        <v>12</v>
      </c>
      <c r="C286" s="48">
        <f>+WEEKNUM(A286)</f>
        <v>52</v>
      </c>
      <c r="D286" s="46" t="s">
        <v>3595</v>
      </c>
      <c r="E286" s="46" t="s">
        <v>3594</v>
      </c>
      <c r="F286" s="46">
        <v>573103986687</v>
      </c>
      <c r="G286" s="46">
        <v>76085</v>
      </c>
      <c r="H286" s="47" t="s">
        <v>12</v>
      </c>
      <c r="I286" s="47" t="s">
        <v>13</v>
      </c>
      <c r="J286" s="46" t="s">
        <v>3593</v>
      </c>
      <c r="K286" s="46" t="s">
        <v>23</v>
      </c>
      <c r="L286" s="46"/>
      <c r="M286" s="46" t="s">
        <v>2780</v>
      </c>
      <c r="N286" s="17"/>
      <c r="O286" s="17"/>
    </row>
    <row r="287" spans="1:15" ht="25.5" x14ac:dyDescent="0.2">
      <c r="A287" s="52">
        <v>46015</v>
      </c>
      <c r="B287" s="48">
        <f>+MONTH(A287)</f>
        <v>12</v>
      </c>
      <c r="C287" s="48">
        <f>+WEEKNUM(A287)</f>
        <v>52</v>
      </c>
      <c r="D287" s="46" t="s">
        <v>1479</v>
      </c>
      <c r="E287" s="46" t="s">
        <v>2725</v>
      </c>
      <c r="F287" s="46">
        <v>573167427483</v>
      </c>
      <c r="G287" s="46">
        <v>75415</v>
      </c>
      <c r="H287" s="47" t="s">
        <v>22</v>
      </c>
      <c r="I287" s="47" t="s">
        <v>44</v>
      </c>
      <c r="J287" s="46" t="s">
        <v>3592</v>
      </c>
      <c r="K287" s="46"/>
      <c r="L287" s="46"/>
      <c r="M287" s="46" t="s">
        <v>2780</v>
      </c>
      <c r="N287" s="17"/>
      <c r="O287" s="17"/>
    </row>
    <row r="288" spans="1:15" ht="25.5" x14ac:dyDescent="0.2">
      <c r="A288" s="52">
        <v>46015</v>
      </c>
      <c r="B288" s="48">
        <f>+MONTH(A288)</f>
        <v>12</v>
      </c>
      <c r="C288" s="48">
        <f>+WEEKNUM(A288)</f>
        <v>52</v>
      </c>
      <c r="D288" s="46" t="s">
        <v>1742</v>
      </c>
      <c r="E288" s="46" t="s">
        <v>1743</v>
      </c>
      <c r="F288" s="46">
        <v>573203110804</v>
      </c>
      <c r="G288" s="46">
        <v>74258</v>
      </c>
      <c r="H288" s="47" t="s">
        <v>71</v>
      </c>
      <c r="I288" s="47" t="s">
        <v>44</v>
      </c>
      <c r="J288" s="46"/>
      <c r="K288" s="46" t="s">
        <v>23</v>
      </c>
      <c r="L288" s="46"/>
      <c r="M288" s="46" t="s">
        <v>257</v>
      </c>
      <c r="N288" s="17"/>
      <c r="O288" s="17"/>
    </row>
    <row r="289" spans="1:15" ht="25.5" x14ac:dyDescent="0.2">
      <c r="A289" s="52">
        <v>46015</v>
      </c>
      <c r="B289" s="48">
        <f>+MONTH(A289)</f>
        <v>12</v>
      </c>
      <c r="C289" s="48">
        <f>+WEEKNUM(A289)</f>
        <v>52</v>
      </c>
      <c r="D289" s="46" t="s">
        <v>3591</v>
      </c>
      <c r="E289" s="46" t="s">
        <v>3590</v>
      </c>
      <c r="F289" s="46">
        <v>573122992660</v>
      </c>
      <c r="G289" s="46">
        <v>76117</v>
      </c>
      <c r="H289" s="47" t="s">
        <v>12</v>
      </c>
      <c r="I289" s="47" t="s">
        <v>13</v>
      </c>
      <c r="J289" s="46" t="s">
        <v>3589</v>
      </c>
      <c r="K289" s="46" t="s">
        <v>23</v>
      </c>
      <c r="L289" s="46"/>
      <c r="M289" s="46" t="s">
        <v>257</v>
      </c>
      <c r="N289" s="17"/>
      <c r="O289" s="17"/>
    </row>
    <row r="290" spans="1:15" ht="12.75" x14ac:dyDescent="0.2">
      <c r="A290" s="52">
        <v>46015</v>
      </c>
      <c r="B290" s="48">
        <f>+MONTH(A290)</f>
        <v>12</v>
      </c>
      <c r="C290" s="48">
        <f>+WEEKNUM(A290)</f>
        <v>52</v>
      </c>
      <c r="D290" s="46" t="s">
        <v>3588</v>
      </c>
      <c r="E290" s="46" t="s">
        <v>3587</v>
      </c>
      <c r="F290" s="46">
        <v>573153692775</v>
      </c>
      <c r="G290" s="46">
        <v>75558</v>
      </c>
      <c r="H290" s="47" t="s">
        <v>71</v>
      </c>
      <c r="I290" s="47" t="s">
        <v>13</v>
      </c>
      <c r="J290" s="46" t="s">
        <v>174</v>
      </c>
      <c r="K290" s="46"/>
      <c r="L290" s="46" t="s">
        <v>82</v>
      </c>
      <c r="M290" s="46" t="s">
        <v>2784</v>
      </c>
      <c r="N290" s="17"/>
      <c r="O290" s="17"/>
    </row>
    <row r="291" spans="1:15" ht="12.75" x14ac:dyDescent="0.2">
      <c r="A291" s="52">
        <v>46015</v>
      </c>
      <c r="B291" s="48">
        <f>+MONTH(A291)</f>
        <v>12</v>
      </c>
      <c r="C291" s="48">
        <f>+WEEKNUM(A291)</f>
        <v>52</v>
      </c>
      <c r="D291" s="46" t="s">
        <v>3586</v>
      </c>
      <c r="E291" s="46" t="s">
        <v>3585</v>
      </c>
      <c r="F291" s="46">
        <v>573106962088</v>
      </c>
      <c r="G291" s="46">
        <v>75774</v>
      </c>
      <c r="H291" s="47" t="s">
        <v>12</v>
      </c>
      <c r="I291" s="47" t="s">
        <v>13</v>
      </c>
      <c r="J291" s="46" t="s">
        <v>3584</v>
      </c>
      <c r="K291" s="46" t="s">
        <v>23</v>
      </c>
      <c r="L291" s="46"/>
      <c r="M291" s="46" t="s">
        <v>3243</v>
      </c>
      <c r="N291" s="17"/>
      <c r="O291" s="17"/>
    </row>
    <row r="292" spans="1:15" ht="25.5" x14ac:dyDescent="0.2">
      <c r="A292" s="52">
        <v>46015</v>
      </c>
      <c r="B292" s="48">
        <f>+MONTH(A292)</f>
        <v>12</v>
      </c>
      <c r="C292" s="48">
        <f>+WEEKNUM(A292)</f>
        <v>52</v>
      </c>
      <c r="D292" s="46" t="s">
        <v>2720</v>
      </c>
      <c r="E292" s="46" t="s">
        <v>3583</v>
      </c>
      <c r="F292" s="46">
        <v>573209400515</v>
      </c>
      <c r="G292" s="46">
        <v>75814</v>
      </c>
      <c r="H292" s="47" t="s">
        <v>22</v>
      </c>
      <c r="I292" s="47" t="s">
        <v>22</v>
      </c>
      <c r="J292" s="46" t="s">
        <v>3582</v>
      </c>
      <c r="K292" s="46"/>
      <c r="L292" s="46"/>
      <c r="M292" s="46" t="s">
        <v>3169</v>
      </c>
      <c r="N292" s="17"/>
      <c r="O292" s="17"/>
    </row>
    <row r="293" spans="1:15" ht="12.75" x14ac:dyDescent="0.2">
      <c r="A293" s="52">
        <v>46015</v>
      </c>
      <c r="B293" s="48">
        <f>+MONTH(A293)</f>
        <v>12</v>
      </c>
      <c r="C293" s="48">
        <f>+WEEKNUM(A293)</f>
        <v>52</v>
      </c>
      <c r="D293" s="46" t="s">
        <v>3581</v>
      </c>
      <c r="E293" s="46" t="s">
        <v>3580</v>
      </c>
      <c r="F293" s="46">
        <v>573013495623</v>
      </c>
      <c r="G293" s="46">
        <v>75322</v>
      </c>
      <c r="H293" s="47" t="s">
        <v>12</v>
      </c>
      <c r="I293" s="47" t="s">
        <v>13</v>
      </c>
      <c r="J293" s="46" t="s">
        <v>3579</v>
      </c>
      <c r="K293" s="46" t="s">
        <v>23</v>
      </c>
      <c r="L293" s="46"/>
      <c r="M293" s="46" t="s">
        <v>3578</v>
      </c>
      <c r="N293" s="17"/>
      <c r="O293" s="17"/>
    </row>
    <row r="294" spans="1:15" ht="25.5" x14ac:dyDescent="0.2">
      <c r="A294" s="52">
        <v>46015</v>
      </c>
      <c r="B294" s="48">
        <f>+MONTH(A294)</f>
        <v>12</v>
      </c>
      <c r="C294" s="48">
        <f>+WEEKNUM(A294)</f>
        <v>52</v>
      </c>
      <c r="D294" s="46" t="s">
        <v>3577</v>
      </c>
      <c r="E294" s="46" t="s">
        <v>3576</v>
      </c>
      <c r="F294" s="46">
        <v>573174253870</v>
      </c>
      <c r="G294" s="46">
        <v>76106</v>
      </c>
      <c r="H294" s="47" t="s">
        <v>12</v>
      </c>
      <c r="I294" s="47" t="s">
        <v>13</v>
      </c>
      <c r="J294" s="46" t="s">
        <v>3575</v>
      </c>
      <c r="K294" s="46" t="s">
        <v>23</v>
      </c>
      <c r="L294" s="46"/>
      <c r="M294" s="46" t="s">
        <v>2780</v>
      </c>
      <c r="N294" s="17"/>
      <c r="O294" s="17"/>
    </row>
    <row r="295" spans="1:15" ht="63.75" x14ac:dyDescent="0.2">
      <c r="A295" s="52">
        <v>46015</v>
      </c>
      <c r="B295" s="48">
        <f>+MONTH(A295)</f>
        <v>12</v>
      </c>
      <c r="C295" s="48">
        <f>+WEEKNUM(A295)</f>
        <v>52</v>
      </c>
      <c r="D295" s="46" t="s">
        <v>3574</v>
      </c>
      <c r="E295" s="46" t="s">
        <v>3573</v>
      </c>
      <c r="F295" s="46">
        <v>573102681328</v>
      </c>
      <c r="G295" s="46">
        <v>76086</v>
      </c>
      <c r="H295" s="47" t="s">
        <v>71</v>
      </c>
      <c r="I295" s="47" t="s">
        <v>13</v>
      </c>
      <c r="J295" s="46" t="s">
        <v>3572</v>
      </c>
      <c r="K295" s="46"/>
      <c r="L295" s="46"/>
      <c r="M295" s="46" t="s">
        <v>2780</v>
      </c>
      <c r="N295" s="17"/>
      <c r="O295" s="17"/>
    </row>
    <row r="296" spans="1:15" ht="12.75" x14ac:dyDescent="0.2">
      <c r="A296" s="52">
        <v>46015</v>
      </c>
      <c r="B296" s="48">
        <f>+MONTH(A296)</f>
        <v>12</v>
      </c>
      <c r="C296" s="48">
        <f>+WEEKNUM(A296)</f>
        <v>52</v>
      </c>
      <c r="D296" s="46" t="s">
        <v>3571</v>
      </c>
      <c r="E296" s="46" t="s">
        <v>3570</v>
      </c>
      <c r="F296" s="46">
        <v>573186756497</v>
      </c>
      <c r="G296" s="46">
        <v>76105</v>
      </c>
      <c r="H296" s="47" t="s">
        <v>12</v>
      </c>
      <c r="I296" s="47" t="s">
        <v>13</v>
      </c>
      <c r="J296" s="46" t="s">
        <v>3569</v>
      </c>
      <c r="K296" s="46" t="s">
        <v>23</v>
      </c>
      <c r="L296" s="46"/>
      <c r="M296" s="46" t="s">
        <v>3403</v>
      </c>
      <c r="N296" s="17"/>
      <c r="O296" s="17"/>
    </row>
    <row r="297" spans="1:15" ht="25.5" x14ac:dyDescent="0.2">
      <c r="A297" s="52">
        <v>46015</v>
      </c>
      <c r="B297" s="48">
        <f>+MONTH(A297)</f>
        <v>12</v>
      </c>
      <c r="C297" s="48">
        <f>+WEEKNUM(A297)</f>
        <v>52</v>
      </c>
      <c r="D297" s="46" t="s">
        <v>1484</v>
      </c>
      <c r="E297" s="46" t="s">
        <v>3568</v>
      </c>
      <c r="F297" s="46">
        <v>573224554965</v>
      </c>
      <c r="G297" s="46">
        <v>75879</v>
      </c>
      <c r="H297" s="47" t="s">
        <v>12</v>
      </c>
      <c r="I297" s="47" t="s">
        <v>13</v>
      </c>
      <c r="J297" s="46" t="s">
        <v>64</v>
      </c>
      <c r="K297" s="46" t="s">
        <v>23</v>
      </c>
      <c r="L297" s="46"/>
      <c r="M297" s="46" t="s">
        <v>2782</v>
      </c>
      <c r="N297" s="17"/>
      <c r="O297" s="17"/>
    </row>
    <row r="298" spans="1:15" ht="25.5" x14ac:dyDescent="0.2">
      <c r="A298" s="52">
        <v>46014</v>
      </c>
      <c r="B298" s="48">
        <f>+MONTH(A298)</f>
        <v>12</v>
      </c>
      <c r="C298" s="48">
        <f>+WEEKNUM(A298)</f>
        <v>52</v>
      </c>
      <c r="D298" s="46" t="s">
        <v>2602</v>
      </c>
      <c r="E298" s="46" t="s">
        <v>3567</v>
      </c>
      <c r="F298" s="46">
        <v>573133128376</v>
      </c>
      <c r="G298" s="46">
        <v>76103</v>
      </c>
      <c r="H298" s="47" t="s">
        <v>12</v>
      </c>
      <c r="I298" s="47" t="s">
        <v>13</v>
      </c>
      <c r="J298" s="46" t="s">
        <v>3566</v>
      </c>
      <c r="K298" s="46" t="s">
        <v>23</v>
      </c>
      <c r="L298" s="46"/>
      <c r="M298" s="46" t="s">
        <v>3565</v>
      </c>
      <c r="N298" s="17"/>
      <c r="O298" s="17"/>
    </row>
    <row r="299" spans="1:15" ht="25.5" x14ac:dyDescent="0.2">
      <c r="A299" s="52">
        <v>46014</v>
      </c>
      <c r="B299" s="48">
        <f>+MONTH(A299)</f>
        <v>12</v>
      </c>
      <c r="C299" s="48">
        <f>+WEEKNUM(A299)</f>
        <v>52</v>
      </c>
      <c r="D299" s="46" t="s">
        <v>2275</v>
      </c>
      <c r="E299" s="46" t="s">
        <v>3564</v>
      </c>
      <c r="F299" s="46">
        <v>573102558579</v>
      </c>
      <c r="G299" s="46">
        <v>76055</v>
      </c>
      <c r="H299" s="47" t="s">
        <v>12</v>
      </c>
      <c r="I299" s="47" t="s">
        <v>13</v>
      </c>
      <c r="J299" s="46" t="s">
        <v>174</v>
      </c>
      <c r="K299" s="46" t="s">
        <v>23</v>
      </c>
      <c r="L299" s="46"/>
      <c r="M299" s="46" t="s">
        <v>3243</v>
      </c>
      <c r="N299" s="17"/>
      <c r="O299" s="17"/>
    </row>
    <row r="300" spans="1:15" ht="38.25" x14ac:dyDescent="0.2">
      <c r="A300" s="52">
        <v>46014</v>
      </c>
      <c r="B300" s="48">
        <f>+MONTH(A300)</f>
        <v>12</v>
      </c>
      <c r="C300" s="48">
        <f>+WEEKNUM(A300)</f>
        <v>52</v>
      </c>
      <c r="D300" s="46" t="s">
        <v>3563</v>
      </c>
      <c r="E300" s="46" t="s">
        <v>3562</v>
      </c>
      <c r="F300" s="46">
        <v>573015907162</v>
      </c>
      <c r="G300" s="46">
        <v>75599</v>
      </c>
      <c r="H300" s="47" t="s">
        <v>22</v>
      </c>
      <c r="I300" s="47" t="s">
        <v>13</v>
      </c>
      <c r="J300" s="46" t="s">
        <v>3561</v>
      </c>
      <c r="K300" s="46"/>
      <c r="L300" s="46"/>
      <c r="M300" s="46" t="s">
        <v>2822</v>
      </c>
      <c r="N300" s="17"/>
      <c r="O300" s="17"/>
    </row>
    <row r="301" spans="1:15" ht="25.5" x14ac:dyDescent="0.2">
      <c r="A301" s="52">
        <v>46014</v>
      </c>
      <c r="B301" s="48">
        <f>+MONTH(A301)</f>
        <v>12</v>
      </c>
      <c r="C301" s="48">
        <f>+WEEKNUM(A301)</f>
        <v>52</v>
      </c>
      <c r="D301" s="46" t="s">
        <v>1625</v>
      </c>
      <c r="E301" s="46" t="s">
        <v>3560</v>
      </c>
      <c r="F301" s="46">
        <v>573155617735</v>
      </c>
      <c r="G301" s="46">
        <v>76136</v>
      </c>
      <c r="H301" s="47" t="s">
        <v>12</v>
      </c>
      <c r="I301" s="47" t="s">
        <v>13</v>
      </c>
      <c r="J301" s="46" t="s">
        <v>3559</v>
      </c>
      <c r="K301" s="46" t="s">
        <v>23</v>
      </c>
      <c r="L301" s="46"/>
      <c r="M301" s="46" t="s">
        <v>2780</v>
      </c>
      <c r="N301" s="17"/>
      <c r="O301" s="17"/>
    </row>
    <row r="302" spans="1:15" ht="25.5" x14ac:dyDescent="0.2">
      <c r="A302" s="52">
        <v>46014</v>
      </c>
      <c r="B302" s="48">
        <f>+MONTH(A302)</f>
        <v>12</v>
      </c>
      <c r="C302" s="48">
        <f>+WEEKNUM(A302)</f>
        <v>52</v>
      </c>
      <c r="D302" s="46" t="s">
        <v>3557</v>
      </c>
      <c r="E302" s="46" t="s">
        <v>3556</v>
      </c>
      <c r="F302" s="46">
        <v>573144579713</v>
      </c>
      <c r="G302" s="46">
        <v>75848</v>
      </c>
      <c r="H302" s="47" t="s">
        <v>12</v>
      </c>
      <c r="I302" s="47" t="s">
        <v>13</v>
      </c>
      <c r="J302" s="46" t="s">
        <v>3555</v>
      </c>
      <c r="K302" s="46" t="s">
        <v>23</v>
      </c>
      <c r="L302" s="46"/>
      <c r="M302" s="46" t="s">
        <v>3554</v>
      </c>
      <c r="N302" s="17"/>
      <c r="O302" s="17"/>
    </row>
    <row r="303" spans="1:15" ht="63.75" x14ac:dyDescent="0.2">
      <c r="A303" s="52">
        <v>46014</v>
      </c>
      <c r="B303" s="48">
        <f>+MONTH(A303)</f>
        <v>12</v>
      </c>
      <c r="C303" s="48">
        <f>+WEEKNUM(A303)</f>
        <v>52</v>
      </c>
      <c r="D303" s="46" t="s">
        <v>3553</v>
      </c>
      <c r="E303" s="46" t="s">
        <v>3552</v>
      </c>
      <c r="F303" s="46">
        <v>573245061915</v>
      </c>
      <c r="G303" s="46">
        <v>75898</v>
      </c>
      <c r="H303" s="47" t="s">
        <v>12</v>
      </c>
      <c r="I303" s="47" t="s">
        <v>13</v>
      </c>
      <c r="J303" s="46" t="s">
        <v>3551</v>
      </c>
      <c r="K303" s="46" t="s">
        <v>23</v>
      </c>
      <c r="L303" s="46"/>
      <c r="M303" s="46" t="s">
        <v>2782</v>
      </c>
      <c r="N303" s="17"/>
      <c r="O303" s="17"/>
    </row>
    <row r="304" spans="1:15" ht="25.5" x14ac:dyDescent="0.2">
      <c r="A304" s="52">
        <v>46014</v>
      </c>
      <c r="B304" s="48">
        <f>+MONTH(A304)</f>
        <v>12</v>
      </c>
      <c r="C304" s="48">
        <f>+WEEKNUM(A304)</f>
        <v>52</v>
      </c>
      <c r="D304" s="46" t="s">
        <v>2713</v>
      </c>
      <c r="E304" s="46" t="s">
        <v>3550</v>
      </c>
      <c r="F304" s="46">
        <v>573143952397</v>
      </c>
      <c r="G304" s="46">
        <v>76023</v>
      </c>
      <c r="H304" s="47" t="s">
        <v>12</v>
      </c>
      <c r="I304" s="47" t="s">
        <v>13</v>
      </c>
      <c r="J304" s="46"/>
      <c r="K304" s="46" t="s">
        <v>23</v>
      </c>
      <c r="L304" s="46"/>
      <c r="M304" s="46" t="s">
        <v>3549</v>
      </c>
      <c r="N304" s="17"/>
      <c r="O304" s="17"/>
    </row>
    <row r="305" spans="1:15" ht="89.25" x14ac:dyDescent="0.2">
      <c r="A305" s="52">
        <v>46014</v>
      </c>
      <c r="B305" s="48">
        <f>+MONTH(A305)</f>
        <v>12</v>
      </c>
      <c r="C305" s="48">
        <f>+WEEKNUM(A305)</f>
        <v>52</v>
      </c>
      <c r="D305" s="46" t="s">
        <v>3548</v>
      </c>
      <c r="E305" s="46" t="s">
        <v>3547</v>
      </c>
      <c r="F305" s="46">
        <v>573012077547</v>
      </c>
      <c r="G305" s="46">
        <v>75830</v>
      </c>
      <c r="H305" s="47" t="s">
        <v>71</v>
      </c>
      <c r="I305" s="47" t="s">
        <v>44</v>
      </c>
      <c r="J305" s="46" t="s">
        <v>3546</v>
      </c>
      <c r="K305" s="46"/>
      <c r="L305" s="46"/>
      <c r="M305" s="46" t="s">
        <v>2784</v>
      </c>
      <c r="N305" s="17"/>
      <c r="O305" s="17"/>
    </row>
    <row r="306" spans="1:15" ht="38.25" x14ac:dyDescent="0.2">
      <c r="A306" s="52">
        <v>46014</v>
      </c>
      <c r="B306" s="48">
        <f>+MONTH(A306)</f>
        <v>12</v>
      </c>
      <c r="C306" s="48">
        <f>+WEEKNUM(A306)</f>
        <v>52</v>
      </c>
      <c r="D306" s="46" t="s">
        <v>3545</v>
      </c>
      <c r="E306" s="46" t="s">
        <v>3544</v>
      </c>
      <c r="F306" s="46">
        <v>573104412939</v>
      </c>
      <c r="G306" s="46">
        <v>74118</v>
      </c>
      <c r="H306" s="47" t="s">
        <v>22</v>
      </c>
      <c r="I306" s="47" t="s">
        <v>13</v>
      </c>
      <c r="J306" s="46" t="s">
        <v>3543</v>
      </c>
      <c r="K306" s="46"/>
      <c r="L306" s="46"/>
      <c r="M306" s="46" t="s">
        <v>2784</v>
      </c>
      <c r="N306" s="17"/>
      <c r="O306" s="17"/>
    </row>
    <row r="307" spans="1:15" ht="12.75" x14ac:dyDescent="0.2">
      <c r="A307" s="52">
        <v>46014</v>
      </c>
      <c r="B307" s="48">
        <f>+MONTH(A307)</f>
        <v>12</v>
      </c>
      <c r="C307" s="48">
        <f>+WEEKNUM(A307)</f>
        <v>52</v>
      </c>
      <c r="D307" s="46" t="s">
        <v>2710</v>
      </c>
      <c r="E307" s="46" t="s">
        <v>3542</v>
      </c>
      <c r="F307" s="46">
        <v>573058893922</v>
      </c>
      <c r="G307" s="46">
        <v>74520</v>
      </c>
      <c r="H307" s="47" t="s">
        <v>22</v>
      </c>
      <c r="I307" s="47" t="s">
        <v>13</v>
      </c>
      <c r="J307" s="46" t="s">
        <v>3541</v>
      </c>
      <c r="K307" s="46"/>
      <c r="L307" s="46"/>
      <c r="M307" s="46" t="s">
        <v>2782</v>
      </c>
      <c r="N307" s="17"/>
      <c r="O307" s="17"/>
    </row>
    <row r="308" spans="1:15" ht="25.5" x14ac:dyDescent="0.2">
      <c r="A308" s="52">
        <v>46014</v>
      </c>
      <c r="B308" s="48">
        <f>+MONTH(A308)</f>
        <v>12</v>
      </c>
      <c r="C308" s="48">
        <f>+WEEKNUM(A308)</f>
        <v>52</v>
      </c>
      <c r="D308" s="46" t="s">
        <v>3540</v>
      </c>
      <c r="E308" s="46" t="s">
        <v>3539</v>
      </c>
      <c r="F308" s="46">
        <v>573057102362</v>
      </c>
      <c r="G308" s="46">
        <v>76068</v>
      </c>
      <c r="H308" s="47" t="s">
        <v>12</v>
      </c>
      <c r="I308" s="47" t="s">
        <v>13</v>
      </c>
      <c r="J308" s="46" t="s">
        <v>3538</v>
      </c>
      <c r="K308" s="46" t="s">
        <v>23</v>
      </c>
      <c r="L308" s="46"/>
      <c r="M308" s="46" t="s">
        <v>2780</v>
      </c>
      <c r="N308" s="17"/>
      <c r="O308" s="17"/>
    </row>
    <row r="309" spans="1:15" ht="63.75" x14ac:dyDescent="0.2">
      <c r="A309" s="52">
        <v>46014</v>
      </c>
      <c r="B309" s="48">
        <f>+MONTH(A309)</f>
        <v>12</v>
      </c>
      <c r="C309" s="48">
        <f>+WEEKNUM(A309)</f>
        <v>52</v>
      </c>
      <c r="D309" s="46" t="s">
        <v>2873</v>
      </c>
      <c r="E309" s="46" t="s">
        <v>2872</v>
      </c>
      <c r="F309" s="46">
        <v>573168682748</v>
      </c>
      <c r="G309" s="46">
        <v>75446</v>
      </c>
      <c r="H309" s="47" t="s">
        <v>12</v>
      </c>
      <c r="I309" s="47" t="s">
        <v>13</v>
      </c>
      <c r="J309" s="46" t="s">
        <v>3537</v>
      </c>
      <c r="K309" s="46" t="s">
        <v>23</v>
      </c>
      <c r="L309" s="46"/>
      <c r="M309" s="46" t="s">
        <v>2782</v>
      </c>
      <c r="N309" s="17"/>
      <c r="O309" s="17"/>
    </row>
    <row r="310" spans="1:15" ht="25.5" x14ac:dyDescent="0.2">
      <c r="A310" s="52">
        <v>46014</v>
      </c>
      <c r="B310" s="48">
        <f>+MONTH(A310)</f>
        <v>12</v>
      </c>
      <c r="C310" s="48">
        <f>+WEEKNUM(A310)</f>
        <v>52</v>
      </c>
      <c r="D310" s="46" t="s">
        <v>1939</v>
      </c>
      <c r="E310" s="46" t="s">
        <v>3536</v>
      </c>
      <c r="F310" s="46">
        <v>573203920616</v>
      </c>
      <c r="G310" s="46">
        <v>76102</v>
      </c>
      <c r="H310" s="47" t="s">
        <v>12</v>
      </c>
      <c r="I310" s="47" t="s">
        <v>13</v>
      </c>
      <c r="J310" s="46" t="s">
        <v>3535</v>
      </c>
      <c r="K310" s="46" t="s">
        <v>23</v>
      </c>
      <c r="L310" s="46"/>
      <c r="M310" s="46" t="s">
        <v>2782</v>
      </c>
      <c r="N310" s="17"/>
      <c r="O310" s="17"/>
    </row>
    <row r="311" spans="1:15" ht="25.5" x14ac:dyDescent="0.2">
      <c r="A311" s="52">
        <v>46014</v>
      </c>
      <c r="B311" s="48">
        <f>+MONTH(A311)</f>
        <v>12</v>
      </c>
      <c r="C311" s="48">
        <f>+WEEKNUM(A311)</f>
        <v>52</v>
      </c>
      <c r="D311" s="46" t="s">
        <v>1885</v>
      </c>
      <c r="E311" s="46" t="s">
        <v>3534</v>
      </c>
      <c r="F311" s="46">
        <v>573138796563</v>
      </c>
      <c r="G311" s="46">
        <v>75079</v>
      </c>
      <c r="H311" s="47" t="s">
        <v>12</v>
      </c>
      <c r="I311" s="47" t="s">
        <v>13</v>
      </c>
      <c r="J311" s="46" t="s">
        <v>3533</v>
      </c>
      <c r="K311" s="46" t="s">
        <v>23</v>
      </c>
      <c r="L311" s="46"/>
      <c r="M311" s="46" t="s">
        <v>2780</v>
      </c>
      <c r="N311" s="17"/>
      <c r="O311" s="17"/>
    </row>
    <row r="312" spans="1:15" ht="25.5" x14ac:dyDescent="0.2">
      <c r="A312" s="52">
        <v>46014</v>
      </c>
      <c r="B312" s="48">
        <f>+MONTH(A312)</f>
        <v>12</v>
      </c>
      <c r="C312" s="48">
        <f>+WEEKNUM(A312)</f>
        <v>52</v>
      </c>
      <c r="D312" s="46" t="s">
        <v>3532</v>
      </c>
      <c r="E312" s="46" t="s">
        <v>3531</v>
      </c>
      <c r="F312" s="46">
        <v>573172432530</v>
      </c>
      <c r="G312" s="46">
        <v>75532</v>
      </c>
      <c r="H312" s="47" t="s">
        <v>12</v>
      </c>
      <c r="I312" s="47" t="s">
        <v>13</v>
      </c>
      <c r="J312" s="46" t="s">
        <v>3530</v>
      </c>
      <c r="K312" s="46" t="s">
        <v>23</v>
      </c>
      <c r="L312" s="46"/>
      <c r="M312" s="46" t="s">
        <v>3529</v>
      </c>
      <c r="N312" s="17"/>
      <c r="O312" s="17"/>
    </row>
    <row r="313" spans="1:15" ht="51" x14ac:dyDescent="0.2">
      <c r="A313" s="52">
        <v>46014</v>
      </c>
      <c r="B313" s="48">
        <f>+MONTH(A313)</f>
        <v>12</v>
      </c>
      <c r="C313" s="48">
        <f>+WEEKNUM(A313)</f>
        <v>52</v>
      </c>
      <c r="D313" s="46" t="s">
        <v>3528</v>
      </c>
      <c r="E313" s="46" t="s">
        <v>3527</v>
      </c>
      <c r="F313" s="46">
        <v>573006822087</v>
      </c>
      <c r="G313" s="46">
        <v>75690</v>
      </c>
      <c r="H313" s="47" t="s">
        <v>22</v>
      </c>
      <c r="I313" s="47" t="s">
        <v>13</v>
      </c>
      <c r="J313" s="46" t="s">
        <v>3526</v>
      </c>
      <c r="K313" s="46"/>
      <c r="L313" s="46"/>
      <c r="M313" s="46" t="s">
        <v>2793</v>
      </c>
      <c r="N313" s="17"/>
      <c r="O313" s="17"/>
    </row>
    <row r="314" spans="1:15" ht="25.5" x14ac:dyDescent="0.2">
      <c r="A314" s="52">
        <v>46014</v>
      </c>
      <c r="B314" s="48">
        <f>+MONTH(A314)</f>
        <v>12</v>
      </c>
      <c r="C314" s="48">
        <f>+WEEKNUM(A314)</f>
        <v>52</v>
      </c>
      <c r="D314" s="46" t="s">
        <v>3405</v>
      </c>
      <c r="E314" s="46" t="s">
        <v>3525</v>
      </c>
      <c r="F314" s="46">
        <v>573122573950</v>
      </c>
      <c r="G314" s="46">
        <v>75355</v>
      </c>
      <c r="H314" s="47" t="s">
        <v>12</v>
      </c>
      <c r="I314" s="47" t="s">
        <v>13</v>
      </c>
      <c r="J314" s="46" t="s">
        <v>3524</v>
      </c>
      <c r="K314" s="46" t="s">
        <v>23</v>
      </c>
      <c r="L314" s="46"/>
      <c r="M314" s="46" t="s">
        <v>2821</v>
      </c>
      <c r="N314" s="17"/>
      <c r="O314" s="17"/>
    </row>
    <row r="315" spans="1:15" ht="25.5" x14ac:dyDescent="0.2">
      <c r="A315" s="52">
        <v>46013</v>
      </c>
      <c r="B315" s="48">
        <f>+MONTH(A315)</f>
        <v>12</v>
      </c>
      <c r="C315" s="48">
        <f>+WEEKNUM(A315)</f>
        <v>52</v>
      </c>
      <c r="D315" s="46" t="s">
        <v>2058</v>
      </c>
      <c r="E315" s="46" t="s">
        <v>3523</v>
      </c>
      <c r="F315" s="46">
        <v>573005588402</v>
      </c>
      <c r="G315" s="46">
        <v>75773</v>
      </c>
      <c r="H315" s="47" t="s">
        <v>12</v>
      </c>
      <c r="I315" s="47" t="s">
        <v>13</v>
      </c>
      <c r="J315" s="46" t="s">
        <v>217</v>
      </c>
      <c r="K315" s="46" t="s">
        <v>23</v>
      </c>
      <c r="L315" s="46"/>
      <c r="M315" s="46" t="s">
        <v>2784</v>
      </c>
      <c r="N315" s="17"/>
      <c r="O315" s="17"/>
    </row>
    <row r="316" spans="1:15" ht="38.25" x14ac:dyDescent="0.2">
      <c r="A316" s="52">
        <v>46013</v>
      </c>
      <c r="B316" s="48">
        <f>+MONTH(A316)</f>
        <v>12</v>
      </c>
      <c r="C316" s="48">
        <f>+WEEKNUM(A316)</f>
        <v>52</v>
      </c>
      <c r="D316" s="46" t="s">
        <v>3522</v>
      </c>
      <c r="E316" s="46" t="s">
        <v>3521</v>
      </c>
      <c r="F316" s="46">
        <v>573133163974</v>
      </c>
      <c r="G316" s="46">
        <v>75197</v>
      </c>
      <c r="H316" s="47" t="s">
        <v>22</v>
      </c>
      <c r="I316" s="47" t="s">
        <v>22</v>
      </c>
      <c r="J316" s="46" t="s">
        <v>3520</v>
      </c>
      <c r="K316" s="46"/>
      <c r="L316" s="46"/>
      <c r="M316" s="46" t="s">
        <v>2780</v>
      </c>
      <c r="N316" s="17"/>
      <c r="O316" s="17"/>
    </row>
    <row r="317" spans="1:15" ht="89.25" x14ac:dyDescent="0.2">
      <c r="A317" s="52">
        <v>46013</v>
      </c>
      <c r="B317" s="48">
        <f>+MONTH(A317)</f>
        <v>12</v>
      </c>
      <c r="C317" s="48">
        <f>+WEEKNUM(A317)</f>
        <v>52</v>
      </c>
      <c r="D317" s="46" t="s">
        <v>3519</v>
      </c>
      <c r="E317" s="46" t="s">
        <v>3518</v>
      </c>
      <c r="F317" s="46">
        <v>573246655085</v>
      </c>
      <c r="G317" s="46">
        <v>74186</v>
      </c>
      <c r="H317" s="47" t="s">
        <v>71</v>
      </c>
      <c r="I317" s="47" t="s">
        <v>44</v>
      </c>
      <c r="J317" s="46" t="s">
        <v>3517</v>
      </c>
      <c r="K317" s="46"/>
      <c r="L317" s="46"/>
      <c r="M317" s="46" t="s">
        <v>2780</v>
      </c>
      <c r="N317" s="17"/>
      <c r="O317" s="17"/>
    </row>
    <row r="318" spans="1:15" ht="12.75" x14ac:dyDescent="0.2">
      <c r="A318" s="52">
        <v>46013</v>
      </c>
      <c r="B318" s="48">
        <f>+MONTH(A318)</f>
        <v>12</v>
      </c>
      <c r="C318" s="48">
        <f>+WEEKNUM(A318)</f>
        <v>52</v>
      </c>
      <c r="D318" s="46" t="s">
        <v>3515</v>
      </c>
      <c r="E318" s="46" t="s">
        <v>3504</v>
      </c>
      <c r="F318" s="46">
        <v>573024622728</v>
      </c>
      <c r="G318" s="46">
        <v>75447</v>
      </c>
      <c r="H318" s="47" t="s">
        <v>22</v>
      </c>
      <c r="I318" s="47" t="s">
        <v>22</v>
      </c>
      <c r="J318" s="46"/>
      <c r="K318" s="46"/>
      <c r="L318" s="46"/>
      <c r="M318" s="46" t="s">
        <v>2821</v>
      </c>
      <c r="N318" s="17"/>
      <c r="O318" s="17"/>
    </row>
    <row r="319" spans="1:15" ht="25.5" x14ac:dyDescent="0.2">
      <c r="A319" s="52">
        <v>46013</v>
      </c>
      <c r="B319" s="48">
        <f>+MONTH(A319)</f>
        <v>12</v>
      </c>
      <c r="C319" s="48">
        <f>+WEEKNUM(A319)</f>
        <v>52</v>
      </c>
      <c r="D319" s="46" t="s">
        <v>3515</v>
      </c>
      <c r="E319" s="46" t="s">
        <v>3504</v>
      </c>
      <c r="F319" s="46">
        <v>573024622728</v>
      </c>
      <c r="G319" s="46">
        <v>75447</v>
      </c>
      <c r="H319" s="47" t="s">
        <v>22</v>
      </c>
      <c r="I319" s="47" t="s">
        <v>22</v>
      </c>
      <c r="J319" s="46" t="s">
        <v>3514</v>
      </c>
      <c r="K319" s="46"/>
      <c r="L319" s="46"/>
      <c r="M319" s="46" t="s">
        <v>2821</v>
      </c>
      <c r="N319" s="17"/>
      <c r="O319" s="17"/>
    </row>
    <row r="320" spans="1:15" ht="25.5" x14ac:dyDescent="0.2">
      <c r="A320" s="52">
        <v>46013</v>
      </c>
      <c r="B320" s="48">
        <f>+MONTH(A320)</f>
        <v>12</v>
      </c>
      <c r="C320" s="48">
        <f>+WEEKNUM(A320)</f>
        <v>52</v>
      </c>
      <c r="D320" s="46" t="s">
        <v>1900</v>
      </c>
      <c r="E320" s="46" t="s">
        <v>1901</v>
      </c>
      <c r="F320" s="46">
        <v>573192372631</v>
      </c>
      <c r="G320" s="46">
        <v>76008</v>
      </c>
      <c r="H320" s="47" t="s">
        <v>12</v>
      </c>
      <c r="I320" s="47" t="s">
        <v>13</v>
      </c>
      <c r="J320" s="46" t="s">
        <v>61</v>
      </c>
      <c r="K320" s="46" t="s">
        <v>23</v>
      </c>
      <c r="L320" s="46"/>
      <c r="M320" s="46" t="s">
        <v>2780</v>
      </c>
      <c r="N320" s="17"/>
      <c r="O320" s="17"/>
    </row>
    <row r="321" spans="1:15" ht="25.5" x14ac:dyDescent="0.2">
      <c r="A321" s="52">
        <v>46013</v>
      </c>
      <c r="B321" s="48">
        <f>+MONTH(A321)</f>
        <v>12</v>
      </c>
      <c r="C321" s="48">
        <f>+WEEKNUM(A321)</f>
        <v>52</v>
      </c>
      <c r="D321" s="46" t="s">
        <v>3513</v>
      </c>
      <c r="E321" s="46" t="s">
        <v>3512</v>
      </c>
      <c r="F321" s="46">
        <v>573104373530</v>
      </c>
      <c r="G321" s="46">
        <v>75348</v>
      </c>
      <c r="H321" s="47" t="s">
        <v>12</v>
      </c>
      <c r="I321" s="47" t="s">
        <v>13</v>
      </c>
      <c r="J321" s="46" t="s">
        <v>3511</v>
      </c>
      <c r="K321" s="46" t="s">
        <v>23</v>
      </c>
      <c r="L321" s="46"/>
      <c r="M321" s="46" t="s">
        <v>257</v>
      </c>
      <c r="N321" s="17"/>
      <c r="O321" s="17"/>
    </row>
    <row r="322" spans="1:15" ht="25.5" x14ac:dyDescent="0.2">
      <c r="A322" s="52">
        <v>46013</v>
      </c>
      <c r="B322" s="48">
        <f>+MONTH(A322)</f>
        <v>12</v>
      </c>
      <c r="C322" s="48">
        <f>+WEEKNUM(A322)</f>
        <v>52</v>
      </c>
      <c r="D322" s="46" t="s">
        <v>3510</v>
      </c>
      <c r="E322" s="46" t="s">
        <v>3509</v>
      </c>
      <c r="F322" s="46">
        <v>573202751462</v>
      </c>
      <c r="G322" s="46">
        <v>75981</v>
      </c>
      <c r="H322" s="47" t="s">
        <v>12</v>
      </c>
      <c r="I322" s="47" t="s">
        <v>13</v>
      </c>
      <c r="J322" s="46" t="s">
        <v>3508</v>
      </c>
      <c r="K322" s="46" t="s">
        <v>23</v>
      </c>
      <c r="L322" s="46"/>
      <c r="M322" s="46" t="s">
        <v>3169</v>
      </c>
      <c r="N322" s="17"/>
      <c r="O322" s="17"/>
    </row>
    <row r="323" spans="1:15" ht="63.75" x14ac:dyDescent="0.2">
      <c r="A323" s="52">
        <v>46013</v>
      </c>
      <c r="B323" s="48">
        <f>+MONTH(A323)</f>
        <v>12</v>
      </c>
      <c r="C323" s="48">
        <f>+WEEKNUM(A323)</f>
        <v>52</v>
      </c>
      <c r="D323" s="46" t="s">
        <v>3507</v>
      </c>
      <c r="E323" s="46" t="s">
        <v>3506</v>
      </c>
      <c r="F323" s="46">
        <v>573022597533</v>
      </c>
      <c r="G323" s="46">
        <v>76012</v>
      </c>
      <c r="H323" s="47" t="s">
        <v>12</v>
      </c>
      <c r="I323" s="47" t="s">
        <v>13</v>
      </c>
      <c r="J323" s="46" t="s">
        <v>3505</v>
      </c>
      <c r="K323" s="46" t="s">
        <v>23</v>
      </c>
      <c r="L323" s="46"/>
      <c r="M323" s="46" t="s">
        <v>2780</v>
      </c>
      <c r="N323" s="17"/>
      <c r="O323" s="17"/>
    </row>
    <row r="324" spans="1:15" ht="38.25" x14ac:dyDescent="0.2">
      <c r="A324" s="52">
        <v>46013</v>
      </c>
      <c r="B324" s="48">
        <f>+MONTH(A324)</f>
        <v>12</v>
      </c>
      <c r="C324" s="48">
        <f>+WEEKNUM(A324)</f>
        <v>52</v>
      </c>
      <c r="D324" s="46" t="s">
        <v>1747</v>
      </c>
      <c r="E324" s="46" t="s">
        <v>3504</v>
      </c>
      <c r="F324" s="46">
        <v>573136363746</v>
      </c>
      <c r="G324" s="46">
        <v>75606</v>
      </c>
      <c r="H324" s="47" t="s">
        <v>12</v>
      </c>
      <c r="I324" s="47" t="s">
        <v>13</v>
      </c>
      <c r="J324" s="46" t="s">
        <v>3503</v>
      </c>
      <c r="K324" s="46" t="s">
        <v>23</v>
      </c>
      <c r="L324" s="46"/>
      <c r="M324" s="46" t="s">
        <v>3128</v>
      </c>
      <c r="N324" s="17"/>
      <c r="O324" s="17"/>
    </row>
    <row r="325" spans="1:15" ht="25.5" x14ac:dyDescent="0.2">
      <c r="A325" s="52">
        <v>46013</v>
      </c>
      <c r="B325" s="48">
        <f>+MONTH(A325)</f>
        <v>12</v>
      </c>
      <c r="C325" s="48">
        <f>+WEEKNUM(A325)</f>
        <v>52</v>
      </c>
      <c r="D325" s="46" t="s">
        <v>1527</v>
      </c>
      <c r="E325" s="46" t="s">
        <v>1528</v>
      </c>
      <c r="F325" s="46">
        <v>573164964457</v>
      </c>
      <c r="G325" s="46">
        <v>75192</v>
      </c>
      <c r="H325" s="47" t="s">
        <v>12</v>
      </c>
      <c r="I325" s="47" t="s">
        <v>13</v>
      </c>
      <c r="J325" s="46" t="s">
        <v>3502</v>
      </c>
      <c r="K325" s="46" t="s">
        <v>23</v>
      </c>
      <c r="L325" s="46"/>
      <c r="M325" s="46" t="s">
        <v>3501</v>
      </c>
      <c r="N325" s="17"/>
      <c r="O325" s="17"/>
    </row>
    <row r="326" spans="1:15" ht="12.75" x14ac:dyDescent="0.2">
      <c r="A326" s="52">
        <v>46013</v>
      </c>
      <c r="B326" s="48">
        <f>+MONTH(A326)</f>
        <v>12</v>
      </c>
      <c r="C326" s="48">
        <f>+WEEKNUM(A326)</f>
        <v>52</v>
      </c>
      <c r="D326" s="46" t="s">
        <v>1438</v>
      </c>
      <c r="E326" s="46" t="s">
        <v>2188</v>
      </c>
      <c r="F326" s="46">
        <v>573132292504</v>
      </c>
      <c r="G326" s="46">
        <v>75151</v>
      </c>
      <c r="H326" s="47" t="s">
        <v>12</v>
      </c>
      <c r="I326" s="47" t="s">
        <v>13</v>
      </c>
      <c r="J326" s="46" t="s">
        <v>3500</v>
      </c>
      <c r="K326" s="46" t="s">
        <v>23</v>
      </c>
      <c r="L326" s="46"/>
      <c r="M326" s="46" t="s">
        <v>3499</v>
      </c>
      <c r="N326" s="17"/>
      <c r="O326" s="17"/>
    </row>
    <row r="327" spans="1:15" ht="25.5" x14ac:dyDescent="0.2">
      <c r="A327" s="52">
        <v>46013</v>
      </c>
      <c r="B327" s="48">
        <f>+MONTH(A327)</f>
        <v>12</v>
      </c>
      <c r="C327" s="48">
        <f>+WEEKNUM(A327)</f>
        <v>52</v>
      </c>
      <c r="D327" s="46" t="s">
        <v>3498</v>
      </c>
      <c r="E327" s="46" t="s">
        <v>3497</v>
      </c>
      <c r="F327" s="46">
        <v>573105143946</v>
      </c>
      <c r="G327" s="46">
        <v>75635</v>
      </c>
      <c r="H327" s="47" t="s">
        <v>12</v>
      </c>
      <c r="I327" s="47" t="s">
        <v>13</v>
      </c>
      <c r="J327" s="46"/>
      <c r="K327" s="46" t="s">
        <v>23</v>
      </c>
      <c r="L327" s="46"/>
      <c r="M327" s="46" t="s">
        <v>2782</v>
      </c>
      <c r="N327" s="17"/>
      <c r="O327" s="17"/>
    </row>
    <row r="328" spans="1:15" ht="140.25" x14ac:dyDescent="0.2">
      <c r="A328" s="52">
        <v>46013</v>
      </c>
      <c r="B328" s="48">
        <f>+MONTH(A328)</f>
        <v>12</v>
      </c>
      <c r="C328" s="48">
        <f>+WEEKNUM(A328)</f>
        <v>52</v>
      </c>
      <c r="D328" s="46" t="s">
        <v>3498</v>
      </c>
      <c r="E328" s="46" t="s">
        <v>3497</v>
      </c>
      <c r="F328" s="46">
        <v>573105143946</v>
      </c>
      <c r="G328" s="46">
        <v>75635</v>
      </c>
      <c r="H328" s="47" t="s">
        <v>12</v>
      </c>
      <c r="I328" s="47" t="s">
        <v>13</v>
      </c>
      <c r="J328" s="46" t="s">
        <v>3496</v>
      </c>
      <c r="K328" s="46" t="s">
        <v>23</v>
      </c>
      <c r="L328" s="46"/>
      <c r="M328" s="46" t="s">
        <v>2782</v>
      </c>
      <c r="N328" s="17"/>
      <c r="O328" s="17"/>
    </row>
    <row r="329" spans="1:15" ht="25.5" x14ac:dyDescent="0.2">
      <c r="A329" s="52">
        <v>46013</v>
      </c>
      <c r="B329" s="48">
        <f>+MONTH(A329)</f>
        <v>12</v>
      </c>
      <c r="C329" s="48">
        <f>+WEEKNUM(A329)</f>
        <v>52</v>
      </c>
      <c r="D329" s="46" t="s">
        <v>3495</v>
      </c>
      <c r="E329" s="46" t="s">
        <v>3494</v>
      </c>
      <c r="F329" s="46">
        <v>573045599483</v>
      </c>
      <c r="G329" s="46">
        <v>75900</v>
      </c>
      <c r="H329" s="47" t="s">
        <v>12</v>
      </c>
      <c r="I329" s="47" t="s">
        <v>13</v>
      </c>
      <c r="J329" s="46" t="s">
        <v>2781</v>
      </c>
      <c r="K329" s="46" t="s">
        <v>23</v>
      </c>
      <c r="L329" s="46"/>
      <c r="M329" s="46" t="s">
        <v>3493</v>
      </c>
      <c r="N329" s="17"/>
      <c r="O329" s="17"/>
    </row>
    <row r="330" spans="1:15" ht="12.75" x14ac:dyDescent="0.2">
      <c r="A330" s="52">
        <v>46013</v>
      </c>
      <c r="B330" s="48">
        <f>+MONTH(A330)</f>
        <v>12</v>
      </c>
      <c r="C330" s="48">
        <f>+WEEKNUM(A330)</f>
        <v>52</v>
      </c>
      <c r="D330" s="46" t="s">
        <v>3492</v>
      </c>
      <c r="E330" s="46" t="s">
        <v>3491</v>
      </c>
      <c r="F330" s="46">
        <v>573213477203</v>
      </c>
      <c r="G330" s="46">
        <v>76054</v>
      </c>
      <c r="H330" s="47" t="s">
        <v>12</v>
      </c>
      <c r="I330" s="47" t="s">
        <v>13</v>
      </c>
      <c r="J330" s="46" t="s">
        <v>3490</v>
      </c>
      <c r="K330" s="46" t="s">
        <v>23</v>
      </c>
      <c r="L330" s="46"/>
      <c r="M330" s="46" t="s">
        <v>2780</v>
      </c>
      <c r="N330" s="17"/>
      <c r="O330" s="17"/>
    </row>
    <row r="331" spans="1:15" ht="89.25" x14ac:dyDescent="0.2">
      <c r="A331" s="52">
        <v>46013</v>
      </c>
      <c r="B331" s="48">
        <f>+MONTH(A331)</f>
        <v>12</v>
      </c>
      <c r="C331" s="48">
        <f>+WEEKNUM(A331)</f>
        <v>52</v>
      </c>
      <c r="D331" s="46" t="s">
        <v>2608</v>
      </c>
      <c r="E331" s="46" t="s">
        <v>3489</v>
      </c>
      <c r="F331" s="46">
        <v>573005519042</v>
      </c>
      <c r="G331" s="46">
        <v>74109</v>
      </c>
      <c r="H331" s="47" t="s">
        <v>22</v>
      </c>
      <c r="I331" s="47" t="s">
        <v>22</v>
      </c>
      <c r="J331" s="46" t="s">
        <v>3488</v>
      </c>
      <c r="K331" s="46"/>
      <c r="L331" s="46"/>
      <c r="M331" s="46" t="s">
        <v>2780</v>
      </c>
      <c r="N331" s="17"/>
      <c r="O331" s="17"/>
    </row>
    <row r="332" spans="1:15" ht="12.75" x14ac:dyDescent="0.2">
      <c r="A332" s="52">
        <v>46013</v>
      </c>
      <c r="B332" s="48">
        <f>+MONTH(A332)</f>
        <v>12</v>
      </c>
      <c r="C332" s="48">
        <f>+WEEKNUM(A332)</f>
        <v>52</v>
      </c>
      <c r="D332" s="46" t="s">
        <v>1539</v>
      </c>
      <c r="E332" s="46" t="s">
        <v>2754</v>
      </c>
      <c r="F332" s="46">
        <v>573104829710</v>
      </c>
      <c r="G332" s="46">
        <v>75949</v>
      </c>
      <c r="H332" s="47" t="s">
        <v>12</v>
      </c>
      <c r="I332" s="47" t="s">
        <v>13</v>
      </c>
      <c r="J332" s="46" t="s">
        <v>3487</v>
      </c>
      <c r="K332" s="46" t="s">
        <v>23</v>
      </c>
      <c r="L332" s="46"/>
      <c r="M332" s="46" t="s">
        <v>2780</v>
      </c>
      <c r="N332" s="17"/>
      <c r="O332" s="17"/>
    </row>
    <row r="333" spans="1:15" ht="25.5" x14ac:dyDescent="0.2">
      <c r="A333" s="52">
        <v>46013</v>
      </c>
      <c r="B333" s="48">
        <f>+MONTH(A333)</f>
        <v>12</v>
      </c>
      <c r="C333" s="48">
        <f>+WEEKNUM(A333)</f>
        <v>52</v>
      </c>
      <c r="D333" s="46" t="s">
        <v>3486</v>
      </c>
      <c r="E333" s="46" t="s">
        <v>3485</v>
      </c>
      <c r="F333" s="46">
        <v>573108834483</v>
      </c>
      <c r="G333" s="46">
        <v>76039</v>
      </c>
      <c r="H333" s="47" t="s">
        <v>12</v>
      </c>
      <c r="I333" s="47" t="s">
        <v>13</v>
      </c>
      <c r="J333" s="46" t="s">
        <v>3484</v>
      </c>
      <c r="K333" s="46" t="s">
        <v>23</v>
      </c>
      <c r="L333" s="46"/>
      <c r="M333" s="46" t="s">
        <v>2780</v>
      </c>
      <c r="N333" s="17"/>
      <c r="O333" s="17"/>
    </row>
    <row r="334" spans="1:15" ht="12.75" x14ac:dyDescent="0.2">
      <c r="A334" s="52">
        <v>46011</v>
      </c>
      <c r="B334" s="48">
        <f>+MONTH(A334)</f>
        <v>12</v>
      </c>
      <c r="C334" s="48">
        <f>+WEEKNUM(A334)</f>
        <v>51</v>
      </c>
      <c r="D334" s="46" t="s">
        <v>3483</v>
      </c>
      <c r="E334" s="46" t="s">
        <v>3482</v>
      </c>
      <c r="F334" s="46">
        <v>573123056522</v>
      </c>
      <c r="G334" s="46">
        <v>75530</v>
      </c>
      <c r="H334" s="47" t="s">
        <v>12</v>
      </c>
      <c r="I334" s="47" t="s">
        <v>13</v>
      </c>
      <c r="J334" s="46"/>
      <c r="K334" s="46" t="s">
        <v>23</v>
      </c>
      <c r="L334" s="46"/>
      <c r="M334" s="46" t="s">
        <v>3481</v>
      </c>
      <c r="N334" s="17"/>
      <c r="O334" s="17"/>
    </row>
    <row r="335" spans="1:15" ht="25.5" x14ac:dyDescent="0.2">
      <c r="A335" s="52">
        <v>46011</v>
      </c>
      <c r="B335" s="48">
        <f>+MONTH(A335)</f>
        <v>12</v>
      </c>
      <c r="C335" s="48">
        <f>+WEEKNUM(A335)</f>
        <v>51</v>
      </c>
      <c r="D335" s="46" t="s">
        <v>3480</v>
      </c>
      <c r="E335" s="46" t="s">
        <v>3479</v>
      </c>
      <c r="F335" s="46">
        <v>573112302945</v>
      </c>
      <c r="G335" s="46">
        <v>75995</v>
      </c>
      <c r="H335" s="47" t="s">
        <v>12</v>
      </c>
      <c r="I335" s="47" t="s">
        <v>13</v>
      </c>
      <c r="J335" s="46" t="s">
        <v>3478</v>
      </c>
      <c r="K335" s="46" t="s">
        <v>23</v>
      </c>
      <c r="L335" s="46"/>
      <c r="M335" s="46" t="s">
        <v>2784</v>
      </c>
      <c r="N335" s="17"/>
      <c r="O335" s="17"/>
    </row>
    <row r="336" spans="1:15" ht="25.5" x14ac:dyDescent="0.2">
      <c r="A336" s="52">
        <v>46011</v>
      </c>
      <c r="B336" s="48">
        <f>+MONTH(A336)</f>
        <v>12</v>
      </c>
      <c r="C336" s="48">
        <f>+WEEKNUM(A336)</f>
        <v>51</v>
      </c>
      <c r="D336" s="46" t="s">
        <v>3175</v>
      </c>
      <c r="E336" s="46" t="s">
        <v>3477</v>
      </c>
      <c r="F336" s="46">
        <v>573014515822</v>
      </c>
      <c r="G336" s="46">
        <v>75979</v>
      </c>
      <c r="H336" s="47" t="s">
        <v>12</v>
      </c>
      <c r="I336" s="47" t="s">
        <v>13</v>
      </c>
      <c r="J336" s="46" t="s">
        <v>3476</v>
      </c>
      <c r="K336" s="46" t="s">
        <v>23</v>
      </c>
      <c r="L336" s="46"/>
      <c r="M336" s="46" t="s">
        <v>2780</v>
      </c>
      <c r="N336" s="17"/>
      <c r="O336" s="17"/>
    </row>
    <row r="337" spans="1:15" ht="12.75" x14ac:dyDescent="0.2">
      <c r="A337" s="52">
        <v>46011</v>
      </c>
      <c r="B337" s="48">
        <f>+MONTH(A337)</f>
        <v>12</v>
      </c>
      <c r="C337" s="48">
        <f>+WEEKNUM(A337)</f>
        <v>51</v>
      </c>
      <c r="D337" s="46" t="s">
        <v>3474</v>
      </c>
      <c r="E337" s="46" t="s">
        <v>3473</v>
      </c>
      <c r="F337" s="46">
        <v>573118365844</v>
      </c>
      <c r="G337" s="46">
        <v>75373</v>
      </c>
      <c r="H337" s="47" t="s">
        <v>12</v>
      </c>
      <c r="I337" s="47" t="s">
        <v>13</v>
      </c>
      <c r="J337" s="46" t="s">
        <v>3472</v>
      </c>
      <c r="K337" s="46" t="s">
        <v>23</v>
      </c>
      <c r="L337" s="46"/>
      <c r="M337" s="46">
        <v>95</v>
      </c>
      <c r="N337" s="17"/>
      <c r="O337" s="17"/>
    </row>
    <row r="338" spans="1:15" ht="63.75" x14ac:dyDescent="0.2">
      <c r="A338" s="52">
        <v>46011</v>
      </c>
      <c r="B338" s="48">
        <f>+MONTH(A338)</f>
        <v>12</v>
      </c>
      <c r="C338" s="48">
        <f>+WEEKNUM(A338)</f>
        <v>51</v>
      </c>
      <c r="D338" s="46" t="s">
        <v>1601</v>
      </c>
      <c r="E338" s="46" t="s">
        <v>3471</v>
      </c>
      <c r="F338" s="46">
        <v>573219782849</v>
      </c>
      <c r="G338" s="46">
        <v>75554</v>
      </c>
      <c r="H338" s="47" t="s">
        <v>71</v>
      </c>
      <c r="I338" s="47" t="s">
        <v>13</v>
      </c>
      <c r="J338" s="46" t="s">
        <v>3470</v>
      </c>
      <c r="K338" s="46"/>
      <c r="L338" s="46"/>
      <c r="M338" s="46" t="s">
        <v>2822</v>
      </c>
      <c r="N338" s="17"/>
      <c r="O338" s="17"/>
    </row>
    <row r="339" spans="1:15" ht="25.5" x14ac:dyDescent="0.2">
      <c r="A339" s="52">
        <v>46011</v>
      </c>
      <c r="B339" s="48">
        <f>+MONTH(A339)</f>
        <v>12</v>
      </c>
      <c r="C339" s="48">
        <f>+WEEKNUM(A339)</f>
        <v>51</v>
      </c>
      <c r="D339" s="46" t="s">
        <v>1473</v>
      </c>
      <c r="E339" s="46" t="s">
        <v>3469</v>
      </c>
      <c r="F339" s="46">
        <v>573176470377</v>
      </c>
      <c r="G339" s="46">
        <v>67253</v>
      </c>
      <c r="H339" s="47" t="s">
        <v>22</v>
      </c>
      <c r="I339" s="47" t="s">
        <v>22</v>
      </c>
      <c r="J339" s="46" t="s">
        <v>3468</v>
      </c>
      <c r="K339" s="46"/>
      <c r="L339" s="46"/>
      <c r="M339" s="46" t="s">
        <v>471</v>
      </c>
      <c r="N339" s="17"/>
      <c r="O339" s="17"/>
    </row>
    <row r="340" spans="1:15" ht="63.75" x14ac:dyDescent="0.2">
      <c r="A340" s="52">
        <v>46011</v>
      </c>
      <c r="B340" s="48">
        <f>+MONTH(A340)</f>
        <v>12</v>
      </c>
      <c r="C340" s="48">
        <f>+WEEKNUM(A340)</f>
        <v>51</v>
      </c>
      <c r="D340" s="46" t="s">
        <v>3467</v>
      </c>
      <c r="E340" s="46" t="s">
        <v>3466</v>
      </c>
      <c r="F340" s="46">
        <v>573185030329</v>
      </c>
      <c r="G340" s="46">
        <v>74620</v>
      </c>
      <c r="H340" s="47" t="s">
        <v>22</v>
      </c>
      <c r="I340" s="47" t="s">
        <v>22</v>
      </c>
      <c r="J340" s="46" t="s">
        <v>3465</v>
      </c>
      <c r="K340" s="46"/>
      <c r="L340" s="46" t="s">
        <v>3464</v>
      </c>
      <c r="M340" s="46" t="s">
        <v>3463</v>
      </c>
      <c r="N340" s="17"/>
      <c r="O340" s="17"/>
    </row>
    <row r="341" spans="1:15" ht="12.75" x14ac:dyDescent="0.2">
      <c r="A341" s="52">
        <v>46011</v>
      </c>
      <c r="B341" s="48">
        <f>+MONTH(A341)</f>
        <v>12</v>
      </c>
      <c r="C341" s="48">
        <f>+WEEKNUM(A341)</f>
        <v>51</v>
      </c>
      <c r="D341" s="46" t="s">
        <v>3462</v>
      </c>
      <c r="E341" s="46" t="s">
        <v>3461</v>
      </c>
      <c r="F341" s="46">
        <v>573132931769</v>
      </c>
      <c r="G341" s="46">
        <v>75987</v>
      </c>
      <c r="H341" s="47" t="s">
        <v>12</v>
      </c>
      <c r="I341" s="47" t="s">
        <v>13</v>
      </c>
      <c r="J341" s="46" t="s">
        <v>3460</v>
      </c>
      <c r="K341" s="46" t="s">
        <v>23</v>
      </c>
      <c r="L341" s="46"/>
      <c r="M341" s="46" t="s">
        <v>3459</v>
      </c>
      <c r="N341" s="17"/>
      <c r="O341" s="17"/>
    </row>
    <row r="342" spans="1:15" ht="38.25" x14ac:dyDescent="0.2">
      <c r="A342" s="52">
        <v>46011</v>
      </c>
      <c r="B342" s="48">
        <f>+MONTH(A342)</f>
        <v>12</v>
      </c>
      <c r="C342" s="48">
        <f>+WEEKNUM(A342)</f>
        <v>51</v>
      </c>
      <c r="D342" s="46" t="s">
        <v>3458</v>
      </c>
      <c r="E342" s="46" t="s">
        <v>3458</v>
      </c>
      <c r="F342" s="46">
        <v>573158898433</v>
      </c>
      <c r="G342" s="46">
        <v>74829</v>
      </c>
      <c r="H342" s="47" t="s">
        <v>71</v>
      </c>
      <c r="I342" s="47" t="s">
        <v>22</v>
      </c>
      <c r="J342" s="46" t="s">
        <v>3457</v>
      </c>
      <c r="K342" s="46"/>
      <c r="L342" s="46"/>
      <c r="M342" s="46" t="s">
        <v>2782</v>
      </c>
      <c r="N342" s="17"/>
      <c r="O342" s="17"/>
    </row>
    <row r="343" spans="1:15" ht="25.5" x14ac:dyDescent="0.2">
      <c r="A343" s="52">
        <v>46011</v>
      </c>
      <c r="B343" s="48">
        <f>+MONTH(A343)</f>
        <v>12</v>
      </c>
      <c r="C343" s="48">
        <f>+WEEKNUM(A343)</f>
        <v>51</v>
      </c>
      <c r="D343" s="46" t="s">
        <v>2010</v>
      </c>
      <c r="E343" s="46" t="s">
        <v>2011</v>
      </c>
      <c r="F343" s="46">
        <v>573188722282</v>
      </c>
      <c r="G343" s="46">
        <v>75497</v>
      </c>
      <c r="H343" s="47" t="s">
        <v>12</v>
      </c>
      <c r="I343" s="47" t="s">
        <v>13</v>
      </c>
      <c r="J343" s="46" t="s">
        <v>3456</v>
      </c>
      <c r="K343" s="46" t="s">
        <v>23</v>
      </c>
      <c r="L343" s="46"/>
      <c r="M343" s="46" t="s">
        <v>2822</v>
      </c>
      <c r="N343" s="17"/>
      <c r="O343" s="17"/>
    </row>
    <row r="344" spans="1:15" ht="12.75" x14ac:dyDescent="0.2">
      <c r="A344" s="52">
        <v>46011</v>
      </c>
      <c r="B344" s="48">
        <f>+MONTH(A344)</f>
        <v>12</v>
      </c>
      <c r="C344" s="48">
        <f>+WEEKNUM(A344)</f>
        <v>51</v>
      </c>
      <c r="D344" s="46" t="s">
        <v>3455</v>
      </c>
      <c r="E344" s="46" t="s">
        <v>1597</v>
      </c>
      <c r="F344" s="46">
        <v>573008819285</v>
      </c>
      <c r="G344" s="46">
        <v>75806</v>
      </c>
      <c r="H344" s="47" t="s">
        <v>12</v>
      </c>
      <c r="I344" s="47" t="s">
        <v>13</v>
      </c>
      <c r="J344" s="46"/>
      <c r="K344" s="46" t="s">
        <v>23</v>
      </c>
      <c r="L344" s="46"/>
      <c r="M344" s="46" t="s">
        <v>2810</v>
      </c>
      <c r="N344" s="17"/>
      <c r="O344" s="17"/>
    </row>
    <row r="345" spans="1:15" ht="51" x14ac:dyDescent="0.2">
      <c r="A345" s="52">
        <v>46011</v>
      </c>
      <c r="B345" s="48">
        <f>+MONTH(A345)</f>
        <v>12</v>
      </c>
      <c r="C345" s="48">
        <f>+WEEKNUM(A345)</f>
        <v>51</v>
      </c>
      <c r="D345" s="46" t="s">
        <v>2069</v>
      </c>
      <c r="E345" s="46" t="s">
        <v>2070</v>
      </c>
      <c r="F345" s="46">
        <v>573002015778</v>
      </c>
      <c r="G345" s="46">
        <v>75754</v>
      </c>
      <c r="H345" s="47" t="s">
        <v>71</v>
      </c>
      <c r="I345" s="47" t="s">
        <v>22</v>
      </c>
      <c r="J345" s="46" t="s">
        <v>3454</v>
      </c>
      <c r="K345" s="46"/>
      <c r="L345" s="46"/>
      <c r="M345" s="46" t="s">
        <v>2784</v>
      </c>
      <c r="N345" s="17"/>
      <c r="O345" s="17"/>
    </row>
    <row r="346" spans="1:15" ht="25.5" x14ac:dyDescent="0.2">
      <c r="A346" s="52">
        <v>46010</v>
      </c>
      <c r="B346" s="48">
        <f>+MONTH(A346)</f>
        <v>12</v>
      </c>
      <c r="C346" s="48">
        <f>+WEEKNUM(A346)</f>
        <v>51</v>
      </c>
      <c r="D346" s="46" t="s">
        <v>1522</v>
      </c>
      <c r="E346" s="46" t="s">
        <v>3453</v>
      </c>
      <c r="F346" s="46">
        <v>573146519832</v>
      </c>
      <c r="G346" s="46">
        <v>75975</v>
      </c>
      <c r="H346" s="47" t="s">
        <v>12</v>
      </c>
      <c r="I346" s="47" t="s">
        <v>13</v>
      </c>
      <c r="J346" s="46" t="s">
        <v>3452</v>
      </c>
      <c r="K346" s="46" t="s">
        <v>23</v>
      </c>
      <c r="L346" s="46"/>
      <c r="M346" s="46" t="s">
        <v>3451</v>
      </c>
      <c r="N346" s="17"/>
      <c r="O346" s="17"/>
    </row>
    <row r="347" spans="1:15" ht="25.5" x14ac:dyDescent="0.2">
      <c r="A347" s="52">
        <v>46010</v>
      </c>
      <c r="B347" s="48">
        <f>+MONTH(A347)</f>
        <v>12</v>
      </c>
      <c r="C347" s="48">
        <f>+WEEKNUM(A347)</f>
        <v>51</v>
      </c>
      <c r="D347" s="46" t="s">
        <v>1712</v>
      </c>
      <c r="E347" s="46" t="s">
        <v>3450</v>
      </c>
      <c r="F347" s="46">
        <v>573012482309</v>
      </c>
      <c r="G347" s="46">
        <v>75666</v>
      </c>
      <c r="H347" s="47" t="s">
        <v>12</v>
      </c>
      <c r="I347" s="47" t="s">
        <v>13</v>
      </c>
      <c r="J347" s="46" t="s">
        <v>3449</v>
      </c>
      <c r="K347" s="46" t="s">
        <v>23</v>
      </c>
      <c r="L347" s="46"/>
      <c r="M347" s="46" t="s">
        <v>2822</v>
      </c>
      <c r="N347" s="17"/>
      <c r="O347" s="17"/>
    </row>
    <row r="348" spans="1:15" ht="25.5" x14ac:dyDescent="0.2">
      <c r="A348" s="52">
        <v>46010</v>
      </c>
      <c r="B348" s="48">
        <f>+MONTH(A348)</f>
        <v>12</v>
      </c>
      <c r="C348" s="48">
        <f>+WEEKNUM(A348)</f>
        <v>51</v>
      </c>
      <c r="D348" s="46" t="s">
        <v>2378</v>
      </c>
      <c r="E348" s="46" t="s">
        <v>3448</v>
      </c>
      <c r="F348" s="46">
        <v>573165097772</v>
      </c>
      <c r="G348" s="46">
        <v>74752</v>
      </c>
      <c r="H348" s="47" t="s">
        <v>12</v>
      </c>
      <c r="I348" s="47" t="s">
        <v>13</v>
      </c>
      <c r="J348" s="46" t="s">
        <v>3447</v>
      </c>
      <c r="K348" s="46" t="s">
        <v>23</v>
      </c>
      <c r="L348" s="46"/>
      <c r="M348" s="46" t="s">
        <v>3446</v>
      </c>
      <c r="N348" s="17"/>
      <c r="O348" s="17"/>
    </row>
    <row r="349" spans="1:15" ht="25.5" x14ac:dyDescent="0.2">
      <c r="A349" s="52">
        <v>46010</v>
      </c>
      <c r="B349" s="48">
        <f>+MONTH(A349)</f>
        <v>12</v>
      </c>
      <c r="C349" s="48">
        <f>+WEEKNUM(A349)</f>
        <v>51</v>
      </c>
      <c r="D349" s="46" t="s">
        <v>3445</v>
      </c>
      <c r="E349" s="46" t="s">
        <v>2347</v>
      </c>
      <c r="F349" s="46">
        <v>573114487550</v>
      </c>
      <c r="G349" s="46">
        <v>75965</v>
      </c>
      <c r="H349" s="47" t="s">
        <v>12</v>
      </c>
      <c r="I349" s="47" t="s">
        <v>13</v>
      </c>
      <c r="J349" s="46" t="s">
        <v>3444</v>
      </c>
      <c r="K349" s="46" t="s">
        <v>23</v>
      </c>
      <c r="L349" s="46"/>
      <c r="M349" s="46" t="s">
        <v>2782</v>
      </c>
      <c r="N349" s="17"/>
      <c r="O349" s="17"/>
    </row>
    <row r="350" spans="1:15" ht="25.5" x14ac:dyDescent="0.2">
      <c r="A350" s="52">
        <v>46010</v>
      </c>
      <c r="B350" s="48">
        <f>+MONTH(A350)</f>
        <v>12</v>
      </c>
      <c r="C350" s="48">
        <f>+WEEKNUM(A350)</f>
        <v>51</v>
      </c>
      <c r="D350" s="46" t="s">
        <v>3443</v>
      </c>
      <c r="E350" s="46" t="s">
        <v>3442</v>
      </c>
      <c r="F350" s="46">
        <v>573223673311</v>
      </c>
      <c r="G350" s="46">
        <v>74172</v>
      </c>
      <c r="H350" s="47" t="s">
        <v>22</v>
      </c>
      <c r="I350" s="47" t="s">
        <v>22</v>
      </c>
      <c r="J350" s="46" t="s">
        <v>3441</v>
      </c>
      <c r="K350" s="46"/>
      <c r="L350" s="46"/>
      <c r="M350" s="46" t="s">
        <v>3440</v>
      </c>
      <c r="N350" s="17"/>
      <c r="O350" s="17"/>
    </row>
    <row r="351" spans="1:15" ht="25.5" x14ac:dyDescent="0.2">
      <c r="A351" s="52">
        <v>46010</v>
      </c>
      <c r="B351" s="48">
        <f>+MONTH(A351)</f>
        <v>12</v>
      </c>
      <c r="C351" s="48">
        <f>+WEEKNUM(A351)</f>
        <v>51</v>
      </c>
      <c r="D351" s="46" t="s">
        <v>3439</v>
      </c>
      <c r="E351" s="46" t="s">
        <v>3438</v>
      </c>
      <c r="F351" s="46">
        <v>573102144971</v>
      </c>
      <c r="G351" s="46">
        <v>75957</v>
      </c>
      <c r="H351" s="47" t="s">
        <v>12</v>
      </c>
      <c r="I351" s="47" t="s">
        <v>22</v>
      </c>
      <c r="J351" s="46" t="s">
        <v>3437</v>
      </c>
      <c r="K351" s="46"/>
      <c r="L351" s="46"/>
      <c r="M351" s="46" t="s">
        <v>2780</v>
      </c>
      <c r="N351" s="17"/>
      <c r="O351" s="17"/>
    </row>
    <row r="352" spans="1:15" ht="25.5" x14ac:dyDescent="0.2">
      <c r="A352" s="52">
        <v>46010</v>
      </c>
      <c r="B352" s="48">
        <f>+MONTH(A352)</f>
        <v>12</v>
      </c>
      <c r="C352" s="48">
        <f>+WEEKNUM(A352)</f>
        <v>51</v>
      </c>
      <c r="D352" s="46" t="s">
        <v>3436</v>
      </c>
      <c r="E352" s="46" t="s">
        <v>3435</v>
      </c>
      <c r="F352" s="46">
        <v>573194827266</v>
      </c>
      <c r="G352" s="46">
        <v>75840</v>
      </c>
      <c r="H352" s="47" t="s">
        <v>12</v>
      </c>
      <c r="I352" s="47" t="s">
        <v>13</v>
      </c>
      <c r="J352" s="46" t="s">
        <v>3434</v>
      </c>
      <c r="K352" s="46" t="s">
        <v>23</v>
      </c>
      <c r="L352" s="46"/>
      <c r="M352" s="46" t="s">
        <v>2784</v>
      </c>
      <c r="N352" s="17"/>
      <c r="O352" s="17"/>
    </row>
    <row r="353" spans="1:15" ht="63.75" x14ac:dyDescent="0.2">
      <c r="A353" s="52">
        <v>46010</v>
      </c>
      <c r="B353" s="48">
        <f>+MONTH(A353)</f>
        <v>12</v>
      </c>
      <c r="C353" s="48">
        <f>+WEEKNUM(A353)</f>
        <v>51</v>
      </c>
      <c r="D353" s="46" t="s">
        <v>1939</v>
      </c>
      <c r="E353" s="46" t="s">
        <v>3206</v>
      </c>
      <c r="F353" s="46">
        <v>573162838965</v>
      </c>
      <c r="G353" s="46">
        <v>75947</v>
      </c>
      <c r="H353" s="47" t="s">
        <v>12</v>
      </c>
      <c r="I353" s="47" t="s">
        <v>13</v>
      </c>
      <c r="J353" s="46" t="s">
        <v>3433</v>
      </c>
      <c r="K353" s="46" t="s">
        <v>23</v>
      </c>
      <c r="L353" s="46"/>
      <c r="M353" s="46" t="s">
        <v>2810</v>
      </c>
      <c r="N353" s="17"/>
      <c r="O353" s="17"/>
    </row>
    <row r="354" spans="1:15" ht="25.5" x14ac:dyDescent="0.2">
      <c r="A354" s="52">
        <v>46010</v>
      </c>
      <c r="B354" s="48">
        <f>+MONTH(A354)</f>
        <v>12</v>
      </c>
      <c r="C354" s="48">
        <f>+WEEKNUM(A354)</f>
        <v>51</v>
      </c>
      <c r="D354" s="46" t="s">
        <v>1612</v>
      </c>
      <c r="E354" s="46" t="s">
        <v>1613</v>
      </c>
      <c r="F354" s="46">
        <v>573004535064</v>
      </c>
      <c r="G354" s="46">
        <v>75856</v>
      </c>
      <c r="H354" s="47" t="s">
        <v>12</v>
      </c>
      <c r="I354" s="47" t="s">
        <v>13</v>
      </c>
      <c r="J354" s="46" t="s">
        <v>3432</v>
      </c>
      <c r="K354" s="46" t="s">
        <v>23</v>
      </c>
      <c r="L354" s="46"/>
      <c r="M354" s="46" t="s">
        <v>2822</v>
      </c>
      <c r="N354" s="17"/>
      <c r="O354" s="17"/>
    </row>
    <row r="355" spans="1:15" ht="25.5" x14ac:dyDescent="0.2">
      <c r="A355" s="52">
        <v>46010</v>
      </c>
      <c r="B355" s="48">
        <f>+MONTH(A355)</f>
        <v>12</v>
      </c>
      <c r="C355" s="48">
        <f>+WEEKNUM(A355)</f>
        <v>51</v>
      </c>
      <c r="D355" s="46" t="s">
        <v>2275</v>
      </c>
      <c r="E355" s="46" t="s">
        <v>3413</v>
      </c>
      <c r="F355" s="46">
        <v>573142408265</v>
      </c>
      <c r="G355" s="46">
        <v>75945</v>
      </c>
      <c r="H355" s="47" t="s">
        <v>12</v>
      </c>
      <c r="I355" s="47" t="s">
        <v>13</v>
      </c>
      <c r="J355" s="46" t="s">
        <v>61</v>
      </c>
      <c r="K355" s="46" t="s">
        <v>23</v>
      </c>
      <c r="L355" s="46"/>
      <c r="M355" s="46" t="s">
        <v>3431</v>
      </c>
      <c r="N355" s="17"/>
      <c r="O355" s="17"/>
    </row>
    <row r="356" spans="1:15" ht="25.5" x14ac:dyDescent="0.2">
      <c r="A356" s="52">
        <v>46010</v>
      </c>
      <c r="B356" s="48">
        <f>+MONTH(A356)</f>
        <v>12</v>
      </c>
      <c r="C356" s="48">
        <f>+WEEKNUM(A356)</f>
        <v>51</v>
      </c>
      <c r="D356" s="46" t="s">
        <v>3430</v>
      </c>
      <c r="E356" s="46" t="s">
        <v>3429</v>
      </c>
      <c r="F356" s="46">
        <v>573218224129</v>
      </c>
      <c r="G356" s="46">
        <v>73131</v>
      </c>
      <c r="H356" s="47" t="s">
        <v>22</v>
      </c>
      <c r="I356" s="47" t="s">
        <v>13</v>
      </c>
      <c r="J356" s="46" t="s">
        <v>3428</v>
      </c>
      <c r="K356" s="46"/>
      <c r="L356" s="46"/>
      <c r="M356" s="46" t="s">
        <v>2810</v>
      </c>
      <c r="N356" s="17"/>
      <c r="O356" s="17"/>
    </row>
    <row r="357" spans="1:15" ht="25.5" x14ac:dyDescent="0.2">
      <c r="A357" s="52">
        <v>46010</v>
      </c>
      <c r="B357" s="48">
        <f>+MONTH(A357)</f>
        <v>12</v>
      </c>
      <c r="C357" s="48">
        <f>+WEEKNUM(A357)</f>
        <v>51</v>
      </c>
      <c r="D357" s="46" t="s">
        <v>1503</v>
      </c>
      <c r="E357" s="46" t="s">
        <v>3427</v>
      </c>
      <c r="F357" s="46">
        <v>573157861360</v>
      </c>
      <c r="G357" s="46">
        <v>74529</v>
      </c>
      <c r="H357" s="47" t="s">
        <v>12</v>
      </c>
      <c r="I357" s="47" t="s">
        <v>13</v>
      </c>
      <c r="J357" s="46" t="s">
        <v>3426</v>
      </c>
      <c r="K357" s="46" t="s">
        <v>23</v>
      </c>
      <c r="L357" s="46"/>
      <c r="M357" s="46" t="s">
        <v>2822</v>
      </c>
      <c r="N357" s="17"/>
      <c r="O357" s="17"/>
    </row>
    <row r="358" spans="1:15" ht="12.75" x14ac:dyDescent="0.2">
      <c r="A358" s="52">
        <v>46010</v>
      </c>
      <c r="B358" s="48">
        <f>+MONTH(A358)</f>
        <v>12</v>
      </c>
      <c r="C358" s="48">
        <f>+WEEKNUM(A358)</f>
        <v>51</v>
      </c>
      <c r="D358" s="46" t="s">
        <v>1579</v>
      </c>
      <c r="E358" s="46" t="s">
        <v>3425</v>
      </c>
      <c r="F358" s="46">
        <v>573124511810</v>
      </c>
      <c r="G358" s="46">
        <v>75409</v>
      </c>
      <c r="H358" s="47" t="s">
        <v>22</v>
      </c>
      <c r="I358" s="47" t="s">
        <v>44</v>
      </c>
      <c r="J358" s="46" t="s">
        <v>3424</v>
      </c>
      <c r="K358" s="46"/>
      <c r="L358" s="46"/>
      <c r="M358" s="46" t="s">
        <v>2780</v>
      </c>
      <c r="N358" s="17"/>
      <c r="O358" s="17"/>
    </row>
    <row r="359" spans="1:15" ht="25.5" x14ac:dyDescent="0.2">
      <c r="A359" s="52">
        <v>46010</v>
      </c>
      <c r="B359" s="48">
        <f>+MONTH(A359)</f>
        <v>12</v>
      </c>
      <c r="C359" s="48">
        <f>+WEEKNUM(A359)</f>
        <v>51</v>
      </c>
      <c r="D359" s="46" t="s">
        <v>3423</v>
      </c>
      <c r="E359" s="46" t="s">
        <v>3422</v>
      </c>
      <c r="F359" s="46">
        <v>573102095718</v>
      </c>
      <c r="G359" s="46">
        <v>75596</v>
      </c>
      <c r="H359" s="47" t="s">
        <v>12</v>
      </c>
      <c r="I359" s="47" t="s">
        <v>13</v>
      </c>
      <c r="J359" s="46" t="s">
        <v>3421</v>
      </c>
      <c r="K359" s="46" t="s">
        <v>23</v>
      </c>
      <c r="L359" s="46"/>
      <c r="M359" s="46" t="s">
        <v>3243</v>
      </c>
      <c r="N359" s="17"/>
      <c r="O359" s="17"/>
    </row>
    <row r="360" spans="1:15" ht="25.5" x14ac:dyDescent="0.2">
      <c r="A360" s="52">
        <v>46010</v>
      </c>
      <c r="B360" s="48">
        <f>+MONTH(A360)</f>
        <v>12</v>
      </c>
      <c r="C360" s="48">
        <f>+WEEKNUM(A360)</f>
        <v>51</v>
      </c>
      <c r="D360" s="46" t="s">
        <v>2237</v>
      </c>
      <c r="E360" s="46" t="s">
        <v>2238</v>
      </c>
      <c r="F360" s="46">
        <v>573108586719</v>
      </c>
      <c r="G360" s="46">
        <v>75795</v>
      </c>
      <c r="H360" s="47" t="s">
        <v>12</v>
      </c>
      <c r="I360" s="47" t="s">
        <v>13</v>
      </c>
      <c r="J360" s="46" t="s">
        <v>174</v>
      </c>
      <c r="K360" s="46" t="s">
        <v>23</v>
      </c>
      <c r="L360" s="46"/>
      <c r="M360" s="46" t="s">
        <v>3172</v>
      </c>
      <c r="N360" s="17"/>
      <c r="O360" s="17"/>
    </row>
    <row r="361" spans="1:15" ht="12.75" x14ac:dyDescent="0.2">
      <c r="A361" s="52">
        <v>46010</v>
      </c>
      <c r="B361" s="48">
        <f>+MONTH(A361)</f>
        <v>12</v>
      </c>
      <c r="C361" s="48">
        <f>+WEEKNUM(A361)</f>
        <v>51</v>
      </c>
      <c r="D361" s="46" t="s">
        <v>3420</v>
      </c>
      <c r="E361" s="46" t="s">
        <v>2929</v>
      </c>
      <c r="F361" s="46">
        <v>573184757293</v>
      </c>
      <c r="G361" s="46">
        <v>75912</v>
      </c>
      <c r="H361" s="47" t="s">
        <v>12</v>
      </c>
      <c r="I361" s="47" t="s">
        <v>13</v>
      </c>
      <c r="J361" s="46" t="s">
        <v>3419</v>
      </c>
      <c r="K361" s="46" t="s">
        <v>23</v>
      </c>
      <c r="L361" s="46"/>
      <c r="M361" s="46" t="s">
        <v>2784</v>
      </c>
      <c r="N361" s="17"/>
      <c r="O361" s="17"/>
    </row>
    <row r="362" spans="1:15" ht="51" x14ac:dyDescent="0.2">
      <c r="A362" s="52">
        <v>46010</v>
      </c>
      <c r="B362" s="48">
        <f>+MONTH(A362)</f>
        <v>12</v>
      </c>
      <c r="C362" s="48">
        <f>+WEEKNUM(A362)</f>
        <v>51</v>
      </c>
      <c r="D362" s="46" t="s">
        <v>3418</v>
      </c>
      <c r="E362" s="46" t="s">
        <v>3417</v>
      </c>
      <c r="F362" s="46">
        <v>573188593079</v>
      </c>
      <c r="G362" s="46">
        <v>75625</v>
      </c>
      <c r="H362" s="47" t="s">
        <v>22</v>
      </c>
      <c r="I362" s="47" t="s">
        <v>13</v>
      </c>
      <c r="J362" s="46" t="s">
        <v>3416</v>
      </c>
      <c r="K362" s="46"/>
      <c r="L362" s="46"/>
      <c r="M362" s="46" t="s">
        <v>2822</v>
      </c>
      <c r="N362" s="17"/>
      <c r="O362" s="17"/>
    </row>
    <row r="363" spans="1:15" ht="25.5" x14ac:dyDescent="0.2">
      <c r="A363" s="52">
        <v>46010</v>
      </c>
      <c r="B363" s="48">
        <f>+MONTH(A363)</f>
        <v>12</v>
      </c>
      <c r="C363" s="48">
        <f>+WEEKNUM(A363)</f>
        <v>51</v>
      </c>
      <c r="D363" s="46" t="s">
        <v>1579</v>
      </c>
      <c r="E363" s="46" t="s">
        <v>3415</v>
      </c>
      <c r="F363" s="46">
        <v>573192476047</v>
      </c>
      <c r="G363" s="46">
        <v>71920</v>
      </c>
      <c r="H363" s="47" t="s">
        <v>12</v>
      </c>
      <c r="I363" s="47" t="s">
        <v>22</v>
      </c>
      <c r="J363" s="46" t="s">
        <v>3414</v>
      </c>
      <c r="K363" s="46"/>
      <c r="L363" s="46"/>
      <c r="M363" s="46" t="s">
        <v>2782</v>
      </c>
      <c r="N363" s="17"/>
      <c r="O363" s="17"/>
    </row>
    <row r="364" spans="1:15" ht="25.5" x14ac:dyDescent="0.2">
      <c r="A364" s="52">
        <v>46009</v>
      </c>
      <c r="B364" s="48">
        <f>+MONTH(A364)</f>
        <v>12</v>
      </c>
      <c r="C364" s="48">
        <f>+WEEKNUM(A364)</f>
        <v>51</v>
      </c>
      <c r="D364" s="46" t="s">
        <v>2275</v>
      </c>
      <c r="E364" s="46" t="s">
        <v>3413</v>
      </c>
      <c r="F364" s="46">
        <v>573142408265</v>
      </c>
      <c r="G364" s="46">
        <v>75837</v>
      </c>
      <c r="H364" s="47" t="s">
        <v>12</v>
      </c>
      <c r="I364" s="47" t="s">
        <v>13</v>
      </c>
      <c r="J364" s="46" t="s">
        <v>3412</v>
      </c>
      <c r="K364" s="46" t="s">
        <v>23</v>
      </c>
      <c r="L364" s="46"/>
      <c r="M364" s="46" t="s">
        <v>3411</v>
      </c>
      <c r="N364" s="17"/>
      <c r="O364" s="17"/>
    </row>
    <row r="365" spans="1:15" ht="25.5" x14ac:dyDescent="0.2">
      <c r="A365" s="52">
        <v>46009</v>
      </c>
      <c r="B365" s="48">
        <f>+MONTH(A365)</f>
        <v>12</v>
      </c>
      <c r="C365" s="48">
        <f>+WEEKNUM(A365)</f>
        <v>51</v>
      </c>
      <c r="D365" s="46" t="s">
        <v>3410</v>
      </c>
      <c r="E365" s="46" t="s">
        <v>3409</v>
      </c>
      <c r="F365" s="46">
        <v>573144864303</v>
      </c>
      <c r="G365" s="46">
        <v>74909</v>
      </c>
      <c r="H365" s="47" t="s">
        <v>12</v>
      </c>
      <c r="I365" s="47" t="s">
        <v>13</v>
      </c>
      <c r="J365" s="46" t="s">
        <v>3408</v>
      </c>
      <c r="K365" s="46" t="s">
        <v>23</v>
      </c>
      <c r="L365" s="46"/>
      <c r="M365" s="46" t="s">
        <v>2782</v>
      </c>
      <c r="N365" s="17"/>
      <c r="O365" s="17"/>
    </row>
    <row r="366" spans="1:15" ht="25.5" x14ac:dyDescent="0.2">
      <c r="A366" s="52">
        <v>46009</v>
      </c>
      <c r="B366" s="48">
        <f>+MONTH(A366)</f>
        <v>12</v>
      </c>
      <c r="C366" s="48">
        <f>+WEEKNUM(A366)</f>
        <v>51</v>
      </c>
      <c r="D366" s="46" t="s">
        <v>3407</v>
      </c>
      <c r="E366" s="46" t="s">
        <v>3406</v>
      </c>
      <c r="F366" s="46">
        <v>573132066919</v>
      </c>
      <c r="G366" s="46">
        <v>75386</v>
      </c>
      <c r="H366" s="47" t="s">
        <v>12</v>
      </c>
      <c r="I366" s="47" t="s">
        <v>13</v>
      </c>
      <c r="J366" s="46"/>
      <c r="K366" s="46" t="s">
        <v>23</v>
      </c>
      <c r="L366" s="46"/>
      <c r="M366" s="46" t="s">
        <v>2782</v>
      </c>
      <c r="N366" s="17"/>
      <c r="O366" s="17"/>
    </row>
    <row r="367" spans="1:15" ht="12.75" x14ac:dyDescent="0.2">
      <c r="A367" s="52">
        <v>46009</v>
      </c>
      <c r="B367" s="48">
        <f>+MONTH(A367)</f>
        <v>12</v>
      </c>
      <c r="C367" s="48">
        <f>+WEEKNUM(A367)</f>
        <v>51</v>
      </c>
      <c r="D367" s="46" t="s">
        <v>3405</v>
      </c>
      <c r="E367" s="46" t="s">
        <v>3404</v>
      </c>
      <c r="F367" s="46">
        <v>573133582264</v>
      </c>
      <c r="G367" s="46">
        <v>75748</v>
      </c>
      <c r="H367" s="47" t="s">
        <v>12</v>
      </c>
      <c r="I367" s="47" t="s">
        <v>13</v>
      </c>
      <c r="J367" s="46" t="s">
        <v>64</v>
      </c>
      <c r="K367" s="46" t="s">
        <v>23</v>
      </c>
      <c r="L367" s="46"/>
      <c r="M367" s="46" t="s">
        <v>3403</v>
      </c>
      <c r="N367" s="17"/>
      <c r="O367" s="17"/>
    </row>
    <row r="368" spans="1:15" ht="25.5" x14ac:dyDescent="0.2">
      <c r="A368" s="52">
        <v>46009</v>
      </c>
      <c r="B368" s="48">
        <f>+MONTH(A368)</f>
        <v>12</v>
      </c>
      <c r="C368" s="48">
        <f>+WEEKNUM(A368)</f>
        <v>51</v>
      </c>
      <c r="D368" s="46" t="s">
        <v>3402</v>
      </c>
      <c r="E368" s="46" t="s">
        <v>3401</v>
      </c>
      <c r="F368" s="46">
        <v>573108964397</v>
      </c>
      <c r="G368" s="46">
        <v>75335</v>
      </c>
      <c r="H368" s="47" t="s">
        <v>71</v>
      </c>
      <c r="I368" s="47" t="s">
        <v>13</v>
      </c>
      <c r="J368" s="46"/>
      <c r="K368" s="46"/>
      <c r="L368" s="46"/>
      <c r="M368" s="46" t="s">
        <v>2822</v>
      </c>
      <c r="N368" s="17"/>
      <c r="O368" s="17"/>
    </row>
    <row r="369" spans="1:15" ht="12.75" x14ac:dyDescent="0.2">
      <c r="A369" s="52">
        <v>46009</v>
      </c>
      <c r="B369" s="48">
        <f>+MONTH(A369)</f>
        <v>12</v>
      </c>
      <c r="C369" s="48">
        <f>+WEEKNUM(A369)</f>
        <v>51</v>
      </c>
      <c r="D369" s="46" t="s">
        <v>3400</v>
      </c>
      <c r="E369" s="46" t="s">
        <v>3399</v>
      </c>
      <c r="F369" s="46">
        <v>573003666360</v>
      </c>
      <c r="G369" s="46">
        <v>74192</v>
      </c>
      <c r="H369" s="47" t="s">
        <v>12</v>
      </c>
      <c r="I369" s="47" t="s">
        <v>13</v>
      </c>
      <c r="J369" s="46" t="s">
        <v>3398</v>
      </c>
      <c r="K369" s="46" t="s">
        <v>23</v>
      </c>
      <c r="L369" s="46"/>
      <c r="M369" s="46" t="s">
        <v>2780</v>
      </c>
      <c r="N369" s="17"/>
      <c r="O369" s="17"/>
    </row>
    <row r="370" spans="1:15" ht="25.5" x14ac:dyDescent="0.2">
      <c r="A370" s="52">
        <v>46009</v>
      </c>
      <c r="B370" s="48">
        <f>+MONTH(A370)</f>
        <v>12</v>
      </c>
      <c r="C370" s="48">
        <f>+WEEKNUM(A370)</f>
        <v>51</v>
      </c>
      <c r="D370" s="46" t="s">
        <v>1640</v>
      </c>
      <c r="E370" s="46" t="s">
        <v>3397</v>
      </c>
      <c r="F370" s="46">
        <v>573133763634</v>
      </c>
      <c r="G370" s="46">
        <v>75717</v>
      </c>
      <c r="H370" s="47" t="s">
        <v>22</v>
      </c>
      <c r="I370" s="47" t="s">
        <v>13</v>
      </c>
      <c r="J370" s="46" t="s">
        <v>3396</v>
      </c>
      <c r="K370" s="46"/>
      <c r="L370" s="46" t="s">
        <v>82</v>
      </c>
      <c r="M370" s="46" t="s">
        <v>2784</v>
      </c>
      <c r="N370" s="17"/>
      <c r="O370" s="17"/>
    </row>
    <row r="371" spans="1:15" ht="25.5" x14ac:dyDescent="0.2">
      <c r="A371" s="52">
        <v>46009</v>
      </c>
      <c r="B371" s="48">
        <f>+MONTH(A371)</f>
        <v>12</v>
      </c>
      <c r="C371" s="48">
        <f>+WEEKNUM(A371)</f>
        <v>51</v>
      </c>
      <c r="D371" s="46" t="s">
        <v>3395</v>
      </c>
      <c r="E371" s="46" t="s">
        <v>3394</v>
      </c>
      <c r="F371" s="46">
        <v>573209970513</v>
      </c>
      <c r="G371" s="46">
        <v>73950</v>
      </c>
      <c r="H371" s="47" t="s">
        <v>12</v>
      </c>
      <c r="I371" s="47" t="s">
        <v>13</v>
      </c>
      <c r="J371" s="46" t="s">
        <v>3393</v>
      </c>
      <c r="K371" s="46" t="s">
        <v>23</v>
      </c>
      <c r="L371" s="46"/>
      <c r="M371" s="46" t="s">
        <v>3392</v>
      </c>
      <c r="N371" s="17"/>
      <c r="O371" s="17"/>
    </row>
    <row r="372" spans="1:15" ht="25.5" x14ac:dyDescent="0.2">
      <c r="A372" s="52">
        <v>46009</v>
      </c>
      <c r="B372" s="48">
        <f>+MONTH(A372)</f>
        <v>12</v>
      </c>
      <c r="C372" s="48">
        <f>+WEEKNUM(A372)</f>
        <v>51</v>
      </c>
      <c r="D372" s="46" t="s">
        <v>3391</v>
      </c>
      <c r="E372" s="46" t="s">
        <v>3390</v>
      </c>
      <c r="F372" s="46">
        <v>573138982794</v>
      </c>
      <c r="G372" s="46">
        <v>75581</v>
      </c>
      <c r="H372" s="47" t="s">
        <v>12</v>
      </c>
      <c r="I372" s="47" t="s">
        <v>13</v>
      </c>
      <c r="J372" s="46" t="s">
        <v>3389</v>
      </c>
      <c r="K372" s="46" t="s">
        <v>23</v>
      </c>
      <c r="L372" s="46"/>
      <c r="M372" s="46" t="s">
        <v>2780</v>
      </c>
      <c r="N372" s="17"/>
      <c r="O372" s="17"/>
    </row>
    <row r="373" spans="1:15" ht="12.75" x14ac:dyDescent="0.2">
      <c r="A373" s="52">
        <v>46009</v>
      </c>
      <c r="B373" s="48">
        <f>+MONTH(A373)</f>
        <v>12</v>
      </c>
      <c r="C373" s="48">
        <f>+WEEKNUM(A373)</f>
        <v>51</v>
      </c>
      <c r="D373" s="46" t="s">
        <v>1640</v>
      </c>
      <c r="E373" s="46" t="s">
        <v>3388</v>
      </c>
      <c r="F373" s="46">
        <v>573132926577</v>
      </c>
      <c r="G373" s="46">
        <v>75738</v>
      </c>
      <c r="H373" s="47" t="s">
        <v>12</v>
      </c>
      <c r="I373" s="47" t="s">
        <v>13</v>
      </c>
      <c r="J373" s="46" t="s">
        <v>3387</v>
      </c>
      <c r="K373" s="46" t="s">
        <v>23</v>
      </c>
      <c r="L373" s="46"/>
      <c r="M373" s="46" t="s">
        <v>257</v>
      </c>
      <c r="N373" s="17"/>
      <c r="O373" s="17"/>
    </row>
    <row r="374" spans="1:15" ht="25.5" x14ac:dyDescent="0.2">
      <c r="A374" s="52">
        <v>46009</v>
      </c>
      <c r="B374" s="48">
        <f>+MONTH(A374)</f>
        <v>12</v>
      </c>
      <c r="C374" s="48">
        <f>+WEEKNUM(A374)</f>
        <v>51</v>
      </c>
      <c r="D374" s="46" t="s">
        <v>3386</v>
      </c>
      <c r="E374" s="46" t="s">
        <v>3385</v>
      </c>
      <c r="F374" s="46">
        <v>573159288942</v>
      </c>
      <c r="G374" s="46">
        <v>75584</v>
      </c>
      <c r="H374" s="47" t="s">
        <v>12</v>
      </c>
      <c r="I374" s="47" t="s">
        <v>13</v>
      </c>
      <c r="J374" s="46" t="s">
        <v>61</v>
      </c>
      <c r="K374" s="46" t="s">
        <v>23</v>
      </c>
      <c r="L374" s="46"/>
      <c r="M374" s="46" t="s">
        <v>2784</v>
      </c>
      <c r="N374" s="17"/>
      <c r="O374" s="17"/>
    </row>
    <row r="375" spans="1:15" ht="25.5" x14ac:dyDescent="0.2">
      <c r="A375" s="52">
        <v>46009</v>
      </c>
      <c r="B375" s="48">
        <f>+MONTH(A375)</f>
        <v>12</v>
      </c>
      <c r="C375" s="48">
        <f>+WEEKNUM(A375)</f>
        <v>51</v>
      </c>
      <c r="D375" s="46" t="s">
        <v>1762</v>
      </c>
      <c r="E375" s="46" t="s">
        <v>3384</v>
      </c>
      <c r="F375" s="46">
        <v>573102094828</v>
      </c>
      <c r="G375" s="46">
        <v>75495</v>
      </c>
      <c r="H375" s="47" t="s">
        <v>12</v>
      </c>
      <c r="I375" s="47" t="s">
        <v>13</v>
      </c>
      <c r="J375" s="46" t="s">
        <v>3383</v>
      </c>
      <c r="K375" s="46" t="s">
        <v>23</v>
      </c>
      <c r="L375" s="46"/>
      <c r="M375" s="46" t="s">
        <v>2784</v>
      </c>
      <c r="N375" s="17"/>
      <c r="O375" s="17"/>
    </row>
    <row r="376" spans="1:15" ht="25.5" x14ac:dyDescent="0.2">
      <c r="A376" s="52">
        <v>46009</v>
      </c>
      <c r="B376" s="48">
        <f>+MONTH(A376)</f>
        <v>12</v>
      </c>
      <c r="C376" s="48">
        <f>+WEEKNUM(A376)</f>
        <v>51</v>
      </c>
      <c r="D376" s="46" t="s">
        <v>1484</v>
      </c>
      <c r="E376" s="46" t="s">
        <v>2841</v>
      </c>
      <c r="F376" s="46">
        <v>573008863675</v>
      </c>
      <c r="G376" s="46">
        <v>75536</v>
      </c>
      <c r="H376" s="47" t="s">
        <v>22</v>
      </c>
      <c r="I376" s="47" t="s">
        <v>22</v>
      </c>
      <c r="J376" s="46" t="s">
        <v>3382</v>
      </c>
      <c r="K376" s="46" t="s">
        <v>14</v>
      </c>
      <c r="L376" s="46"/>
      <c r="M376" s="46" t="s">
        <v>257</v>
      </c>
      <c r="N376" s="17"/>
      <c r="O376" s="17"/>
    </row>
    <row r="377" spans="1:15" ht="25.5" x14ac:dyDescent="0.2">
      <c r="A377" s="52">
        <v>46009</v>
      </c>
      <c r="B377" s="48">
        <f>+MONTH(A377)</f>
        <v>12</v>
      </c>
      <c r="C377" s="48">
        <f>+WEEKNUM(A377)</f>
        <v>51</v>
      </c>
      <c r="D377" s="46" t="s">
        <v>3381</v>
      </c>
      <c r="E377" s="46" t="s">
        <v>3380</v>
      </c>
      <c r="F377" s="46">
        <v>573006586484</v>
      </c>
      <c r="G377" s="46">
        <v>75520</v>
      </c>
      <c r="H377" s="47" t="s">
        <v>12</v>
      </c>
      <c r="I377" s="47" t="s">
        <v>13</v>
      </c>
      <c r="J377" s="46" t="s">
        <v>3379</v>
      </c>
      <c r="K377" s="46" t="s">
        <v>23</v>
      </c>
      <c r="L377" s="46"/>
      <c r="M377" s="46" t="s">
        <v>3378</v>
      </c>
      <c r="N377" s="17"/>
      <c r="O377" s="17"/>
    </row>
    <row r="378" spans="1:15" ht="25.5" x14ac:dyDescent="0.2">
      <c r="A378" s="52">
        <v>46008</v>
      </c>
      <c r="B378" s="48">
        <f>+MONTH(A378)</f>
        <v>12</v>
      </c>
      <c r="C378" s="48">
        <f>+WEEKNUM(A378)</f>
        <v>51</v>
      </c>
      <c r="D378" s="46" t="s">
        <v>1806</v>
      </c>
      <c r="E378" s="46" t="s">
        <v>3166</v>
      </c>
      <c r="F378" s="46">
        <v>573106049330</v>
      </c>
      <c r="G378" s="46">
        <v>75665</v>
      </c>
      <c r="H378" s="47" t="s">
        <v>3326</v>
      </c>
      <c r="I378" s="47" t="s">
        <v>3326</v>
      </c>
      <c r="J378" s="46"/>
      <c r="K378" s="46" t="s">
        <v>23</v>
      </c>
      <c r="L378" s="46"/>
      <c r="M378" s="46" t="s">
        <v>257</v>
      </c>
      <c r="N378" s="51"/>
      <c r="O378" s="51"/>
    </row>
    <row r="379" spans="1:15" ht="25.5" x14ac:dyDescent="0.2">
      <c r="A379" s="52">
        <v>46008</v>
      </c>
      <c r="B379" s="48">
        <f>+MONTH(A379)</f>
        <v>12</v>
      </c>
      <c r="C379" s="48">
        <f>+WEEKNUM(A379)</f>
        <v>51</v>
      </c>
      <c r="D379" s="46" t="s">
        <v>3165</v>
      </c>
      <c r="E379" s="46" t="s">
        <v>3164</v>
      </c>
      <c r="F379" s="46">
        <v>573214131513</v>
      </c>
      <c r="G379" s="46">
        <v>75804</v>
      </c>
      <c r="H379" s="47" t="s">
        <v>3326</v>
      </c>
      <c r="I379" s="47" t="s">
        <v>3326</v>
      </c>
      <c r="J379" s="46" t="s">
        <v>3163</v>
      </c>
      <c r="K379" s="46" t="s">
        <v>23</v>
      </c>
      <c r="L379" s="46"/>
      <c r="M379" s="46" t="s">
        <v>2780</v>
      </c>
      <c r="N379" s="51"/>
      <c r="O379" s="51"/>
    </row>
    <row r="380" spans="1:15" ht="25.5" x14ac:dyDescent="0.2">
      <c r="A380" s="52">
        <v>46008</v>
      </c>
      <c r="B380" s="48">
        <f>+MONTH(A380)</f>
        <v>12</v>
      </c>
      <c r="C380" s="48">
        <f>+WEEKNUM(A380)</f>
        <v>51</v>
      </c>
      <c r="D380" s="46" t="s">
        <v>3162</v>
      </c>
      <c r="E380" s="46" t="s">
        <v>3161</v>
      </c>
      <c r="F380" s="46">
        <v>573168257520</v>
      </c>
      <c r="G380" s="46">
        <v>73771</v>
      </c>
      <c r="H380" s="47" t="s">
        <v>3326</v>
      </c>
      <c r="I380" s="47" t="s">
        <v>3326</v>
      </c>
      <c r="J380" s="46" t="s">
        <v>3160</v>
      </c>
      <c r="K380" s="46" t="s">
        <v>23</v>
      </c>
      <c r="L380" s="46"/>
      <c r="M380" s="46" t="s">
        <v>3092</v>
      </c>
      <c r="N380" s="51"/>
      <c r="O380" s="51"/>
    </row>
    <row r="381" spans="1:15" ht="12.75" x14ac:dyDescent="0.2">
      <c r="A381" s="52">
        <v>46008</v>
      </c>
      <c r="B381" s="48">
        <f>+MONTH(A381)</f>
        <v>12</v>
      </c>
      <c r="C381" s="48">
        <f>+WEEKNUM(A381)</f>
        <v>51</v>
      </c>
      <c r="D381" s="46" t="s">
        <v>3159</v>
      </c>
      <c r="E381" s="46" t="s">
        <v>3158</v>
      </c>
      <c r="F381" s="46">
        <v>573002426066</v>
      </c>
      <c r="G381" s="46">
        <v>75521</v>
      </c>
      <c r="H381" s="47" t="s">
        <v>3326</v>
      </c>
      <c r="I381" s="47" t="s">
        <v>3326</v>
      </c>
      <c r="J381" s="46" t="s">
        <v>3157</v>
      </c>
      <c r="K381" s="46" t="s">
        <v>23</v>
      </c>
      <c r="L381" s="46"/>
      <c r="M381" s="46" t="s">
        <v>3156</v>
      </c>
      <c r="N381" s="51"/>
      <c r="O381" s="51"/>
    </row>
    <row r="382" spans="1:15" ht="63.75" x14ac:dyDescent="0.2">
      <c r="A382" s="52">
        <v>46008</v>
      </c>
      <c r="B382" s="48">
        <f>+MONTH(A382)</f>
        <v>12</v>
      </c>
      <c r="C382" s="48">
        <f>+WEEKNUM(A382)</f>
        <v>51</v>
      </c>
      <c r="D382" s="46" t="s">
        <v>3155</v>
      </c>
      <c r="E382" s="46" t="s">
        <v>3154</v>
      </c>
      <c r="F382" s="46">
        <v>573195434844</v>
      </c>
      <c r="G382" s="46">
        <v>75131</v>
      </c>
      <c r="H382" s="47" t="s">
        <v>3326</v>
      </c>
      <c r="I382" s="47" t="s">
        <v>3326</v>
      </c>
      <c r="J382" s="46" t="s">
        <v>3153</v>
      </c>
      <c r="K382" s="46" t="s">
        <v>23</v>
      </c>
      <c r="L382" s="46"/>
      <c r="M382" s="46" t="s">
        <v>3152</v>
      </c>
      <c r="N382" s="51"/>
      <c r="O382" s="51"/>
    </row>
    <row r="383" spans="1:15" ht="12.75" x14ac:dyDescent="0.2">
      <c r="A383" s="52">
        <v>46008</v>
      </c>
      <c r="B383" s="48">
        <f>+MONTH(A383)</f>
        <v>12</v>
      </c>
      <c r="C383" s="48">
        <f>+WEEKNUM(A383)</f>
        <v>51</v>
      </c>
      <c r="D383" s="46" t="s">
        <v>1670</v>
      </c>
      <c r="E383" s="46" t="s">
        <v>2119</v>
      </c>
      <c r="F383" s="46">
        <v>573219439424</v>
      </c>
      <c r="G383" s="46">
        <v>75503</v>
      </c>
      <c r="H383" s="47" t="s">
        <v>3326</v>
      </c>
      <c r="I383" s="47" t="s">
        <v>3326</v>
      </c>
      <c r="J383" s="46" t="s">
        <v>2652</v>
      </c>
      <c r="K383" s="46" t="s">
        <v>23</v>
      </c>
      <c r="L383" s="46"/>
      <c r="M383" s="46" t="s">
        <v>2780</v>
      </c>
      <c r="N383" s="51"/>
      <c r="O383" s="51"/>
    </row>
    <row r="384" spans="1:15" ht="12.75" x14ac:dyDescent="0.2">
      <c r="A384" s="52">
        <v>46008</v>
      </c>
      <c r="B384" s="48">
        <f>+MONTH(A384)</f>
        <v>12</v>
      </c>
      <c r="C384" s="48">
        <f>+WEEKNUM(A384)</f>
        <v>51</v>
      </c>
      <c r="D384" s="46" t="s">
        <v>2726</v>
      </c>
      <c r="E384" s="46" t="s">
        <v>2185</v>
      </c>
      <c r="F384" s="46">
        <v>573004252031</v>
      </c>
      <c r="G384" s="46">
        <v>74643</v>
      </c>
      <c r="H384" s="47" t="s">
        <v>3326</v>
      </c>
      <c r="I384" s="47" t="s">
        <v>3326</v>
      </c>
      <c r="J384" s="46" t="s">
        <v>3151</v>
      </c>
      <c r="K384" s="46" t="s">
        <v>23</v>
      </c>
      <c r="L384" s="46"/>
      <c r="M384" s="46" t="s">
        <v>3150</v>
      </c>
      <c r="N384" s="51"/>
      <c r="O384" s="51"/>
    </row>
    <row r="385" spans="1:15" ht="25.5" x14ac:dyDescent="0.2">
      <c r="A385" s="52">
        <v>46008</v>
      </c>
      <c r="B385" s="48">
        <f>+MONTH(A385)</f>
        <v>12</v>
      </c>
      <c r="C385" s="48">
        <f>+WEEKNUM(A385)</f>
        <v>51</v>
      </c>
      <c r="D385" s="46" t="s">
        <v>3149</v>
      </c>
      <c r="E385" s="46" t="s">
        <v>3148</v>
      </c>
      <c r="F385" s="46">
        <v>573192514012</v>
      </c>
      <c r="G385" s="46">
        <v>75610</v>
      </c>
      <c r="H385" s="47" t="s">
        <v>3326</v>
      </c>
      <c r="I385" s="47" t="s">
        <v>3326</v>
      </c>
      <c r="J385" s="46" t="s">
        <v>3147</v>
      </c>
      <c r="K385" s="46" t="s">
        <v>23</v>
      </c>
      <c r="L385" s="46"/>
      <c r="M385" s="46" t="s">
        <v>2784</v>
      </c>
      <c r="N385" s="51"/>
      <c r="O385" s="51"/>
    </row>
    <row r="386" spans="1:15" ht="25.5" x14ac:dyDescent="0.2">
      <c r="A386" s="52">
        <v>46008</v>
      </c>
      <c r="B386" s="48">
        <f>+MONTH(A386)</f>
        <v>12</v>
      </c>
      <c r="C386" s="48">
        <f>+WEEKNUM(A386)</f>
        <v>51</v>
      </c>
      <c r="D386" s="53" t="s">
        <v>3146</v>
      </c>
      <c r="E386" s="53" t="s">
        <v>3145</v>
      </c>
      <c r="F386" s="53">
        <v>573142146918</v>
      </c>
      <c r="G386" s="53">
        <v>74898</v>
      </c>
      <c r="H386" s="54" t="s">
        <v>3325</v>
      </c>
      <c r="I386" s="54" t="s">
        <v>22</v>
      </c>
      <c r="J386" s="53" t="s">
        <v>3375</v>
      </c>
      <c r="K386" s="46"/>
      <c r="L386" s="46"/>
      <c r="M386" s="46" t="s">
        <v>2782</v>
      </c>
      <c r="N386" s="51"/>
      <c r="O386" s="51"/>
    </row>
    <row r="387" spans="1:15" ht="25.5" x14ac:dyDescent="0.2">
      <c r="A387" s="52">
        <v>46008</v>
      </c>
      <c r="B387" s="48">
        <f>+MONTH(A387)</f>
        <v>12</v>
      </c>
      <c r="C387" s="48">
        <f>+WEEKNUM(A387)</f>
        <v>51</v>
      </c>
      <c r="D387" s="46" t="s">
        <v>3144</v>
      </c>
      <c r="E387" s="46" t="s">
        <v>3144</v>
      </c>
      <c r="F387" s="46">
        <v>573134999416</v>
      </c>
      <c r="G387" s="46">
        <v>75600</v>
      </c>
      <c r="H387" s="47" t="s">
        <v>3326</v>
      </c>
      <c r="I387" s="47" t="s">
        <v>3326</v>
      </c>
      <c r="J387" s="46" t="s">
        <v>13</v>
      </c>
      <c r="K387" s="46" t="s">
        <v>23</v>
      </c>
      <c r="L387" s="46"/>
      <c r="M387" s="46" t="s">
        <v>2782</v>
      </c>
      <c r="N387" s="51"/>
      <c r="O387" s="51"/>
    </row>
    <row r="388" spans="1:15" ht="51" x14ac:dyDescent="0.2">
      <c r="A388" s="52">
        <v>46008</v>
      </c>
      <c r="B388" s="48">
        <f>+MONTH(A388)</f>
        <v>12</v>
      </c>
      <c r="C388" s="48">
        <f>+WEEKNUM(A388)</f>
        <v>51</v>
      </c>
      <c r="D388" s="53" t="s">
        <v>1577</v>
      </c>
      <c r="E388" s="53" t="s">
        <v>3143</v>
      </c>
      <c r="F388" s="53">
        <v>573213359784</v>
      </c>
      <c r="G388" s="53">
        <v>75051</v>
      </c>
      <c r="H388" s="54" t="s">
        <v>22</v>
      </c>
      <c r="I388" s="54" t="s">
        <v>22</v>
      </c>
      <c r="J388" s="53" t="s">
        <v>3142</v>
      </c>
      <c r="K388" s="46"/>
      <c r="L388" s="46"/>
      <c r="M388" s="46" t="s">
        <v>2782</v>
      </c>
      <c r="N388" s="51"/>
      <c r="O388" s="51"/>
    </row>
    <row r="389" spans="1:15" ht="25.5" x14ac:dyDescent="0.2">
      <c r="A389" s="52">
        <v>46008</v>
      </c>
      <c r="B389" s="48">
        <f>+MONTH(A389)</f>
        <v>12</v>
      </c>
      <c r="C389" s="48">
        <f>+WEEKNUM(A389)</f>
        <v>51</v>
      </c>
      <c r="D389" s="46" t="s">
        <v>1780</v>
      </c>
      <c r="E389" s="46" t="s">
        <v>3141</v>
      </c>
      <c r="F389" s="46">
        <v>573213698295</v>
      </c>
      <c r="G389" s="46">
        <v>75734</v>
      </c>
      <c r="H389" s="47" t="s">
        <v>3326</v>
      </c>
      <c r="I389" s="47" t="s">
        <v>3326</v>
      </c>
      <c r="J389" s="46" t="s">
        <v>3140</v>
      </c>
      <c r="K389" s="46" t="s">
        <v>23</v>
      </c>
      <c r="L389" s="46"/>
      <c r="M389" s="46" t="s">
        <v>2810</v>
      </c>
      <c r="N389" s="51"/>
      <c r="O389" s="51"/>
    </row>
    <row r="390" spans="1:15" ht="25.5" x14ac:dyDescent="0.2">
      <c r="A390" s="52">
        <v>46008</v>
      </c>
      <c r="B390" s="48">
        <f>+MONTH(A390)</f>
        <v>12</v>
      </c>
      <c r="C390" s="48">
        <f>+WEEKNUM(A390)</f>
        <v>51</v>
      </c>
      <c r="D390" s="46" t="s">
        <v>3139</v>
      </c>
      <c r="E390" s="46" t="s">
        <v>3138</v>
      </c>
      <c r="F390" s="46">
        <v>573204084575</v>
      </c>
      <c r="G390" s="46">
        <v>75541</v>
      </c>
      <c r="H390" s="47" t="s">
        <v>3326</v>
      </c>
      <c r="I390" s="47" t="s">
        <v>3326</v>
      </c>
      <c r="J390" s="46" t="s">
        <v>3137</v>
      </c>
      <c r="K390" s="46" t="s">
        <v>23</v>
      </c>
      <c r="L390" s="46"/>
      <c r="M390" s="46" t="s">
        <v>2784</v>
      </c>
      <c r="N390" s="51"/>
      <c r="O390" s="51"/>
    </row>
    <row r="391" spans="1:15" ht="25.5" x14ac:dyDescent="0.2">
      <c r="A391" s="52">
        <v>46008</v>
      </c>
      <c r="B391" s="48">
        <f>+MONTH(A391)</f>
        <v>12</v>
      </c>
      <c r="C391" s="48">
        <f>+WEEKNUM(A391)</f>
        <v>51</v>
      </c>
      <c r="D391" s="46" t="s">
        <v>3136</v>
      </c>
      <c r="E391" s="46" t="s">
        <v>3135</v>
      </c>
      <c r="F391" s="46">
        <v>573105722092</v>
      </c>
      <c r="G391" s="46">
        <v>75489</v>
      </c>
      <c r="H391" s="47" t="s">
        <v>3326</v>
      </c>
      <c r="I391" s="47" t="s">
        <v>3326</v>
      </c>
      <c r="J391" s="46" t="s">
        <v>3134</v>
      </c>
      <c r="K391" s="46" t="s">
        <v>23</v>
      </c>
      <c r="L391" s="46"/>
      <c r="M391" s="46" t="s">
        <v>2780</v>
      </c>
      <c r="N391" s="51"/>
      <c r="O391" s="51"/>
    </row>
    <row r="392" spans="1:15" ht="25.5" x14ac:dyDescent="0.2">
      <c r="A392" s="52">
        <v>46008</v>
      </c>
      <c r="B392" s="48">
        <f>+MONTH(A392)</f>
        <v>12</v>
      </c>
      <c r="C392" s="48">
        <f>+WEEKNUM(A392)</f>
        <v>51</v>
      </c>
      <c r="D392" s="46" t="s">
        <v>3133</v>
      </c>
      <c r="E392" s="46" t="s">
        <v>3132</v>
      </c>
      <c r="F392" s="46">
        <v>573112526111</v>
      </c>
      <c r="G392" s="46">
        <v>74903</v>
      </c>
      <c r="H392" s="47" t="s">
        <v>3326</v>
      </c>
      <c r="I392" s="47" t="s">
        <v>3326</v>
      </c>
      <c r="J392" s="46" t="s">
        <v>3131</v>
      </c>
      <c r="K392" s="46" t="s">
        <v>23</v>
      </c>
      <c r="L392" s="46"/>
      <c r="M392" s="46" t="s">
        <v>2780</v>
      </c>
      <c r="N392" s="51"/>
      <c r="O392" s="51"/>
    </row>
    <row r="393" spans="1:15" ht="25.5" x14ac:dyDescent="0.2">
      <c r="A393" s="52">
        <v>46008</v>
      </c>
      <c r="B393" s="48">
        <f>+MONTH(A393)</f>
        <v>12</v>
      </c>
      <c r="C393" s="48">
        <f>+WEEKNUM(A393)</f>
        <v>51</v>
      </c>
      <c r="D393" s="46" t="s">
        <v>3130</v>
      </c>
      <c r="E393" s="46" t="s">
        <v>3129</v>
      </c>
      <c r="F393" s="46">
        <v>573017038454</v>
      </c>
      <c r="G393" s="46">
        <v>75782</v>
      </c>
      <c r="H393" s="47" t="s">
        <v>3326</v>
      </c>
      <c r="I393" s="47" t="s">
        <v>3326</v>
      </c>
      <c r="J393" s="46" t="s">
        <v>174</v>
      </c>
      <c r="K393" s="46" t="s">
        <v>23</v>
      </c>
      <c r="L393" s="46"/>
      <c r="M393" s="46" t="s">
        <v>3128</v>
      </c>
      <c r="N393" s="51"/>
      <c r="O393" s="51"/>
    </row>
    <row r="394" spans="1:15" ht="25.5" x14ac:dyDescent="0.2">
      <c r="A394" s="52">
        <v>46008</v>
      </c>
      <c r="B394" s="48">
        <f>+MONTH(A394)</f>
        <v>12</v>
      </c>
      <c r="C394" s="48">
        <f>+WEEKNUM(A394)</f>
        <v>51</v>
      </c>
      <c r="D394" s="46" t="s">
        <v>3127</v>
      </c>
      <c r="E394" s="46" t="s">
        <v>2433</v>
      </c>
      <c r="F394" s="46">
        <v>573107544788</v>
      </c>
      <c r="G394" s="46">
        <v>75538</v>
      </c>
      <c r="H394" s="47" t="s">
        <v>3326</v>
      </c>
      <c r="I394" s="47" t="s">
        <v>3326</v>
      </c>
      <c r="J394" s="46" t="s">
        <v>3126</v>
      </c>
      <c r="K394" s="46" t="s">
        <v>23</v>
      </c>
      <c r="L394" s="46"/>
      <c r="M394" s="46" t="s">
        <v>2793</v>
      </c>
      <c r="N394" s="51"/>
      <c r="O394" s="51"/>
    </row>
    <row r="395" spans="1:15" ht="25.5" x14ac:dyDescent="0.2">
      <c r="A395" s="52">
        <v>46008</v>
      </c>
      <c r="B395" s="48">
        <f>+MONTH(A395)</f>
        <v>12</v>
      </c>
      <c r="C395" s="48">
        <f>+WEEKNUM(A395)</f>
        <v>51</v>
      </c>
      <c r="D395" s="46" t="s">
        <v>2214</v>
      </c>
      <c r="E395" s="46" t="s">
        <v>3125</v>
      </c>
      <c r="F395" s="46">
        <v>573122470066</v>
      </c>
      <c r="G395" s="46">
        <v>74987</v>
      </c>
      <c r="H395" s="47" t="s">
        <v>3326</v>
      </c>
      <c r="I395" s="47" t="s">
        <v>3326</v>
      </c>
      <c r="J395" s="46" t="s">
        <v>3124</v>
      </c>
      <c r="K395" s="46" t="s">
        <v>23</v>
      </c>
      <c r="L395" s="46"/>
      <c r="M395" s="46" t="s">
        <v>2784</v>
      </c>
      <c r="N395" s="51"/>
      <c r="O395" s="51"/>
    </row>
    <row r="396" spans="1:15" ht="25.5" x14ac:dyDescent="0.2">
      <c r="A396" s="52">
        <v>46008</v>
      </c>
      <c r="B396" s="48">
        <f>+MONTH(A396)</f>
        <v>12</v>
      </c>
      <c r="C396" s="48">
        <f>+WEEKNUM(A396)</f>
        <v>51</v>
      </c>
      <c r="D396" s="46" t="s">
        <v>1473</v>
      </c>
      <c r="E396" s="46" t="s">
        <v>3123</v>
      </c>
      <c r="F396" s="46">
        <v>573005278980</v>
      </c>
      <c r="G396" s="46">
        <v>75217</v>
      </c>
      <c r="H396" s="47" t="s">
        <v>3326</v>
      </c>
      <c r="I396" s="47" t="s">
        <v>3325</v>
      </c>
      <c r="J396" s="46"/>
      <c r="K396" s="46"/>
      <c r="L396" s="46"/>
      <c r="M396" s="46" t="s">
        <v>2782</v>
      </c>
      <c r="N396" s="51"/>
      <c r="O396" s="51"/>
    </row>
    <row r="397" spans="1:15" ht="12.75" x14ac:dyDescent="0.2">
      <c r="A397" s="52">
        <v>46007</v>
      </c>
      <c r="B397" s="48">
        <f>+MONTH(A397)</f>
        <v>12</v>
      </c>
      <c r="C397" s="48">
        <f>+WEEKNUM(A397)</f>
        <v>51</v>
      </c>
      <c r="D397" s="46" t="s">
        <v>2275</v>
      </c>
      <c r="E397" s="46" t="s">
        <v>3122</v>
      </c>
      <c r="F397" s="46">
        <v>573102530581</v>
      </c>
      <c r="G397" s="46">
        <v>75388</v>
      </c>
      <c r="H397" s="47" t="s">
        <v>3326</v>
      </c>
      <c r="I397" s="47" t="s">
        <v>3326</v>
      </c>
      <c r="J397" s="46" t="s">
        <v>3121</v>
      </c>
      <c r="K397" s="46" t="s">
        <v>23</v>
      </c>
      <c r="L397" s="46"/>
      <c r="M397" s="46" t="s">
        <v>1923</v>
      </c>
      <c r="N397" s="51"/>
      <c r="O397" s="51"/>
    </row>
    <row r="398" spans="1:15" ht="25.5" x14ac:dyDescent="0.2">
      <c r="A398" s="52">
        <v>46007</v>
      </c>
      <c r="B398" s="48">
        <f>+MONTH(A398)</f>
        <v>12</v>
      </c>
      <c r="C398" s="48">
        <f>+WEEKNUM(A398)</f>
        <v>51</v>
      </c>
      <c r="D398" s="53" t="s">
        <v>3120</v>
      </c>
      <c r="E398" s="53" t="s">
        <v>3119</v>
      </c>
      <c r="F398" s="53">
        <v>573153497479</v>
      </c>
      <c r="G398" s="53">
        <v>75291</v>
      </c>
      <c r="H398" s="54" t="s">
        <v>22</v>
      </c>
      <c r="I398" s="54" t="s">
        <v>22</v>
      </c>
      <c r="J398" s="53" t="s">
        <v>3118</v>
      </c>
      <c r="K398" s="46"/>
      <c r="L398" s="46" t="s">
        <v>90</v>
      </c>
      <c r="M398" s="46" t="s">
        <v>2780</v>
      </c>
      <c r="N398" s="51"/>
      <c r="O398" s="51"/>
    </row>
    <row r="399" spans="1:15" ht="38.25" x14ac:dyDescent="0.2">
      <c r="A399" s="52">
        <v>46007</v>
      </c>
      <c r="B399" s="48">
        <f>+MONTH(A399)</f>
        <v>12</v>
      </c>
      <c r="C399" s="48">
        <f>+WEEKNUM(A399)</f>
        <v>51</v>
      </c>
      <c r="D399" s="46" t="s">
        <v>3117</v>
      </c>
      <c r="E399" s="46" t="s">
        <v>3116</v>
      </c>
      <c r="F399" s="46">
        <v>573138725855</v>
      </c>
      <c r="G399" s="46">
        <v>75445</v>
      </c>
      <c r="H399" s="47" t="s">
        <v>3326</v>
      </c>
      <c r="I399" s="47" t="s">
        <v>3326</v>
      </c>
      <c r="J399" s="46" t="s">
        <v>3115</v>
      </c>
      <c r="K399" s="46" t="s">
        <v>23</v>
      </c>
      <c r="L399" s="46"/>
      <c r="M399" s="46" t="s">
        <v>2782</v>
      </c>
      <c r="N399" s="51"/>
      <c r="O399" s="51"/>
    </row>
    <row r="400" spans="1:15" ht="25.5" x14ac:dyDescent="0.2">
      <c r="A400" s="52">
        <v>46007</v>
      </c>
      <c r="B400" s="48">
        <f>+MONTH(A400)</f>
        <v>12</v>
      </c>
      <c r="C400" s="48">
        <f>+WEEKNUM(A400)</f>
        <v>51</v>
      </c>
      <c r="D400" s="46" t="s">
        <v>3114</v>
      </c>
      <c r="E400" s="46" t="s">
        <v>3113</v>
      </c>
      <c r="F400" s="46">
        <v>573153536178</v>
      </c>
      <c r="G400" s="46">
        <v>75356</v>
      </c>
      <c r="H400" s="47" t="s">
        <v>3326</v>
      </c>
      <c r="I400" s="47" t="s">
        <v>3326</v>
      </c>
      <c r="J400" s="46"/>
      <c r="K400" s="46" t="s">
        <v>23</v>
      </c>
      <c r="L400" s="46"/>
      <c r="M400" s="46" t="s">
        <v>2780</v>
      </c>
      <c r="N400" s="51"/>
      <c r="O400" s="51"/>
    </row>
    <row r="401" spans="1:15" ht="25.5" x14ac:dyDescent="0.2">
      <c r="A401" s="52">
        <v>46007</v>
      </c>
      <c r="B401" s="48">
        <f>+MONTH(A401)</f>
        <v>12</v>
      </c>
      <c r="C401" s="48">
        <f>+WEEKNUM(A401)</f>
        <v>51</v>
      </c>
      <c r="D401" s="46" t="s">
        <v>3112</v>
      </c>
      <c r="E401" s="46" t="s">
        <v>3111</v>
      </c>
      <c r="F401" s="46">
        <v>573014304656</v>
      </c>
      <c r="G401" s="46">
        <v>75544</v>
      </c>
      <c r="H401" s="47" t="s">
        <v>3326</v>
      </c>
      <c r="I401" s="47" t="s">
        <v>3326</v>
      </c>
      <c r="J401" s="46" t="s">
        <v>3110</v>
      </c>
      <c r="K401" s="46" t="s">
        <v>23</v>
      </c>
      <c r="L401" s="46"/>
      <c r="M401" s="46" t="s">
        <v>3109</v>
      </c>
      <c r="N401" s="51"/>
      <c r="O401" s="51"/>
    </row>
    <row r="402" spans="1:15" ht="25.5" x14ac:dyDescent="0.2">
      <c r="A402" s="52">
        <v>46007</v>
      </c>
      <c r="B402" s="48">
        <f>+MONTH(A402)</f>
        <v>12</v>
      </c>
      <c r="C402" s="48">
        <f>+WEEKNUM(A402)</f>
        <v>51</v>
      </c>
      <c r="D402" s="46" t="s">
        <v>2766</v>
      </c>
      <c r="E402" s="46" t="s">
        <v>3108</v>
      </c>
      <c r="F402" s="46">
        <v>573208615190</v>
      </c>
      <c r="G402" s="46">
        <v>75508</v>
      </c>
      <c r="H402" s="47" t="s">
        <v>3326</v>
      </c>
      <c r="I402" s="47" t="s">
        <v>3326</v>
      </c>
      <c r="J402" s="46" t="s">
        <v>3107</v>
      </c>
      <c r="K402" s="46" t="s">
        <v>23</v>
      </c>
      <c r="L402" s="46"/>
      <c r="M402" s="46" t="s">
        <v>2875</v>
      </c>
      <c r="N402" s="51"/>
      <c r="O402" s="51"/>
    </row>
    <row r="403" spans="1:15" ht="25.5" x14ac:dyDescent="0.2">
      <c r="A403" s="52">
        <v>46007</v>
      </c>
      <c r="B403" s="48">
        <f>+MONTH(A403)</f>
        <v>12</v>
      </c>
      <c r="C403" s="48">
        <f>+WEEKNUM(A403)</f>
        <v>51</v>
      </c>
      <c r="D403" s="46" t="s">
        <v>3106</v>
      </c>
      <c r="E403" s="46" t="s">
        <v>3105</v>
      </c>
      <c r="F403" s="46">
        <v>573135211639</v>
      </c>
      <c r="G403" s="46">
        <v>75744</v>
      </c>
      <c r="H403" s="47" t="s">
        <v>3326</v>
      </c>
      <c r="I403" s="47" t="s">
        <v>3326</v>
      </c>
      <c r="J403" s="46" t="s">
        <v>3104</v>
      </c>
      <c r="K403" s="46" t="s">
        <v>23</v>
      </c>
      <c r="L403" s="46"/>
      <c r="M403" s="46" t="s">
        <v>2821</v>
      </c>
      <c r="N403" s="51"/>
      <c r="O403" s="51"/>
    </row>
    <row r="404" spans="1:15" ht="25.5" x14ac:dyDescent="0.2">
      <c r="A404" s="52">
        <v>46007</v>
      </c>
      <c r="B404" s="48">
        <f>+MONTH(A404)</f>
        <v>12</v>
      </c>
      <c r="C404" s="48">
        <f>+WEEKNUM(A404)</f>
        <v>51</v>
      </c>
      <c r="D404" s="46" t="s">
        <v>3103</v>
      </c>
      <c r="E404" s="46" t="s">
        <v>3102</v>
      </c>
      <c r="F404" s="46">
        <v>573192106387</v>
      </c>
      <c r="G404" s="46">
        <v>75426</v>
      </c>
      <c r="H404" s="47" t="s">
        <v>3326</v>
      </c>
      <c r="I404" s="47" t="s">
        <v>3326</v>
      </c>
      <c r="J404" s="46" t="s">
        <v>3101</v>
      </c>
      <c r="K404" s="46" t="s">
        <v>23</v>
      </c>
      <c r="L404" s="46"/>
      <c r="M404" s="46" t="s">
        <v>2793</v>
      </c>
      <c r="N404" s="51"/>
      <c r="O404" s="51"/>
    </row>
    <row r="405" spans="1:15" ht="25.5" x14ac:dyDescent="0.2">
      <c r="A405" s="52">
        <v>46007</v>
      </c>
      <c r="B405" s="48">
        <f>+MONTH(A405)</f>
        <v>12</v>
      </c>
      <c r="C405" s="48">
        <f>+WEEKNUM(A405)</f>
        <v>51</v>
      </c>
      <c r="D405" s="46" t="s">
        <v>3100</v>
      </c>
      <c r="E405" s="46" t="s">
        <v>3099</v>
      </c>
      <c r="F405" s="46">
        <v>573005615528</v>
      </c>
      <c r="G405" s="46">
        <v>75466</v>
      </c>
      <c r="H405" s="47" t="s">
        <v>3326</v>
      </c>
      <c r="I405" s="47" t="s">
        <v>3326</v>
      </c>
      <c r="J405" s="46" t="s">
        <v>3098</v>
      </c>
      <c r="K405" s="46" t="s">
        <v>23</v>
      </c>
      <c r="L405" s="46"/>
      <c r="M405" s="46" t="s">
        <v>2780</v>
      </c>
      <c r="N405" s="51"/>
      <c r="O405" s="51"/>
    </row>
    <row r="406" spans="1:15" ht="38.25" x14ac:dyDescent="0.2">
      <c r="A406" s="52">
        <v>46007</v>
      </c>
      <c r="B406" s="48">
        <f>+MONTH(A406)</f>
        <v>12</v>
      </c>
      <c r="C406" s="48">
        <f>+WEEKNUM(A406)</f>
        <v>51</v>
      </c>
      <c r="D406" s="46" t="s">
        <v>3097</v>
      </c>
      <c r="E406" s="46" t="s">
        <v>3097</v>
      </c>
      <c r="F406" s="46">
        <v>573124321862</v>
      </c>
      <c r="G406" s="46">
        <v>75294</v>
      </c>
      <c r="H406" s="47" t="s">
        <v>3326</v>
      </c>
      <c r="I406" s="47" t="s">
        <v>3326</v>
      </c>
      <c r="J406" s="46" t="s">
        <v>3096</v>
      </c>
      <c r="K406" s="46" t="s">
        <v>23</v>
      </c>
      <c r="L406" s="46"/>
      <c r="M406" s="46" t="s">
        <v>3095</v>
      </c>
      <c r="N406" s="51"/>
      <c r="O406" s="51"/>
    </row>
    <row r="407" spans="1:15" ht="25.5" x14ac:dyDescent="0.2">
      <c r="A407" s="52">
        <v>46007</v>
      </c>
      <c r="B407" s="48">
        <f>+MONTH(A407)</f>
        <v>12</v>
      </c>
      <c r="C407" s="48">
        <f>+WEEKNUM(A407)</f>
        <v>51</v>
      </c>
      <c r="D407" s="46" t="s">
        <v>3091</v>
      </c>
      <c r="E407" s="46" t="s">
        <v>3090</v>
      </c>
      <c r="F407" s="46">
        <v>573202080328</v>
      </c>
      <c r="G407" s="46">
        <v>75502</v>
      </c>
      <c r="H407" s="47" t="s">
        <v>3326</v>
      </c>
      <c r="I407" s="47" t="s">
        <v>3326</v>
      </c>
      <c r="J407" s="46" t="s">
        <v>3089</v>
      </c>
      <c r="K407" s="46" t="s">
        <v>23</v>
      </c>
      <c r="L407" s="46"/>
      <c r="M407" s="46" t="s">
        <v>2784</v>
      </c>
      <c r="N407" s="51"/>
      <c r="O407" s="51"/>
    </row>
    <row r="408" spans="1:15" ht="25.5" x14ac:dyDescent="0.2">
      <c r="A408" s="52">
        <v>46006</v>
      </c>
      <c r="B408" s="48">
        <f>+MONTH(A408)</f>
        <v>12</v>
      </c>
      <c r="C408" s="48">
        <f>+WEEKNUM(A408)</f>
        <v>51</v>
      </c>
      <c r="D408" s="46" t="s">
        <v>3088</v>
      </c>
      <c r="E408" s="46" t="s">
        <v>3087</v>
      </c>
      <c r="F408" s="46">
        <v>573142904547</v>
      </c>
      <c r="G408" s="46">
        <v>75288</v>
      </c>
      <c r="H408" s="47" t="s">
        <v>3326</v>
      </c>
      <c r="I408" s="47" t="s">
        <v>3326</v>
      </c>
      <c r="J408" s="46" t="s">
        <v>3086</v>
      </c>
      <c r="K408" s="46" t="s">
        <v>23</v>
      </c>
      <c r="L408" s="46"/>
      <c r="M408" s="46" t="s">
        <v>3085</v>
      </c>
      <c r="N408" s="51"/>
      <c r="O408" s="51"/>
    </row>
    <row r="409" spans="1:15" ht="25.5" x14ac:dyDescent="0.2">
      <c r="A409" s="52">
        <v>46006</v>
      </c>
      <c r="B409" s="48">
        <f>+MONTH(A409)</f>
        <v>12</v>
      </c>
      <c r="C409" s="48">
        <f>+WEEKNUM(A409)</f>
        <v>51</v>
      </c>
      <c r="D409" s="46" t="s">
        <v>1670</v>
      </c>
      <c r="E409" s="46" t="s">
        <v>2734</v>
      </c>
      <c r="F409" s="46">
        <v>573002124308</v>
      </c>
      <c r="G409" s="46">
        <v>75634</v>
      </c>
      <c r="H409" s="47" t="s">
        <v>3326</v>
      </c>
      <c r="I409" s="47" t="s">
        <v>3326</v>
      </c>
      <c r="J409" s="46" t="s">
        <v>2733</v>
      </c>
      <c r="K409" s="46" t="s">
        <v>23</v>
      </c>
      <c r="L409" s="46"/>
      <c r="M409" s="46" t="s">
        <v>3084</v>
      </c>
      <c r="N409" s="51"/>
      <c r="O409" s="51"/>
    </row>
    <row r="410" spans="1:15" ht="12.75" x14ac:dyDescent="0.2">
      <c r="A410" s="52">
        <v>46006</v>
      </c>
      <c r="B410" s="48">
        <f>+MONTH(A410)</f>
        <v>12</v>
      </c>
      <c r="C410" s="48">
        <f>+WEEKNUM(A410)</f>
        <v>51</v>
      </c>
      <c r="D410" s="46" t="s">
        <v>3083</v>
      </c>
      <c r="E410" s="46" t="s">
        <v>3082</v>
      </c>
      <c r="F410" s="46">
        <v>573167574529</v>
      </c>
      <c r="G410" s="46">
        <v>75615</v>
      </c>
      <c r="H410" s="47" t="s">
        <v>3326</v>
      </c>
      <c r="I410" s="47" t="s">
        <v>3326</v>
      </c>
      <c r="J410" s="46" t="s">
        <v>3081</v>
      </c>
      <c r="K410" s="46" t="s">
        <v>23</v>
      </c>
      <c r="L410" s="46"/>
      <c r="M410" s="46" t="s">
        <v>2782</v>
      </c>
      <c r="N410" s="51"/>
      <c r="O410" s="51"/>
    </row>
    <row r="411" spans="1:15" ht="12.75" x14ac:dyDescent="0.2">
      <c r="A411" s="52">
        <v>46006</v>
      </c>
      <c r="B411" s="48">
        <f>+MONTH(A411)</f>
        <v>12</v>
      </c>
      <c r="C411" s="48">
        <f>+WEEKNUM(A411)</f>
        <v>51</v>
      </c>
      <c r="D411" s="46" t="s">
        <v>3080</v>
      </c>
      <c r="E411" s="46" t="s">
        <v>3079</v>
      </c>
      <c r="F411" s="46">
        <v>573233954267</v>
      </c>
      <c r="G411" s="46">
        <v>75402</v>
      </c>
      <c r="H411" s="47" t="s">
        <v>3325</v>
      </c>
      <c r="I411" s="47" t="s">
        <v>22</v>
      </c>
      <c r="J411" s="46"/>
      <c r="K411" s="46"/>
      <c r="L411" s="46"/>
      <c r="M411" s="46" t="s">
        <v>2884</v>
      </c>
      <c r="N411" s="51"/>
      <c r="O411" s="51"/>
    </row>
    <row r="412" spans="1:15" ht="25.5" x14ac:dyDescent="0.2">
      <c r="A412" s="52">
        <v>46006</v>
      </c>
      <c r="B412" s="48">
        <f>+MONTH(A412)</f>
        <v>12</v>
      </c>
      <c r="C412" s="48">
        <f>+WEEKNUM(A412)</f>
        <v>51</v>
      </c>
      <c r="D412" s="46" t="s">
        <v>2162</v>
      </c>
      <c r="E412" s="46" t="s">
        <v>3078</v>
      </c>
      <c r="F412" s="46">
        <v>573008085190</v>
      </c>
      <c r="G412" s="46">
        <v>74884</v>
      </c>
      <c r="H412" s="47" t="s">
        <v>3326</v>
      </c>
      <c r="I412" s="47" t="s">
        <v>3326</v>
      </c>
      <c r="J412" s="46" t="s">
        <v>39</v>
      </c>
      <c r="K412" s="46" t="s">
        <v>23</v>
      </c>
      <c r="L412" s="46"/>
      <c r="M412" s="46" t="s">
        <v>2782</v>
      </c>
      <c r="N412" s="51"/>
      <c r="O412" s="51"/>
    </row>
    <row r="413" spans="1:15" ht="25.5" x14ac:dyDescent="0.2">
      <c r="A413" s="52">
        <v>46006</v>
      </c>
      <c r="B413" s="48">
        <f>+MONTH(A413)</f>
        <v>12</v>
      </c>
      <c r="C413" s="48">
        <f>+WEEKNUM(A413)</f>
        <v>51</v>
      </c>
      <c r="D413" s="53" t="s">
        <v>3077</v>
      </c>
      <c r="E413" s="53" t="s">
        <v>3076</v>
      </c>
      <c r="F413" s="53">
        <v>573505275618</v>
      </c>
      <c r="G413" s="53">
        <v>74601</v>
      </c>
      <c r="H413" s="54" t="s">
        <v>22</v>
      </c>
      <c r="I413" s="54" t="s">
        <v>3326</v>
      </c>
      <c r="J413" s="53" t="s">
        <v>3075</v>
      </c>
      <c r="K413" s="46"/>
      <c r="L413" s="46"/>
      <c r="M413" s="46" t="s">
        <v>3074</v>
      </c>
      <c r="N413" s="51"/>
      <c r="O413" s="51"/>
    </row>
    <row r="414" spans="1:15" ht="25.5" x14ac:dyDescent="0.2">
      <c r="A414" s="52">
        <v>46006</v>
      </c>
      <c r="B414" s="48">
        <f>+MONTH(A414)</f>
        <v>12</v>
      </c>
      <c r="C414" s="48">
        <f>+WEEKNUM(A414)</f>
        <v>51</v>
      </c>
      <c r="D414" s="46" t="s">
        <v>3073</v>
      </c>
      <c r="E414" s="46" t="s">
        <v>3072</v>
      </c>
      <c r="F414" s="46">
        <v>573103138457</v>
      </c>
      <c r="G414" s="46">
        <v>75248</v>
      </c>
      <c r="H414" s="47" t="s">
        <v>3326</v>
      </c>
      <c r="I414" s="47" t="s">
        <v>3326</v>
      </c>
      <c r="J414" s="46" t="s">
        <v>1878</v>
      </c>
      <c r="K414" s="46" t="s">
        <v>23</v>
      </c>
      <c r="L414" s="46"/>
      <c r="M414" s="46" t="s">
        <v>2780</v>
      </c>
      <c r="N414" s="51"/>
      <c r="O414" s="51"/>
    </row>
    <row r="415" spans="1:15" ht="38.25" x14ac:dyDescent="0.2">
      <c r="A415" s="52">
        <v>46006</v>
      </c>
      <c r="B415" s="48">
        <f>+MONTH(A415)</f>
        <v>12</v>
      </c>
      <c r="C415" s="48">
        <f>+WEEKNUM(A415)</f>
        <v>51</v>
      </c>
      <c r="D415" s="46" t="s">
        <v>3071</v>
      </c>
      <c r="E415" s="46" t="s">
        <v>3070</v>
      </c>
      <c r="F415" s="46">
        <v>573212714896</v>
      </c>
      <c r="G415" s="46">
        <v>74068</v>
      </c>
      <c r="H415" s="47" t="s">
        <v>3326</v>
      </c>
      <c r="I415" s="47" t="s">
        <v>3326</v>
      </c>
      <c r="J415" s="46" t="s">
        <v>3069</v>
      </c>
      <c r="K415" s="46" t="s">
        <v>23</v>
      </c>
      <c r="L415" s="46"/>
      <c r="M415" s="46" t="s">
        <v>2780</v>
      </c>
      <c r="N415" s="51"/>
      <c r="O415" s="51"/>
    </row>
    <row r="416" spans="1:15" ht="12.75" x14ac:dyDescent="0.2">
      <c r="A416" s="52">
        <v>46006</v>
      </c>
      <c r="B416" s="48">
        <f>+MONTH(A416)</f>
        <v>12</v>
      </c>
      <c r="C416" s="48">
        <f>+WEEKNUM(A416)</f>
        <v>51</v>
      </c>
      <c r="D416" s="46" t="s">
        <v>1501</v>
      </c>
      <c r="E416" s="46" t="s">
        <v>2466</v>
      </c>
      <c r="F416" s="46">
        <v>573143705709</v>
      </c>
      <c r="G416" s="46">
        <v>74472</v>
      </c>
      <c r="H416" s="47" t="s">
        <v>3326</v>
      </c>
      <c r="I416" s="47" t="s">
        <v>3326</v>
      </c>
      <c r="J416" s="53" t="s">
        <v>3068</v>
      </c>
      <c r="K416" s="46" t="s">
        <v>23</v>
      </c>
      <c r="L416" s="46"/>
      <c r="M416" s="46" t="s">
        <v>2822</v>
      </c>
      <c r="N416" s="51"/>
      <c r="O416" s="51"/>
    </row>
    <row r="417" spans="1:15" ht="25.5" x14ac:dyDescent="0.2">
      <c r="A417" s="52">
        <v>46006</v>
      </c>
      <c r="B417" s="48">
        <f>+MONTH(A417)</f>
        <v>12</v>
      </c>
      <c r="C417" s="48">
        <f>+WEEKNUM(A417)</f>
        <v>51</v>
      </c>
      <c r="D417" s="46" t="s">
        <v>1479</v>
      </c>
      <c r="E417" s="46" t="s">
        <v>2593</v>
      </c>
      <c r="F417" s="46">
        <v>573143376516</v>
      </c>
      <c r="G417" s="46">
        <v>75371</v>
      </c>
      <c r="H417" s="47" t="s">
        <v>3326</v>
      </c>
      <c r="I417" s="47" t="s">
        <v>3326</v>
      </c>
      <c r="J417" s="46" t="s">
        <v>61</v>
      </c>
      <c r="K417" s="46" t="s">
        <v>23</v>
      </c>
      <c r="L417" s="46"/>
      <c r="M417" s="46" t="s">
        <v>2780</v>
      </c>
      <c r="N417" s="51"/>
      <c r="O417" s="51"/>
    </row>
    <row r="418" spans="1:15" ht="25.5" x14ac:dyDescent="0.2">
      <c r="A418" s="52">
        <v>46006</v>
      </c>
      <c r="B418" s="48">
        <f>+MONTH(A418)</f>
        <v>12</v>
      </c>
      <c r="C418" s="48">
        <f>+WEEKNUM(A418)</f>
        <v>51</v>
      </c>
      <c r="D418" s="46" t="s">
        <v>2713</v>
      </c>
      <c r="E418" s="46" t="s">
        <v>3067</v>
      </c>
      <c r="F418" s="46">
        <v>573223034327</v>
      </c>
      <c r="G418" s="46">
        <v>75318</v>
      </c>
      <c r="H418" s="47" t="s">
        <v>3326</v>
      </c>
      <c r="I418" s="47" t="s">
        <v>3326</v>
      </c>
      <c r="J418" s="46" t="s">
        <v>3066</v>
      </c>
      <c r="K418" s="46" t="s">
        <v>23</v>
      </c>
      <c r="L418" s="46"/>
      <c r="M418" s="46" t="s">
        <v>2887</v>
      </c>
      <c r="N418" s="51"/>
      <c r="O418" s="51"/>
    </row>
    <row r="419" spans="1:15" ht="25.5" x14ac:dyDescent="0.2">
      <c r="A419" s="52">
        <v>46006</v>
      </c>
      <c r="B419" s="48">
        <f>+MONTH(A419)</f>
        <v>12</v>
      </c>
      <c r="C419" s="48">
        <f>+WEEKNUM(A419)</f>
        <v>51</v>
      </c>
      <c r="D419" s="46" t="s">
        <v>2710</v>
      </c>
      <c r="E419" s="46" t="s">
        <v>3065</v>
      </c>
      <c r="F419" s="46">
        <v>573117348530</v>
      </c>
      <c r="G419" s="46">
        <v>75120</v>
      </c>
      <c r="H419" s="47" t="s">
        <v>3326</v>
      </c>
      <c r="I419" s="47" t="s">
        <v>3326</v>
      </c>
      <c r="J419" s="46" t="s">
        <v>3064</v>
      </c>
      <c r="K419" s="46" t="s">
        <v>23</v>
      </c>
      <c r="L419" s="46"/>
      <c r="M419" s="46" t="s">
        <v>2780</v>
      </c>
      <c r="N419" s="51"/>
      <c r="O419" s="51"/>
    </row>
    <row r="420" spans="1:15" ht="25.5" x14ac:dyDescent="0.2">
      <c r="A420" s="52">
        <v>46004</v>
      </c>
      <c r="B420" s="48">
        <f>+MONTH(A420)</f>
        <v>12</v>
      </c>
      <c r="C420" s="48">
        <f>+WEEKNUM(A420)</f>
        <v>50</v>
      </c>
      <c r="D420" s="46" t="s">
        <v>1408</v>
      </c>
      <c r="E420" s="46" t="s">
        <v>3063</v>
      </c>
      <c r="F420" s="46">
        <v>573143089129</v>
      </c>
      <c r="G420" s="46">
        <v>75358</v>
      </c>
      <c r="H420" s="47" t="s">
        <v>3326</v>
      </c>
      <c r="I420" s="47" t="s">
        <v>3326</v>
      </c>
      <c r="J420" s="46" t="s">
        <v>61</v>
      </c>
      <c r="K420" s="46" t="s">
        <v>23</v>
      </c>
      <c r="L420" s="46"/>
      <c r="M420" s="46" t="s">
        <v>3062</v>
      </c>
      <c r="N420" s="51"/>
      <c r="O420" s="51"/>
    </row>
    <row r="421" spans="1:15" ht="38.25" x14ac:dyDescent="0.2">
      <c r="A421" s="52">
        <v>46004</v>
      </c>
      <c r="B421" s="48">
        <f>+MONTH(A421)</f>
        <v>12</v>
      </c>
      <c r="C421" s="48">
        <f>+WEEKNUM(A421)</f>
        <v>50</v>
      </c>
      <c r="D421" s="53" t="s">
        <v>3061</v>
      </c>
      <c r="E421" s="53" t="s">
        <v>3060</v>
      </c>
      <c r="F421" s="53">
        <v>573228304536</v>
      </c>
      <c r="G421" s="53">
        <v>75391</v>
      </c>
      <c r="H421" s="54" t="s">
        <v>22</v>
      </c>
      <c r="I421" s="54" t="s">
        <v>3326</v>
      </c>
      <c r="J421" s="53" t="s">
        <v>3376</v>
      </c>
      <c r="K421" s="46"/>
      <c r="L421" s="46"/>
      <c r="M421" s="46" t="s">
        <v>2782</v>
      </c>
      <c r="N421" s="51"/>
      <c r="O421" s="51"/>
    </row>
    <row r="422" spans="1:15" ht="12.75" x14ac:dyDescent="0.2">
      <c r="A422" s="52">
        <v>46004</v>
      </c>
      <c r="B422" s="48">
        <f>+MONTH(A422)</f>
        <v>12</v>
      </c>
      <c r="C422" s="48">
        <f>+WEEKNUM(A422)</f>
        <v>50</v>
      </c>
      <c r="D422" s="46" t="s">
        <v>3059</v>
      </c>
      <c r="E422" s="46" t="s">
        <v>3058</v>
      </c>
      <c r="F422" s="46">
        <v>573102942949</v>
      </c>
      <c r="G422" s="46">
        <v>75524</v>
      </c>
      <c r="H422" s="47" t="s">
        <v>3326</v>
      </c>
      <c r="I422" s="47" t="s">
        <v>3326</v>
      </c>
      <c r="J422" s="46" t="s">
        <v>64</v>
      </c>
      <c r="K422" s="46" t="s">
        <v>23</v>
      </c>
      <c r="L422" s="46" t="s">
        <v>82</v>
      </c>
      <c r="M422" s="46" t="s">
        <v>2784</v>
      </c>
      <c r="N422" s="51"/>
      <c r="O422" s="51"/>
    </row>
    <row r="423" spans="1:15" ht="12.75" x14ac:dyDescent="0.2">
      <c r="A423" s="52">
        <v>46004</v>
      </c>
      <c r="B423" s="48">
        <f>+MONTH(A423)</f>
        <v>12</v>
      </c>
      <c r="C423" s="48">
        <f>+WEEKNUM(A423)</f>
        <v>50</v>
      </c>
      <c r="D423" s="46" t="s">
        <v>2371</v>
      </c>
      <c r="E423" s="46" t="s">
        <v>2529</v>
      </c>
      <c r="F423" s="46">
        <v>573134854710</v>
      </c>
      <c r="G423" s="46">
        <v>75280</v>
      </c>
      <c r="H423" s="47" t="s">
        <v>3326</v>
      </c>
      <c r="I423" s="47" t="s">
        <v>3326</v>
      </c>
      <c r="J423" s="46" t="s">
        <v>13</v>
      </c>
      <c r="K423" s="46" t="s">
        <v>23</v>
      </c>
      <c r="L423" s="46"/>
      <c r="M423" s="46" t="s">
        <v>2780</v>
      </c>
      <c r="N423" s="51"/>
      <c r="O423" s="51"/>
    </row>
    <row r="424" spans="1:15" ht="51" x14ac:dyDescent="0.2">
      <c r="A424" s="52">
        <v>46004</v>
      </c>
      <c r="B424" s="48">
        <f>+MONTH(A424)</f>
        <v>12</v>
      </c>
      <c r="C424" s="48">
        <f>+WEEKNUM(A424)</f>
        <v>50</v>
      </c>
      <c r="D424" s="53" t="s">
        <v>3057</v>
      </c>
      <c r="E424" s="53" t="s">
        <v>3056</v>
      </c>
      <c r="F424" s="53">
        <v>573223774901</v>
      </c>
      <c r="G424" s="53">
        <v>75427</v>
      </c>
      <c r="H424" s="54" t="s">
        <v>3326</v>
      </c>
      <c r="I424" s="54" t="s">
        <v>3325</v>
      </c>
      <c r="J424" s="53" t="s">
        <v>3055</v>
      </c>
      <c r="K424" s="46"/>
      <c r="L424" s="46"/>
      <c r="M424" s="46" t="s">
        <v>2780</v>
      </c>
      <c r="N424" s="51"/>
      <c r="O424" s="51"/>
    </row>
    <row r="425" spans="1:15" ht="25.5" x14ac:dyDescent="0.2">
      <c r="A425" s="52">
        <v>46004</v>
      </c>
      <c r="B425" s="48">
        <f>+MONTH(A425)</f>
        <v>12</v>
      </c>
      <c r="C425" s="48">
        <f>+WEEKNUM(A425)</f>
        <v>50</v>
      </c>
      <c r="D425" s="46" t="s">
        <v>3054</v>
      </c>
      <c r="E425" s="46" t="s">
        <v>3053</v>
      </c>
      <c r="F425" s="46">
        <v>573195125125</v>
      </c>
      <c r="G425" s="46">
        <v>75070</v>
      </c>
      <c r="H425" s="47" t="s">
        <v>3326</v>
      </c>
      <c r="I425" s="47" t="s">
        <v>3326</v>
      </c>
      <c r="J425" s="46" t="s">
        <v>217</v>
      </c>
      <c r="K425" s="46" t="s">
        <v>23</v>
      </c>
      <c r="L425" s="46"/>
      <c r="M425" s="46" t="s">
        <v>2780</v>
      </c>
      <c r="N425" s="51"/>
      <c r="O425" s="51"/>
    </row>
    <row r="426" spans="1:15" ht="38.25" x14ac:dyDescent="0.2">
      <c r="A426" s="52">
        <v>46004</v>
      </c>
      <c r="B426" s="48">
        <f>+MONTH(A426)</f>
        <v>12</v>
      </c>
      <c r="C426" s="48">
        <f>+WEEKNUM(A426)</f>
        <v>50</v>
      </c>
      <c r="D426" s="46" t="s">
        <v>3052</v>
      </c>
      <c r="E426" s="46" t="s">
        <v>3051</v>
      </c>
      <c r="F426" s="46">
        <v>573137713239</v>
      </c>
      <c r="G426" s="46">
        <v>73585</v>
      </c>
      <c r="H426" s="47" t="s">
        <v>3326</v>
      </c>
      <c r="I426" s="47" t="s">
        <v>3326</v>
      </c>
      <c r="J426" s="46" t="s">
        <v>3050</v>
      </c>
      <c r="K426" s="46" t="s">
        <v>23</v>
      </c>
      <c r="L426" s="46"/>
      <c r="M426" s="46" t="s">
        <v>3049</v>
      </c>
      <c r="N426" s="51"/>
      <c r="O426" s="51"/>
    </row>
    <row r="427" spans="1:15" ht="25.5" x14ac:dyDescent="0.2">
      <c r="A427" s="52">
        <v>46004</v>
      </c>
      <c r="B427" s="48">
        <f>+MONTH(A427)</f>
        <v>12</v>
      </c>
      <c r="C427" s="48">
        <f>+WEEKNUM(A427)</f>
        <v>50</v>
      </c>
      <c r="D427" s="46" t="s">
        <v>2337</v>
      </c>
      <c r="E427" s="46" t="s">
        <v>3048</v>
      </c>
      <c r="F427" s="46">
        <v>573185437733</v>
      </c>
      <c r="G427" s="46">
        <v>75255</v>
      </c>
      <c r="H427" s="47" t="s">
        <v>3326</v>
      </c>
      <c r="I427" s="47" t="s">
        <v>3326</v>
      </c>
      <c r="J427" s="46" t="s">
        <v>174</v>
      </c>
      <c r="K427" s="46" t="s">
        <v>23</v>
      </c>
      <c r="L427" s="46"/>
      <c r="M427" s="46" t="s">
        <v>2784</v>
      </c>
      <c r="N427" s="51"/>
      <c r="O427" s="51"/>
    </row>
    <row r="428" spans="1:15" ht="25.5" x14ac:dyDescent="0.2">
      <c r="A428" s="52">
        <v>46004</v>
      </c>
      <c r="B428" s="48">
        <f>+MONTH(A428)</f>
        <v>12</v>
      </c>
      <c r="C428" s="48">
        <f>+WEEKNUM(A428)</f>
        <v>50</v>
      </c>
      <c r="D428" s="46" t="s">
        <v>3047</v>
      </c>
      <c r="E428" s="46" t="s">
        <v>3046</v>
      </c>
      <c r="F428" s="46">
        <v>573183799555</v>
      </c>
      <c r="G428" s="46">
        <v>75078</v>
      </c>
      <c r="H428" s="47" t="s">
        <v>3326</v>
      </c>
      <c r="I428" s="47" t="s">
        <v>3326</v>
      </c>
      <c r="J428" s="46" t="s">
        <v>3045</v>
      </c>
      <c r="K428" s="46" t="s">
        <v>23</v>
      </c>
      <c r="L428" s="46"/>
      <c r="M428" s="46" t="s">
        <v>2784</v>
      </c>
      <c r="N428" s="51"/>
      <c r="O428" s="51"/>
    </row>
    <row r="429" spans="1:15" ht="25.5" x14ac:dyDescent="0.2">
      <c r="A429" s="52">
        <v>46003</v>
      </c>
      <c r="B429" s="48">
        <f>+MONTH(A429)</f>
        <v>12</v>
      </c>
      <c r="C429" s="48">
        <f>+WEEKNUM(A429)</f>
        <v>50</v>
      </c>
      <c r="D429" s="46" t="s">
        <v>3044</v>
      </c>
      <c r="E429" s="46" t="s">
        <v>3043</v>
      </c>
      <c r="F429" s="46">
        <v>573138328763</v>
      </c>
      <c r="G429" s="46">
        <v>75337</v>
      </c>
      <c r="H429" s="47" t="s">
        <v>3326</v>
      </c>
      <c r="I429" s="47" t="s">
        <v>3326</v>
      </c>
      <c r="J429" s="46" t="s">
        <v>3042</v>
      </c>
      <c r="K429" s="46" t="s">
        <v>23</v>
      </c>
      <c r="L429" s="46"/>
      <c r="M429" s="46" t="s">
        <v>2782</v>
      </c>
      <c r="N429" s="51"/>
      <c r="O429" s="51"/>
    </row>
    <row r="430" spans="1:15" ht="25.5" x14ac:dyDescent="0.2">
      <c r="A430" s="52">
        <v>46003</v>
      </c>
      <c r="B430" s="48">
        <f>+MONTH(A430)</f>
        <v>12</v>
      </c>
      <c r="C430" s="48">
        <f>+WEEKNUM(A430)</f>
        <v>50</v>
      </c>
      <c r="D430" s="46" t="s">
        <v>3041</v>
      </c>
      <c r="E430" s="46" t="s">
        <v>3040</v>
      </c>
      <c r="F430" s="46">
        <v>573108776229</v>
      </c>
      <c r="G430" s="46">
        <v>75086</v>
      </c>
      <c r="H430" s="47" t="s">
        <v>3326</v>
      </c>
      <c r="I430" s="47" t="s">
        <v>3326</v>
      </c>
      <c r="J430" s="46" t="s">
        <v>3039</v>
      </c>
      <c r="K430" s="46" t="s">
        <v>23</v>
      </c>
      <c r="L430" s="46" t="s">
        <v>82</v>
      </c>
      <c r="M430" s="46" t="s">
        <v>2784</v>
      </c>
      <c r="N430" s="51"/>
      <c r="O430" s="51"/>
    </row>
    <row r="431" spans="1:15" ht="25.5" x14ac:dyDescent="0.2">
      <c r="A431" s="52">
        <v>46003</v>
      </c>
      <c r="B431" s="48">
        <f>+MONTH(A431)</f>
        <v>12</v>
      </c>
      <c r="C431" s="48">
        <f>+WEEKNUM(A431)</f>
        <v>50</v>
      </c>
      <c r="D431" s="46" t="s">
        <v>1670</v>
      </c>
      <c r="E431" s="46" t="s">
        <v>3038</v>
      </c>
      <c r="F431" s="46">
        <v>573102990301</v>
      </c>
      <c r="G431" s="46">
        <v>75118</v>
      </c>
      <c r="H431" s="47" t="s">
        <v>3326</v>
      </c>
      <c r="I431" s="47" t="s">
        <v>3326</v>
      </c>
      <c r="J431" s="46" t="s">
        <v>3037</v>
      </c>
      <c r="K431" s="46" t="s">
        <v>23</v>
      </c>
      <c r="L431" s="46"/>
      <c r="M431" s="46" t="s">
        <v>2810</v>
      </c>
      <c r="N431" s="51"/>
      <c r="O431" s="51"/>
    </row>
    <row r="432" spans="1:15" ht="25.5" x14ac:dyDescent="0.2">
      <c r="A432" s="52">
        <v>46003</v>
      </c>
      <c r="B432" s="48">
        <f>+MONTH(A432)</f>
        <v>12</v>
      </c>
      <c r="C432" s="48">
        <f>+WEEKNUM(A432)</f>
        <v>50</v>
      </c>
      <c r="D432" s="53" t="s">
        <v>3036</v>
      </c>
      <c r="E432" s="53" t="s">
        <v>3035</v>
      </c>
      <c r="F432" s="53">
        <v>573058798748</v>
      </c>
      <c r="G432" s="53">
        <v>72928</v>
      </c>
      <c r="H432" s="54" t="s">
        <v>3325</v>
      </c>
      <c r="I432" s="54" t="s">
        <v>3325</v>
      </c>
      <c r="J432" s="53" t="s">
        <v>3377</v>
      </c>
      <c r="K432" s="46"/>
      <c r="L432" s="46"/>
      <c r="M432" s="46" t="s">
        <v>3034</v>
      </c>
      <c r="N432" s="51"/>
      <c r="O432" s="51"/>
    </row>
    <row r="433" spans="1:15" ht="25.5" x14ac:dyDescent="0.2">
      <c r="A433" s="52">
        <v>46003</v>
      </c>
      <c r="B433" s="48">
        <f>+MONTH(A433)</f>
        <v>12</v>
      </c>
      <c r="C433" s="48">
        <f>+WEEKNUM(A433)</f>
        <v>50</v>
      </c>
      <c r="D433" s="46" t="s">
        <v>2108</v>
      </c>
      <c r="E433" s="46" t="s">
        <v>3033</v>
      </c>
      <c r="F433" s="46">
        <v>573157517702</v>
      </c>
      <c r="G433" s="46">
        <v>73930</v>
      </c>
      <c r="H433" s="47" t="s">
        <v>3326</v>
      </c>
      <c r="I433" s="47" t="s">
        <v>3326</v>
      </c>
      <c r="J433" s="46" t="s">
        <v>3032</v>
      </c>
      <c r="K433" s="46" t="s">
        <v>23</v>
      </c>
      <c r="L433" s="46"/>
      <c r="M433" s="46" t="s">
        <v>2782</v>
      </c>
      <c r="N433" s="51"/>
      <c r="O433" s="51"/>
    </row>
    <row r="434" spans="1:15" ht="12.75" x14ac:dyDescent="0.2">
      <c r="A434" s="52">
        <v>46003</v>
      </c>
      <c r="B434" s="48">
        <f>+MONTH(A434)</f>
        <v>12</v>
      </c>
      <c r="C434" s="48">
        <f>+WEEKNUM(A434)</f>
        <v>50</v>
      </c>
      <c r="D434" s="46" t="s">
        <v>1499</v>
      </c>
      <c r="E434" s="46" t="s">
        <v>3031</v>
      </c>
      <c r="F434" s="46">
        <v>573124956683</v>
      </c>
      <c r="G434" s="46">
        <v>75169</v>
      </c>
      <c r="H434" s="47" t="s">
        <v>3326</v>
      </c>
      <c r="I434" s="47" t="s">
        <v>3326</v>
      </c>
      <c r="J434" s="46" t="s">
        <v>3030</v>
      </c>
      <c r="K434" s="46" t="s">
        <v>23</v>
      </c>
      <c r="L434" s="46"/>
      <c r="M434" s="46" t="s">
        <v>2782</v>
      </c>
      <c r="N434" s="51"/>
      <c r="O434" s="51"/>
    </row>
    <row r="435" spans="1:15" ht="25.5" x14ac:dyDescent="0.2">
      <c r="A435" s="52">
        <v>46003</v>
      </c>
      <c r="B435" s="48">
        <f>+MONTH(A435)</f>
        <v>12</v>
      </c>
      <c r="C435" s="48">
        <f>+WEEKNUM(A435)</f>
        <v>50</v>
      </c>
      <c r="D435" s="46" t="s">
        <v>2045</v>
      </c>
      <c r="E435" s="46" t="s">
        <v>2056</v>
      </c>
      <c r="F435" s="46">
        <v>573134262302</v>
      </c>
      <c r="G435" s="46">
        <v>75354</v>
      </c>
      <c r="H435" s="47" t="s">
        <v>3326</v>
      </c>
      <c r="I435" s="47" t="s">
        <v>3326</v>
      </c>
      <c r="J435" s="46" t="s">
        <v>3029</v>
      </c>
      <c r="K435" s="46" t="s">
        <v>23</v>
      </c>
      <c r="L435" s="46"/>
      <c r="M435" s="46" t="s">
        <v>2782</v>
      </c>
      <c r="N435" s="51"/>
      <c r="O435" s="51"/>
    </row>
    <row r="436" spans="1:15" ht="25.5" x14ac:dyDescent="0.2">
      <c r="A436" s="52">
        <v>46002</v>
      </c>
      <c r="B436" s="48">
        <f>+MONTH(A436)</f>
        <v>12</v>
      </c>
      <c r="C436" s="48">
        <f>+WEEKNUM(A436)</f>
        <v>50</v>
      </c>
      <c r="D436" s="46" t="s">
        <v>1484</v>
      </c>
      <c r="E436" s="46" t="s">
        <v>2490</v>
      </c>
      <c r="F436" s="46">
        <v>573178245329</v>
      </c>
      <c r="G436" s="46">
        <v>75380</v>
      </c>
      <c r="H436" s="47" t="s">
        <v>3326</v>
      </c>
      <c r="I436" s="47" t="s">
        <v>3326</v>
      </c>
      <c r="J436" s="46" t="s">
        <v>3167</v>
      </c>
      <c r="K436" s="46" t="s">
        <v>23</v>
      </c>
      <c r="L436" s="46"/>
      <c r="M436" s="46" t="s">
        <v>2780</v>
      </c>
      <c r="N436" s="3"/>
      <c r="O436" s="6"/>
    </row>
    <row r="437" spans="1:15" ht="25.5" x14ac:dyDescent="0.2">
      <c r="A437" s="52">
        <v>46002</v>
      </c>
      <c r="B437" s="48">
        <f>+MONTH(A437)</f>
        <v>12</v>
      </c>
      <c r="C437" s="48">
        <f>+WEEKNUM(A437)</f>
        <v>50</v>
      </c>
      <c r="D437" s="46" t="s">
        <v>1607</v>
      </c>
      <c r="E437" s="46" t="s">
        <v>3168</v>
      </c>
      <c r="F437" s="46">
        <v>573123138808</v>
      </c>
      <c r="G437" s="46">
        <v>75186</v>
      </c>
      <c r="H437" s="47" t="s">
        <v>3326</v>
      </c>
      <c r="I437" s="47" t="s">
        <v>3326</v>
      </c>
      <c r="J437" s="46" t="s">
        <v>217</v>
      </c>
      <c r="K437" s="46" t="s">
        <v>23</v>
      </c>
      <c r="L437" s="46"/>
      <c r="M437" s="46" t="s">
        <v>3169</v>
      </c>
      <c r="N437" s="3"/>
      <c r="O437" s="6"/>
    </row>
    <row r="438" spans="1:15" ht="38.25" x14ac:dyDescent="0.2">
      <c r="A438" s="52">
        <v>46002</v>
      </c>
      <c r="B438" s="48">
        <f>+MONTH(A438)</f>
        <v>12</v>
      </c>
      <c r="C438" s="48">
        <f>+WEEKNUM(A438)</f>
        <v>50</v>
      </c>
      <c r="D438" s="46" t="s">
        <v>1994</v>
      </c>
      <c r="E438" s="46" t="s">
        <v>3170</v>
      </c>
      <c r="F438" s="46">
        <v>573157267369</v>
      </c>
      <c r="G438" s="46">
        <v>74426</v>
      </c>
      <c r="H438" s="47" t="s">
        <v>3326</v>
      </c>
      <c r="I438" s="47" t="s">
        <v>3326</v>
      </c>
      <c r="J438" s="46" t="s">
        <v>3171</v>
      </c>
      <c r="K438" s="46" t="s">
        <v>23</v>
      </c>
      <c r="L438" s="46"/>
      <c r="M438" s="46" t="s">
        <v>3172</v>
      </c>
      <c r="N438" s="3"/>
      <c r="O438" s="6"/>
    </row>
    <row r="439" spans="1:15" ht="25.5" x14ac:dyDescent="0.2">
      <c r="A439" s="52">
        <v>46002</v>
      </c>
      <c r="B439" s="48">
        <f>+MONTH(A439)</f>
        <v>12</v>
      </c>
      <c r="C439" s="48">
        <f>+WEEKNUM(A439)</f>
        <v>50</v>
      </c>
      <c r="D439" s="46" t="s">
        <v>2324</v>
      </c>
      <c r="E439" s="46" t="s">
        <v>2736</v>
      </c>
      <c r="F439" s="46">
        <v>573208872284</v>
      </c>
      <c r="G439" s="46">
        <v>75174</v>
      </c>
      <c r="H439" s="47" t="s">
        <v>3326</v>
      </c>
      <c r="I439" s="47" t="s">
        <v>3326</v>
      </c>
      <c r="J439" s="46" t="s">
        <v>3173</v>
      </c>
      <c r="K439" s="46" t="s">
        <v>23</v>
      </c>
      <c r="L439" s="46"/>
      <c r="M439" s="46" t="s">
        <v>3174</v>
      </c>
      <c r="N439" s="3"/>
      <c r="O439" s="6"/>
    </row>
    <row r="440" spans="1:15" ht="38.25" x14ac:dyDescent="0.2">
      <c r="A440" s="52">
        <v>46002</v>
      </c>
      <c r="B440" s="48">
        <f>+MONTH(A440)</f>
        <v>12</v>
      </c>
      <c r="C440" s="48">
        <f>+WEEKNUM(A440)</f>
        <v>50</v>
      </c>
      <c r="D440" s="46" t="s">
        <v>3175</v>
      </c>
      <c r="E440" s="46" t="s">
        <v>3176</v>
      </c>
      <c r="F440" s="46">
        <v>573115146747</v>
      </c>
      <c r="G440" s="46">
        <v>75015</v>
      </c>
      <c r="H440" s="47" t="s">
        <v>3326</v>
      </c>
      <c r="I440" s="47" t="s">
        <v>3326</v>
      </c>
      <c r="J440" s="46" t="s">
        <v>3177</v>
      </c>
      <c r="K440" s="46" t="s">
        <v>23</v>
      </c>
      <c r="L440" s="46"/>
      <c r="M440" s="46" t="s">
        <v>257</v>
      </c>
      <c r="N440" s="3"/>
      <c r="O440" s="6"/>
    </row>
    <row r="441" spans="1:15" ht="25.5" x14ac:dyDescent="0.2">
      <c r="A441" s="52">
        <v>46002</v>
      </c>
      <c r="B441" s="48">
        <f>+MONTH(A441)</f>
        <v>12</v>
      </c>
      <c r="C441" s="48">
        <f>+WEEKNUM(A441)</f>
        <v>50</v>
      </c>
      <c r="D441" s="46" t="s">
        <v>2713</v>
      </c>
      <c r="E441" s="46" t="s">
        <v>3178</v>
      </c>
      <c r="F441" s="46">
        <v>573124341652</v>
      </c>
      <c r="G441" s="46">
        <v>73640</v>
      </c>
      <c r="H441" s="47" t="s">
        <v>3326</v>
      </c>
      <c r="I441" s="47" t="s">
        <v>3326</v>
      </c>
      <c r="J441" s="46" t="s">
        <v>3179</v>
      </c>
      <c r="K441" s="46" t="s">
        <v>23</v>
      </c>
      <c r="L441" s="46"/>
      <c r="M441" s="46" t="s">
        <v>2782</v>
      </c>
      <c r="N441" s="3"/>
      <c r="O441" s="6"/>
    </row>
    <row r="442" spans="1:15" ht="12.75" x14ac:dyDescent="0.2">
      <c r="A442" s="52">
        <v>46002</v>
      </c>
      <c r="B442" s="48">
        <f>+MONTH(A442)</f>
        <v>12</v>
      </c>
      <c r="C442" s="48">
        <f>+WEEKNUM(A442)</f>
        <v>50</v>
      </c>
      <c r="D442" s="46" t="s">
        <v>2322</v>
      </c>
      <c r="E442" s="46" t="s">
        <v>3180</v>
      </c>
      <c r="F442" s="46">
        <v>573108097127</v>
      </c>
      <c r="G442" s="46">
        <v>75104</v>
      </c>
      <c r="H442" s="47" t="s">
        <v>3326</v>
      </c>
      <c r="I442" s="47" t="s">
        <v>3326</v>
      </c>
      <c r="J442" s="46" t="s">
        <v>64</v>
      </c>
      <c r="K442" s="46" t="s">
        <v>23</v>
      </c>
      <c r="L442" s="46"/>
      <c r="M442" s="46" t="s">
        <v>3169</v>
      </c>
      <c r="N442" s="3"/>
      <c r="O442" s="6"/>
    </row>
    <row r="443" spans="1:15" ht="38.25" x14ac:dyDescent="0.2">
      <c r="A443" s="52">
        <v>46002</v>
      </c>
      <c r="B443" s="48">
        <f>+MONTH(A443)</f>
        <v>12</v>
      </c>
      <c r="C443" s="48">
        <f>+WEEKNUM(A443)</f>
        <v>50</v>
      </c>
      <c r="D443" s="46" t="s">
        <v>3181</v>
      </c>
      <c r="E443" s="46" t="s">
        <v>3182</v>
      </c>
      <c r="F443" s="46">
        <v>573108580280</v>
      </c>
      <c r="G443" s="46">
        <v>75344</v>
      </c>
      <c r="H443" s="47" t="s">
        <v>3326</v>
      </c>
      <c r="I443" s="47" t="s">
        <v>3326</v>
      </c>
      <c r="J443" s="46" t="s">
        <v>3183</v>
      </c>
      <c r="K443" s="46" t="s">
        <v>23</v>
      </c>
      <c r="L443" s="46"/>
      <c r="M443" s="46" t="s">
        <v>2810</v>
      </c>
      <c r="N443" s="3"/>
      <c r="O443" s="6"/>
    </row>
    <row r="444" spans="1:15" ht="25.5" x14ac:dyDescent="0.2">
      <c r="A444" s="52">
        <v>46002</v>
      </c>
      <c r="B444" s="48">
        <f>+MONTH(A444)</f>
        <v>12</v>
      </c>
      <c r="C444" s="48">
        <f>+WEEKNUM(A444)</f>
        <v>50</v>
      </c>
      <c r="D444" s="46" t="s">
        <v>1408</v>
      </c>
      <c r="E444" s="46" t="s">
        <v>3184</v>
      </c>
      <c r="F444" s="46">
        <v>573204568073</v>
      </c>
      <c r="G444" s="46">
        <v>75162</v>
      </c>
      <c r="H444" s="47" t="s">
        <v>3326</v>
      </c>
      <c r="I444" s="47" t="s">
        <v>3326</v>
      </c>
      <c r="J444" s="46" t="s">
        <v>174</v>
      </c>
      <c r="K444" s="46" t="s">
        <v>23</v>
      </c>
      <c r="L444" s="46"/>
      <c r="M444" s="46" t="s">
        <v>2784</v>
      </c>
      <c r="N444" s="3"/>
      <c r="O444" s="6"/>
    </row>
    <row r="445" spans="1:15" ht="25.5" x14ac:dyDescent="0.2">
      <c r="A445" s="52">
        <v>46002</v>
      </c>
      <c r="B445" s="48">
        <f>+MONTH(A445)</f>
        <v>12</v>
      </c>
      <c r="C445" s="48">
        <f>+WEEKNUM(A445)</f>
        <v>50</v>
      </c>
      <c r="D445" s="46" t="s">
        <v>1408</v>
      </c>
      <c r="E445" s="46" t="s">
        <v>3184</v>
      </c>
      <c r="F445" s="46">
        <v>573204568073</v>
      </c>
      <c r="G445" s="46">
        <v>75162</v>
      </c>
      <c r="H445" s="47" t="s">
        <v>3326</v>
      </c>
      <c r="I445" s="47" t="s">
        <v>3325</v>
      </c>
      <c r="J445" s="46" t="s">
        <v>174</v>
      </c>
      <c r="K445" s="46" t="s">
        <v>14</v>
      </c>
      <c r="L445" s="46"/>
      <c r="M445" s="46" t="s">
        <v>2784</v>
      </c>
      <c r="N445" s="3"/>
      <c r="O445" s="6"/>
    </row>
    <row r="446" spans="1:15" ht="25.5" x14ac:dyDescent="0.2">
      <c r="A446" s="52">
        <v>46002</v>
      </c>
      <c r="B446" s="48">
        <f>+MONTH(A446)</f>
        <v>12</v>
      </c>
      <c r="C446" s="48">
        <f>+WEEKNUM(A446)</f>
        <v>50</v>
      </c>
      <c r="D446" s="46" t="s">
        <v>3185</v>
      </c>
      <c r="E446" s="46" t="s">
        <v>3186</v>
      </c>
      <c r="F446" s="46">
        <v>573027425811</v>
      </c>
      <c r="G446" s="46">
        <v>75179</v>
      </c>
      <c r="H446" s="47" t="s">
        <v>3326</v>
      </c>
      <c r="I446" s="47" t="s">
        <v>3326</v>
      </c>
      <c r="J446" s="46" t="s">
        <v>3187</v>
      </c>
      <c r="K446" s="46" t="s">
        <v>23</v>
      </c>
      <c r="L446" s="46"/>
      <c r="M446" s="46" t="s">
        <v>3188</v>
      </c>
      <c r="N446" s="3"/>
      <c r="O446" s="6"/>
    </row>
    <row r="447" spans="1:15" ht="25.5" x14ac:dyDescent="0.2">
      <c r="A447" s="52">
        <v>46002</v>
      </c>
      <c r="B447" s="48">
        <f>+MONTH(A447)</f>
        <v>12</v>
      </c>
      <c r="C447" s="48">
        <f>+WEEKNUM(A447)</f>
        <v>50</v>
      </c>
      <c r="D447" s="46" t="s">
        <v>3189</v>
      </c>
      <c r="E447" s="46" t="s">
        <v>3190</v>
      </c>
      <c r="F447" s="46">
        <v>573113696791</v>
      </c>
      <c r="G447" s="46">
        <v>74747</v>
      </c>
      <c r="H447" s="47" t="s">
        <v>3326</v>
      </c>
      <c r="I447" s="47" t="s">
        <v>3326</v>
      </c>
      <c r="J447" s="46" t="s">
        <v>3191</v>
      </c>
      <c r="K447" s="46" t="s">
        <v>23</v>
      </c>
      <c r="L447" s="46"/>
      <c r="M447" s="46" t="s">
        <v>2780</v>
      </c>
      <c r="N447" s="3"/>
      <c r="O447" s="6"/>
    </row>
    <row r="448" spans="1:15" ht="25.5" x14ac:dyDescent="0.2">
      <c r="A448" s="52">
        <v>46001</v>
      </c>
      <c r="B448" s="48">
        <f>+MONTH(A448)</f>
        <v>12</v>
      </c>
      <c r="C448" s="48">
        <f>+WEEKNUM(A448)</f>
        <v>50</v>
      </c>
      <c r="D448" s="46" t="s">
        <v>3192</v>
      </c>
      <c r="E448" s="46" t="s">
        <v>3193</v>
      </c>
      <c r="F448" s="46">
        <v>573015067883</v>
      </c>
      <c r="G448" s="46">
        <v>75195</v>
      </c>
      <c r="H448" s="47" t="s">
        <v>3326</v>
      </c>
      <c r="I448" s="47" t="s">
        <v>3326</v>
      </c>
      <c r="J448" s="46" t="s">
        <v>3194</v>
      </c>
      <c r="K448" s="46" t="s">
        <v>23</v>
      </c>
      <c r="L448" s="46"/>
      <c r="M448" s="46" t="s">
        <v>2821</v>
      </c>
      <c r="N448" s="3"/>
      <c r="O448" s="6"/>
    </row>
    <row r="449" spans="1:15" ht="25.5" x14ac:dyDescent="0.2">
      <c r="A449" s="52">
        <v>46001</v>
      </c>
      <c r="B449" s="48">
        <f>+MONTH(A449)</f>
        <v>12</v>
      </c>
      <c r="C449" s="48">
        <f>+WEEKNUM(A449)</f>
        <v>50</v>
      </c>
      <c r="D449" s="46" t="s">
        <v>3195</v>
      </c>
      <c r="E449" s="46" t="s">
        <v>3196</v>
      </c>
      <c r="F449" s="46">
        <v>573166942049</v>
      </c>
      <c r="G449" s="46">
        <v>75180</v>
      </c>
      <c r="H449" s="47" t="s">
        <v>3326</v>
      </c>
      <c r="I449" s="47" t="s">
        <v>3326</v>
      </c>
      <c r="J449" s="46" t="s">
        <v>3197</v>
      </c>
      <c r="K449" s="46" t="s">
        <v>23</v>
      </c>
      <c r="L449" s="46"/>
      <c r="M449" s="46" t="s">
        <v>2822</v>
      </c>
      <c r="N449" s="3"/>
      <c r="O449" s="6"/>
    </row>
    <row r="450" spans="1:15" ht="25.5" x14ac:dyDescent="0.2">
      <c r="A450" s="52">
        <v>46001</v>
      </c>
      <c r="B450" s="48">
        <f>+MONTH(A450)</f>
        <v>12</v>
      </c>
      <c r="C450" s="48">
        <f>+WEEKNUM(A450)</f>
        <v>50</v>
      </c>
      <c r="D450" s="46" t="s">
        <v>3198</v>
      </c>
      <c r="E450" s="46" t="s">
        <v>3199</v>
      </c>
      <c r="F450" s="46">
        <v>573208737637</v>
      </c>
      <c r="G450" s="46">
        <v>73868</v>
      </c>
      <c r="H450" s="47" t="s">
        <v>22</v>
      </c>
      <c r="I450" s="47" t="s">
        <v>3326</v>
      </c>
      <c r="J450" s="46" t="s">
        <v>3200</v>
      </c>
      <c r="K450" s="46"/>
      <c r="L450" s="46" t="s">
        <v>3201</v>
      </c>
      <c r="M450" s="46" t="s">
        <v>3202</v>
      </c>
      <c r="N450" s="3"/>
      <c r="O450" s="6"/>
    </row>
    <row r="451" spans="1:15" ht="12.75" x14ac:dyDescent="0.2">
      <c r="A451" s="52">
        <v>46001</v>
      </c>
      <c r="B451" s="48">
        <f>+MONTH(A451)</f>
        <v>12</v>
      </c>
      <c r="C451" s="48">
        <f>+WEEKNUM(A451)</f>
        <v>50</v>
      </c>
      <c r="D451" s="46" t="s">
        <v>3203</v>
      </c>
      <c r="E451" s="46" t="s">
        <v>3204</v>
      </c>
      <c r="F451" s="46">
        <v>573222550324</v>
      </c>
      <c r="G451" s="46">
        <v>74894</v>
      </c>
      <c r="H451" s="47" t="s">
        <v>3326</v>
      </c>
      <c r="I451" s="47" t="s">
        <v>3326</v>
      </c>
      <c r="J451" s="46" t="s">
        <v>3205</v>
      </c>
      <c r="K451" s="46" t="s">
        <v>23</v>
      </c>
      <c r="L451" s="46"/>
      <c r="M451" s="46" t="s">
        <v>2780</v>
      </c>
      <c r="N451" s="3"/>
      <c r="O451" s="6"/>
    </row>
    <row r="452" spans="1:15" ht="25.5" x14ac:dyDescent="0.2">
      <c r="A452" s="52">
        <v>46001</v>
      </c>
      <c r="B452" s="48">
        <f>+MONTH(A452)</f>
        <v>12</v>
      </c>
      <c r="C452" s="48">
        <f>+WEEKNUM(A452)</f>
        <v>50</v>
      </c>
      <c r="D452" s="46" t="s">
        <v>1939</v>
      </c>
      <c r="E452" s="46" t="s">
        <v>3206</v>
      </c>
      <c r="F452" s="46">
        <v>573162838965</v>
      </c>
      <c r="G452" s="46">
        <v>75088</v>
      </c>
      <c r="H452" s="47" t="s">
        <v>3326</v>
      </c>
      <c r="I452" s="47" t="s">
        <v>3326</v>
      </c>
      <c r="J452" s="46" t="s">
        <v>3207</v>
      </c>
      <c r="K452" s="46" t="s">
        <v>23</v>
      </c>
      <c r="L452" s="46"/>
      <c r="M452" s="46" t="s">
        <v>2810</v>
      </c>
      <c r="N452" s="3"/>
      <c r="O452" s="6"/>
    </row>
    <row r="453" spans="1:15" ht="25.5" x14ac:dyDescent="0.2">
      <c r="A453" s="52">
        <v>46001</v>
      </c>
      <c r="B453" s="48">
        <f>+MONTH(A453)</f>
        <v>12</v>
      </c>
      <c r="C453" s="48">
        <f>+WEEKNUM(A453)</f>
        <v>50</v>
      </c>
      <c r="D453" s="46" t="s">
        <v>2723</v>
      </c>
      <c r="E453" s="46" t="s">
        <v>3208</v>
      </c>
      <c r="F453" s="46">
        <v>573153372736</v>
      </c>
      <c r="G453" s="46">
        <v>75156</v>
      </c>
      <c r="H453" s="47" t="s">
        <v>3326</v>
      </c>
      <c r="I453" s="47" t="s">
        <v>3326</v>
      </c>
      <c r="J453" s="46"/>
      <c r="K453" s="46" t="s">
        <v>23</v>
      </c>
      <c r="L453" s="46"/>
      <c r="M453" s="46" t="s">
        <v>257</v>
      </c>
      <c r="N453" s="3"/>
      <c r="O453" s="6"/>
    </row>
    <row r="454" spans="1:15" ht="25.5" x14ac:dyDescent="0.2">
      <c r="A454" s="52">
        <v>46001</v>
      </c>
      <c r="B454" s="48">
        <f>+MONTH(A454)</f>
        <v>12</v>
      </c>
      <c r="C454" s="48">
        <f>+WEEKNUM(A454)</f>
        <v>50</v>
      </c>
      <c r="D454" s="46" t="s">
        <v>3209</v>
      </c>
      <c r="E454" s="46" t="s">
        <v>3210</v>
      </c>
      <c r="F454" s="46">
        <v>573213851114</v>
      </c>
      <c r="G454" s="46">
        <v>74905</v>
      </c>
      <c r="H454" s="47" t="s">
        <v>3326</v>
      </c>
      <c r="I454" s="47" t="s">
        <v>3326</v>
      </c>
      <c r="J454" s="46" t="s">
        <v>3211</v>
      </c>
      <c r="K454" s="46" t="s">
        <v>23</v>
      </c>
      <c r="L454" s="46"/>
      <c r="M454" s="46" t="s">
        <v>3212</v>
      </c>
      <c r="N454" s="3"/>
      <c r="O454" s="6"/>
    </row>
    <row r="455" spans="1:15" ht="25.5" x14ac:dyDescent="0.2">
      <c r="A455" s="52">
        <v>46001</v>
      </c>
      <c r="B455" s="48">
        <f>+MONTH(A455)</f>
        <v>12</v>
      </c>
      <c r="C455" s="48">
        <f>+WEEKNUM(A455)</f>
        <v>50</v>
      </c>
      <c r="D455" s="46" t="s">
        <v>2086</v>
      </c>
      <c r="E455" s="46" t="s">
        <v>3213</v>
      </c>
      <c r="F455" s="46">
        <v>573052540046</v>
      </c>
      <c r="G455" s="46">
        <v>74992</v>
      </c>
      <c r="H455" s="47" t="s">
        <v>3326</v>
      </c>
      <c r="I455" s="47" t="s">
        <v>3326</v>
      </c>
      <c r="J455" s="46" t="s">
        <v>2802</v>
      </c>
      <c r="K455" s="46" t="s">
        <v>23</v>
      </c>
      <c r="L455" s="46"/>
      <c r="M455" s="46" t="s">
        <v>3128</v>
      </c>
      <c r="N455" s="3"/>
      <c r="O455" s="6"/>
    </row>
    <row r="456" spans="1:15" ht="25.5" x14ac:dyDescent="0.2">
      <c r="A456" s="52">
        <v>46001</v>
      </c>
      <c r="B456" s="48">
        <f>+MONTH(A456)</f>
        <v>12</v>
      </c>
      <c r="C456" s="48">
        <f>+WEEKNUM(A456)</f>
        <v>50</v>
      </c>
      <c r="D456" s="46" t="s">
        <v>3214</v>
      </c>
      <c r="E456" s="46" t="s">
        <v>3215</v>
      </c>
      <c r="F456" s="46">
        <v>573508337349</v>
      </c>
      <c r="G456" s="46">
        <v>74094</v>
      </c>
      <c r="H456" s="47" t="s">
        <v>3326</v>
      </c>
      <c r="I456" s="47" t="s">
        <v>3326</v>
      </c>
      <c r="J456" s="46" t="s">
        <v>3216</v>
      </c>
      <c r="K456" s="46" t="s">
        <v>23</v>
      </c>
      <c r="L456" s="46"/>
      <c r="M456" s="46" t="s">
        <v>2780</v>
      </c>
      <c r="N456" s="3"/>
      <c r="O456" s="6"/>
    </row>
    <row r="457" spans="1:15" ht="25.5" x14ac:dyDescent="0.2">
      <c r="A457" s="52">
        <v>46001</v>
      </c>
      <c r="B457" s="48">
        <f>+MONTH(A457)</f>
        <v>12</v>
      </c>
      <c r="C457" s="48">
        <f>+WEEKNUM(A457)</f>
        <v>50</v>
      </c>
      <c r="D457" s="53" t="s">
        <v>3217</v>
      </c>
      <c r="E457" s="53" t="s">
        <v>3218</v>
      </c>
      <c r="F457" s="53">
        <v>573136459888</v>
      </c>
      <c r="G457" s="53">
        <v>74046</v>
      </c>
      <c r="H457" s="54" t="s">
        <v>3326</v>
      </c>
      <c r="I457" s="54" t="s">
        <v>22</v>
      </c>
      <c r="J457" s="53" t="s">
        <v>3219</v>
      </c>
      <c r="K457" s="46"/>
      <c r="L457" s="46"/>
      <c r="M457" s="46" t="s">
        <v>2788</v>
      </c>
      <c r="N457" s="3"/>
      <c r="O457" s="6"/>
    </row>
    <row r="458" spans="1:15" ht="38.25" x14ac:dyDescent="0.2">
      <c r="A458" s="52">
        <v>46001</v>
      </c>
      <c r="B458" s="48">
        <f>+MONTH(A458)</f>
        <v>12</v>
      </c>
      <c r="C458" s="48">
        <f>+WEEKNUM(A458)</f>
        <v>50</v>
      </c>
      <c r="D458" s="53" t="s">
        <v>2214</v>
      </c>
      <c r="E458" s="53" t="s">
        <v>3220</v>
      </c>
      <c r="F458" s="53">
        <v>573105604671</v>
      </c>
      <c r="G458" s="53">
        <v>73396</v>
      </c>
      <c r="H458" s="54" t="s">
        <v>3326</v>
      </c>
      <c r="I458" s="54" t="s">
        <v>3326</v>
      </c>
      <c r="J458" s="53" t="s">
        <v>3221</v>
      </c>
      <c r="K458" s="46" t="s">
        <v>23</v>
      </c>
      <c r="L458" s="46"/>
      <c r="M458" s="46" t="s">
        <v>2780</v>
      </c>
      <c r="N458" s="3"/>
      <c r="O458" s="6"/>
    </row>
    <row r="459" spans="1:15" ht="102" x14ac:dyDescent="0.2">
      <c r="A459" s="52">
        <v>46000</v>
      </c>
      <c r="B459" s="48">
        <f>+MONTH(A459)</f>
        <v>12</v>
      </c>
      <c r="C459" s="48">
        <f>+WEEKNUM(A459)</f>
        <v>50</v>
      </c>
      <c r="D459" s="46" t="s">
        <v>1758</v>
      </c>
      <c r="E459" s="46" t="s">
        <v>1759</v>
      </c>
      <c r="F459" s="46">
        <v>573025448493</v>
      </c>
      <c r="G459" s="46">
        <v>75061</v>
      </c>
      <c r="H459" s="47" t="s">
        <v>3326</v>
      </c>
      <c r="I459" s="47" t="s">
        <v>3325</v>
      </c>
      <c r="J459" s="46" t="s">
        <v>3222</v>
      </c>
      <c r="K459" s="46" t="s">
        <v>23</v>
      </c>
      <c r="L459" s="46" t="s">
        <v>3223</v>
      </c>
      <c r="M459" s="46" t="s">
        <v>2780</v>
      </c>
      <c r="N459" s="3"/>
      <c r="O459" s="6"/>
    </row>
    <row r="460" spans="1:15" ht="76.5" x14ac:dyDescent="0.2">
      <c r="A460" s="52">
        <v>46000</v>
      </c>
      <c r="B460" s="48">
        <f>+MONTH(A460)</f>
        <v>12</v>
      </c>
      <c r="C460" s="48">
        <f>+WEEKNUM(A460)</f>
        <v>50</v>
      </c>
      <c r="D460" s="46" t="s">
        <v>3224</v>
      </c>
      <c r="E460" s="46" t="s">
        <v>3225</v>
      </c>
      <c r="F460" s="46">
        <v>573166947859</v>
      </c>
      <c r="G460" s="46">
        <v>74971</v>
      </c>
      <c r="H460" s="47" t="s">
        <v>22</v>
      </c>
      <c r="I460" s="47" t="s">
        <v>3326</v>
      </c>
      <c r="J460" s="46" t="s">
        <v>3226</v>
      </c>
      <c r="K460" s="46"/>
      <c r="L460" s="46"/>
      <c r="M460" s="46">
        <v>45</v>
      </c>
      <c r="N460" s="3"/>
      <c r="O460" s="6"/>
    </row>
    <row r="461" spans="1:15" ht="25.5" x14ac:dyDescent="0.2">
      <c r="A461" s="52">
        <v>46000</v>
      </c>
      <c r="B461" s="48">
        <f>+MONTH(A461)</f>
        <v>12</v>
      </c>
      <c r="C461" s="48">
        <f>+WEEKNUM(A461)</f>
        <v>50</v>
      </c>
      <c r="D461" s="46" t="s">
        <v>3227</v>
      </c>
      <c r="E461" s="46" t="s">
        <v>3228</v>
      </c>
      <c r="F461" s="46">
        <v>573213774628</v>
      </c>
      <c r="G461" s="46">
        <v>75005</v>
      </c>
      <c r="H461" s="47" t="s">
        <v>3326</v>
      </c>
      <c r="I461" s="47" t="s">
        <v>3326</v>
      </c>
      <c r="J461" s="46"/>
      <c r="K461" s="46" t="s">
        <v>23</v>
      </c>
      <c r="L461" s="46"/>
      <c r="M461" s="46" t="s">
        <v>2780</v>
      </c>
      <c r="N461" s="3"/>
      <c r="O461" s="6"/>
    </row>
    <row r="462" spans="1:15" ht="12.75" x14ac:dyDescent="0.2">
      <c r="A462" s="52">
        <v>46000</v>
      </c>
      <c r="B462" s="48">
        <f>+MONTH(A462)</f>
        <v>12</v>
      </c>
      <c r="C462" s="48">
        <f>+WEEKNUM(A462)</f>
        <v>50</v>
      </c>
      <c r="D462" s="46" t="s">
        <v>2824</v>
      </c>
      <c r="E462" s="46" t="s">
        <v>3229</v>
      </c>
      <c r="F462" s="46">
        <v>573012515681</v>
      </c>
      <c r="G462" s="46">
        <v>75187</v>
      </c>
      <c r="H462" s="47" t="s">
        <v>3326</v>
      </c>
      <c r="I462" s="47" t="s">
        <v>3326</v>
      </c>
      <c r="J462" s="46" t="s">
        <v>3230</v>
      </c>
      <c r="K462" s="46" t="s">
        <v>23</v>
      </c>
      <c r="L462" s="46"/>
      <c r="M462" s="46" t="s">
        <v>2822</v>
      </c>
      <c r="N462" s="3"/>
      <c r="O462" s="6"/>
    </row>
    <row r="463" spans="1:15" ht="25.5" x14ac:dyDescent="0.2">
      <c r="A463" s="52">
        <v>46000</v>
      </c>
      <c r="B463" s="48">
        <f>+MONTH(A463)</f>
        <v>12</v>
      </c>
      <c r="C463" s="48">
        <f>+WEEKNUM(A463)</f>
        <v>50</v>
      </c>
      <c r="D463" s="46" t="s">
        <v>2748</v>
      </c>
      <c r="E463" s="46" t="s">
        <v>2755</v>
      </c>
      <c r="F463" s="46">
        <v>573058129599</v>
      </c>
      <c r="G463" s="46">
        <v>75123</v>
      </c>
      <c r="H463" s="47" t="s">
        <v>3326</v>
      </c>
      <c r="I463" s="47" t="s">
        <v>3326</v>
      </c>
      <c r="J463" s="46"/>
      <c r="K463" s="46" t="s">
        <v>23</v>
      </c>
      <c r="L463" s="46"/>
      <c r="M463" s="46" t="s">
        <v>257</v>
      </c>
      <c r="N463" s="3"/>
      <c r="O463" s="6"/>
    </row>
    <row r="464" spans="1:15" ht="25.5" x14ac:dyDescent="0.2">
      <c r="A464" s="52">
        <v>46000</v>
      </c>
      <c r="B464" s="48">
        <f>+MONTH(A464)</f>
        <v>12</v>
      </c>
      <c r="C464" s="48">
        <f>+WEEKNUM(A464)</f>
        <v>50</v>
      </c>
      <c r="D464" s="46" t="s">
        <v>3231</v>
      </c>
      <c r="E464" s="46" t="s">
        <v>3232</v>
      </c>
      <c r="F464" s="46">
        <v>573203488678</v>
      </c>
      <c r="G464" s="46">
        <v>74887</v>
      </c>
      <c r="H464" s="47" t="s">
        <v>3326</v>
      </c>
      <c r="I464" s="47" t="s">
        <v>3326</v>
      </c>
      <c r="J464" s="46" t="s">
        <v>3233</v>
      </c>
      <c r="K464" s="46" t="s">
        <v>23</v>
      </c>
      <c r="L464" s="46"/>
      <c r="M464" s="46" t="s">
        <v>2782</v>
      </c>
      <c r="N464" s="3"/>
      <c r="O464" s="6"/>
    </row>
    <row r="465" spans="1:15" ht="38.25" x14ac:dyDescent="0.2">
      <c r="A465" s="52">
        <v>46000</v>
      </c>
      <c r="B465" s="48">
        <f>+MONTH(A465)</f>
        <v>12</v>
      </c>
      <c r="C465" s="48">
        <f>+WEEKNUM(A465)</f>
        <v>50</v>
      </c>
      <c r="D465" s="46" t="s">
        <v>2705</v>
      </c>
      <c r="E465" s="46" t="s">
        <v>3094</v>
      </c>
      <c r="F465" s="46">
        <v>573228549831</v>
      </c>
      <c r="G465" s="46">
        <v>74348</v>
      </c>
      <c r="H465" s="47" t="s">
        <v>3325</v>
      </c>
      <c r="I465" s="47" t="s">
        <v>3325</v>
      </c>
      <c r="J465" s="46" t="s">
        <v>3093</v>
      </c>
      <c r="K465" s="46"/>
      <c r="L465" s="46"/>
      <c r="M465" s="46" t="s">
        <v>2782</v>
      </c>
      <c r="N465" s="3"/>
      <c r="O465" s="6"/>
    </row>
    <row r="466" spans="1:15" ht="25.5" x14ac:dyDescent="0.2">
      <c r="A466" s="52">
        <v>46000</v>
      </c>
      <c r="B466" s="48">
        <f>+MONTH(A466)</f>
        <v>12</v>
      </c>
      <c r="C466" s="48">
        <f>+WEEKNUM(A466)</f>
        <v>50</v>
      </c>
      <c r="D466" s="46" t="s">
        <v>3234</v>
      </c>
      <c r="E466" s="46" t="s">
        <v>3235</v>
      </c>
      <c r="F466" s="46">
        <v>573209249120</v>
      </c>
      <c r="G466" s="46">
        <v>75065</v>
      </c>
      <c r="H466" s="47" t="s">
        <v>3326</v>
      </c>
      <c r="I466" s="47" t="s">
        <v>3326</v>
      </c>
      <c r="J466" s="46" t="s">
        <v>3236</v>
      </c>
      <c r="K466" s="46" t="s">
        <v>23</v>
      </c>
      <c r="L466" s="46"/>
      <c r="M466" s="46" t="s">
        <v>2780</v>
      </c>
      <c r="N466" s="3"/>
      <c r="O466" s="6"/>
    </row>
    <row r="467" spans="1:15" ht="63.75" x14ac:dyDescent="0.2">
      <c r="A467" s="52">
        <v>46000</v>
      </c>
      <c r="B467" s="48">
        <f>+MONTH(A467)</f>
        <v>12</v>
      </c>
      <c r="C467" s="48">
        <f>+WEEKNUM(A467)</f>
        <v>50</v>
      </c>
      <c r="D467" s="46" t="s">
        <v>3237</v>
      </c>
      <c r="E467" s="46" t="s">
        <v>3238</v>
      </c>
      <c r="F467" s="46">
        <v>573115367422</v>
      </c>
      <c r="G467" s="46">
        <v>75117</v>
      </c>
      <c r="H467" s="47" t="s">
        <v>3326</v>
      </c>
      <c r="I467" s="47" t="s">
        <v>3326</v>
      </c>
      <c r="J467" s="46" t="s">
        <v>3239</v>
      </c>
      <c r="K467" s="46" t="s">
        <v>23</v>
      </c>
      <c r="L467" s="46"/>
      <c r="M467" s="46" t="s">
        <v>2875</v>
      </c>
      <c r="N467" s="3"/>
      <c r="O467" s="6"/>
    </row>
    <row r="468" spans="1:15" ht="12.75" x14ac:dyDescent="0.2">
      <c r="A468" s="52">
        <v>46000</v>
      </c>
      <c r="B468" s="48">
        <f>+MONTH(A468)</f>
        <v>12</v>
      </c>
      <c r="C468" s="48">
        <f>+WEEKNUM(A468)</f>
        <v>50</v>
      </c>
      <c r="D468" s="46" t="s">
        <v>3240</v>
      </c>
      <c r="E468" s="46" t="s">
        <v>3241</v>
      </c>
      <c r="F468" s="46">
        <v>573202314898</v>
      </c>
      <c r="G468" s="46">
        <v>75140</v>
      </c>
      <c r="H468" s="47" t="s">
        <v>3326</v>
      </c>
      <c r="I468" s="47" t="s">
        <v>3326</v>
      </c>
      <c r="J468" s="46" t="s">
        <v>3242</v>
      </c>
      <c r="K468" s="46" t="s">
        <v>23</v>
      </c>
      <c r="L468" s="46"/>
      <c r="M468" s="46" t="s">
        <v>3243</v>
      </c>
      <c r="N468" s="3"/>
      <c r="O468" s="6"/>
    </row>
    <row r="469" spans="1:15" ht="25.5" x14ac:dyDescent="0.2">
      <c r="A469" s="52">
        <v>46000</v>
      </c>
      <c r="B469" s="48">
        <f>+MONTH(A469)</f>
        <v>12</v>
      </c>
      <c r="C469" s="48">
        <f>+WEEKNUM(A469)</f>
        <v>50</v>
      </c>
      <c r="D469" s="46" t="s">
        <v>3244</v>
      </c>
      <c r="E469" s="46" t="s">
        <v>3245</v>
      </c>
      <c r="F469" s="46">
        <v>573112794157</v>
      </c>
      <c r="G469" s="46">
        <v>74699</v>
      </c>
      <c r="H469" s="47" t="s">
        <v>3326</v>
      </c>
      <c r="I469" s="47" t="s">
        <v>3326</v>
      </c>
      <c r="J469" s="46" t="s">
        <v>3246</v>
      </c>
      <c r="K469" s="46" t="s">
        <v>23</v>
      </c>
      <c r="L469" s="46"/>
      <c r="M469" s="46" t="s">
        <v>3247</v>
      </c>
      <c r="N469" s="3"/>
      <c r="O469" s="6"/>
    </row>
    <row r="470" spans="1:15" ht="38.25" x14ac:dyDescent="0.2">
      <c r="A470" s="52">
        <v>46000</v>
      </c>
      <c r="B470" s="48">
        <f>+MONTH(A470)</f>
        <v>12</v>
      </c>
      <c r="C470" s="48">
        <f>+WEEKNUM(A470)</f>
        <v>50</v>
      </c>
      <c r="D470" s="46" t="s">
        <v>2615</v>
      </c>
      <c r="E470" s="46" t="s">
        <v>3248</v>
      </c>
      <c r="F470" s="46">
        <v>573013374762</v>
      </c>
      <c r="G470" s="46">
        <v>74543</v>
      </c>
      <c r="H470" s="47" t="s">
        <v>22</v>
      </c>
      <c r="I470" s="47" t="s">
        <v>22</v>
      </c>
      <c r="J470" s="46" t="s">
        <v>3249</v>
      </c>
      <c r="K470" s="46"/>
      <c r="L470" s="46"/>
      <c r="M470" s="46" t="s">
        <v>3250</v>
      </c>
      <c r="N470" s="3"/>
      <c r="O470" s="6"/>
    </row>
    <row r="471" spans="1:15" ht="51" x14ac:dyDescent="0.2">
      <c r="A471" s="52">
        <v>46000</v>
      </c>
      <c r="B471" s="48">
        <f>+MONTH(A471)</f>
        <v>12</v>
      </c>
      <c r="C471" s="48">
        <f>+WEEKNUM(A471)</f>
        <v>50</v>
      </c>
      <c r="D471" s="46" t="s">
        <v>3251</v>
      </c>
      <c r="E471" s="46" t="s">
        <v>2757</v>
      </c>
      <c r="F471" s="46">
        <v>573107691298</v>
      </c>
      <c r="G471" s="46">
        <v>74734</v>
      </c>
      <c r="H471" s="47" t="s">
        <v>3326</v>
      </c>
      <c r="I471" s="47" t="s">
        <v>3326</v>
      </c>
      <c r="J471" s="46" t="s">
        <v>3252</v>
      </c>
      <c r="K471" s="46" t="s">
        <v>23</v>
      </c>
      <c r="L471" s="46"/>
      <c r="M471" s="46" t="s">
        <v>2784</v>
      </c>
      <c r="N471" s="3"/>
      <c r="O471" s="6"/>
    </row>
    <row r="472" spans="1:15" ht="25.5" x14ac:dyDescent="0.2">
      <c r="A472" s="52">
        <v>45997</v>
      </c>
      <c r="B472" s="48">
        <f>+MONTH(A472)</f>
        <v>12</v>
      </c>
      <c r="C472" s="48">
        <f>+WEEKNUM(A472)</f>
        <v>49</v>
      </c>
      <c r="D472" s="46" t="s">
        <v>3253</v>
      </c>
      <c r="E472" s="46" t="s">
        <v>3254</v>
      </c>
      <c r="F472" s="46">
        <v>573242710061</v>
      </c>
      <c r="G472" s="46">
        <v>74367</v>
      </c>
      <c r="H472" s="47" t="s">
        <v>3325</v>
      </c>
      <c r="I472" s="47" t="s">
        <v>3325</v>
      </c>
      <c r="J472" s="46" t="s">
        <v>3255</v>
      </c>
      <c r="K472" s="46"/>
      <c r="L472" s="46"/>
      <c r="M472" s="46" t="s">
        <v>2784</v>
      </c>
      <c r="N472" s="3"/>
      <c r="O472" s="6"/>
    </row>
    <row r="473" spans="1:15" ht="25.5" x14ac:dyDescent="0.2">
      <c r="A473" s="52">
        <v>45997</v>
      </c>
      <c r="B473" s="48">
        <f>+MONTH(A473)</f>
        <v>12</v>
      </c>
      <c r="C473" s="48">
        <f>+WEEKNUM(A473)</f>
        <v>49</v>
      </c>
      <c r="D473" s="46" t="s">
        <v>3256</v>
      </c>
      <c r="E473" s="46" t="s">
        <v>3257</v>
      </c>
      <c r="F473" s="46">
        <v>573012180190</v>
      </c>
      <c r="G473" s="46">
        <v>74817</v>
      </c>
      <c r="H473" s="47" t="s">
        <v>3326</v>
      </c>
      <c r="I473" s="47" t="s">
        <v>3326</v>
      </c>
      <c r="J473" s="46"/>
      <c r="K473" s="46" t="s">
        <v>23</v>
      </c>
      <c r="L473" s="46"/>
      <c r="M473" s="46" t="s">
        <v>2780</v>
      </c>
      <c r="N473" s="3"/>
      <c r="O473" s="6"/>
    </row>
    <row r="474" spans="1:15" ht="25.5" x14ac:dyDescent="0.2">
      <c r="A474" s="52">
        <v>45997</v>
      </c>
      <c r="B474" s="48">
        <f>+MONTH(A474)</f>
        <v>12</v>
      </c>
      <c r="C474" s="48">
        <f>+WEEKNUM(A474)</f>
        <v>49</v>
      </c>
      <c r="D474" s="46" t="s">
        <v>3256</v>
      </c>
      <c r="E474" s="46" t="s">
        <v>3257</v>
      </c>
      <c r="F474" s="46">
        <v>573012180190</v>
      </c>
      <c r="G474" s="46">
        <v>74817</v>
      </c>
      <c r="H474" s="47" t="s">
        <v>3326</v>
      </c>
      <c r="I474" s="47" t="s">
        <v>3326</v>
      </c>
      <c r="J474" s="46" t="s">
        <v>3258</v>
      </c>
      <c r="K474" s="46" t="s">
        <v>23</v>
      </c>
      <c r="L474" s="46"/>
      <c r="M474" s="46" t="s">
        <v>2780</v>
      </c>
      <c r="N474" s="3"/>
      <c r="O474" s="6"/>
    </row>
    <row r="475" spans="1:15" ht="12.75" x14ac:dyDescent="0.2">
      <c r="A475" s="52">
        <v>45997</v>
      </c>
      <c r="B475" s="48">
        <f>+MONTH(A475)</f>
        <v>12</v>
      </c>
      <c r="C475" s="48">
        <f>+WEEKNUM(A475)</f>
        <v>49</v>
      </c>
      <c r="D475" s="46" t="s">
        <v>3259</v>
      </c>
      <c r="E475" s="46" t="s">
        <v>2073</v>
      </c>
      <c r="F475" s="46">
        <v>573133685611</v>
      </c>
      <c r="G475" s="46">
        <v>72613</v>
      </c>
      <c r="H475" s="47" t="s">
        <v>3326</v>
      </c>
      <c r="I475" s="47" t="s">
        <v>3326</v>
      </c>
      <c r="J475" s="46" t="s">
        <v>3260</v>
      </c>
      <c r="K475" s="46" t="s">
        <v>23</v>
      </c>
      <c r="L475" s="46"/>
      <c r="M475" s="46" t="s">
        <v>2822</v>
      </c>
      <c r="N475" s="3"/>
      <c r="O475" s="6"/>
    </row>
    <row r="476" spans="1:15" ht="25.5" x14ac:dyDescent="0.2">
      <c r="A476" s="52">
        <v>45997</v>
      </c>
      <c r="B476" s="48">
        <f>+MONTH(A476)</f>
        <v>12</v>
      </c>
      <c r="C476" s="48">
        <f>+WEEKNUM(A476)</f>
        <v>49</v>
      </c>
      <c r="D476" s="46" t="s">
        <v>1760</v>
      </c>
      <c r="E476" s="46" t="s">
        <v>2511</v>
      </c>
      <c r="F476" s="46">
        <v>573124820685</v>
      </c>
      <c r="G476" s="46">
        <v>75048</v>
      </c>
      <c r="H476" s="47" t="s">
        <v>3326</v>
      </c>
      <c r="I476" s="47" t="s">
        <v>3326</v>
      </c>
      <c r="J476" s="46" t="s">
        <v>3261</v>
      </c>
      <c r="K476" s="46" t="s">
        <v>23</v>
      </c>
      <c r="L476" s="46"/>
      <c r="M476" s="46" t="s">
        <v>3262</v>
      </c>
      <c r="N476" s="3"/>
      <c r="O476" s="6"/>
    </row>
    <row r="477" spans="1:15" ht="38.25" x14ac:dyDescent="0.2">
      <c r="A477" s="52">
        <v>45997</v>
      </c>
      <c r="B477" s="48">
        <f>+MONTH(A477)</f>
        <v>12</v>
      </c>
      <c r="C477" s="48">
        <f>+WEEKNUM(A477)</f>
        <v>49</v>
      </c>
      <c r="D477" s="46" t="s">
        <v>2748</v>
      </c>
      <c r="E477" s="46" t="s">
        <v>3263</v>
      </c>
      <c r="F477" s="46">
        <v>573159942700</v>
      </c>
      <c r="G477" s="46">
        <v>74849</v>
      </c>
      <c r="H477" s="47" t="s">
        <v>3326</v>
      </c>
      <c r="I477" s="47" t="s">
        <v>3326</v>
      </c>
      <c r="J477" s="46" t="s">
        <v>3264</v>
      </c>
      <c r="K477" s="46" t="s">
        <v>23</v>
      </c>
      <c r="L477" s="46"/>
      <c r="M477" s="46" t="s">
        <v>3265</v>
      </c>
      <c r="N477" s="3"/>
      <c r="O477" s="6"/>
    </row>
    <row r="478" spans="1:15" ht="25.5" x14ac:dyDescent="0.2">
      <c r="A478" s="52">
        <v>45997</v>
      </c>
      <c r="B478" s="48">
        <f>+MONTH(A478)</f>
        <v>12</v>
      </c>
      <c r="C478" s="48">
        <f>+WEEKNUM(A478)</f>
        <v>49</v>
      </c>
      <c r="D478" s="46" t="s">
        <v>2275</v>
      </c>
      <c r="E478" s="46" t="s">
        <v>2756</v>
      </c>
      <c r="F478" s="46">
        <v>573007278248</v>
      </c>
      <c r="G478" s="46">
        <v>74902</v>
      </c>
      <c r="H478" s="47" t="s">
        <v>3326</v>
      </c>
      <c r="I478" s="47" t="s">
        <v>3326</v>
      </c>
      <c r="J478" s="46" t="s">
        <v>3266</v>
      </c>
      <c r="K478" s="46" t="s">
        <v>23</v>
      </c>
      <c r="L478" s="46"/>
      <c r="M478" s="46" t="s">
        <v>3247</v>
      </c>
      <c r="N478" s="3"/>
      <c r="O478" s="6"/>
    </row>
    <row r="479" spans="1:15" ht="38.25" x14ac:dyDescent="0.2">
      <c r="A479" s="52">
        <v>45997</v>
      </c>
      <c r="B479" s="48">
        <f>+MONTH(A479)</f>
        <v>12</v>
      </c>
      <c r="C479" s="48">
        <f>+WEEKNUM(A479)</f>
        <v>49</v>
      </c>
      <c r="D479" s="46" t="s">
        <v>2262</v>
      </c>
      <c r="E479" s="46" t="s">
        <v>3267</v>
      </c>
      <c r="F479" s="46">
        <v>573103104243</v>
      </c>
      <c r="G479" s="46">
        <v>73864</v>
      </c>
      <c r="H479" s="47" t="s">
        <v>3326</v>
      </c>
      <c r="I479" s="47" t="s">
        <v>3326</v>
      </c>
      <c r="J479" s="46" t="s">
        <v>3268</v>
      </c>
      <c r="K479" s="46" t="s">
        <v>23</v>
      </c>
      <c r="L479" s="46"/>
      <c r="M479" s="46" t="s">
        <v>3269</v>
      </c>
      <c r="N479" s="3"/>
      <c r="O479" s="6"/>
    </row>
    <row r="480" spans="1:15" ht="89.25" x14ac:dyDescent="0.2">
      <c r="A480" s="52">
        <v>45997</v>
      </c>
      <c r="B480" s="48">
        <f>+MONTH(A480)</f>
        <v>12</v>
      </c>
      <c r="C480" s="48">
        <f>+WEEKNUM(A480)</f>
        <v>49</v>
      </c>
      <c r="D480" s="46" t="s">
        <v>2128</v>
      </c>
      <c r="E480" s="46" t="s">
        <v>3270</v>
      </c>
      <c r="F480" s="46">
        <v>573016197123</v>
      </c>
      <c r="G480" s="46">
        <v>73646</v>
      </c>
      <c r="H480" s="47" t="s">
        <v>3325</v>
      </c>
      <c r="I480" s="47" t="s">
        <v>3325</v>
      </c>
      <c r="J480" s="46" t="s">
        <v>3271</v>
      </c>
      <c r="K480" s="46"/>
      <c r="L480" s="46"/>
      <c r="M480" s="46" t="s">
        <v>2780</v>
      </c>
      <c r="N480" s="3"/>
      <c r="O480" s="6"/>
    </row>
    <row r="481" spans="1:15" ht="12.75" x14ac:dyDescent="0.2">
      <c r="A481" s="52">
        <v>45997</v>
      </c>
      <c r="B481" s="48">
        <f>+MONTH(A481)</f>
        <v>12</v>
      </c>
      <c r="C481" s="48">
        <f>+WEEKNUM(A481)</f>
        <v>49</v>
      </c>
      <c r="D481" s="46" t="s">
        <v>3272</v>
      </c>
      <c r="E481" s="46" t="s">
        <v>2754</v>
      </c>
      <c r="F481" s="46">
        <v>573152574660</v>
      </c>
      <c r="G481" s="46">
        <v>74682</v>
      </c>
      <c r="H481" s="47" t="s">
        <v>3326</v>
      </c>
      <c r="I481" s="47" t="s">
        <v>3326</v>
      </c>
      <c r="J481" s="46" t="s">
        <v>3273</v>
      </c>
      <c r="K481" s="46" t="s">
        <v>23</v>
      </c>
      <c r="L481" s="46"/>
      <c r="M481" s="46" t="s">
        <v>2782</v>
      </c>
      <c r="N481" s="3"/>
      <c r="O481" s="6"/>
    </row>
    <row r="482" spans="1:15" ht="25.5" x14ac:dyDescent="0.2">
      <c r="A482" s="52">
        <v>45997</v>
      </c>
      <c r="B482" s="48">
        <f>+MONTH(A482)</f>
        <v>12</v>
      </c>
      <c r="C482" s="48">
        <f>+WEEKNUM(A482)</f>
        <v>49</v>
      </c>
      <c r="D482" s="46" t="s">
        <v>3274</v>
      </c>
      <c r="E482" s="46" t="s">
        <v>3275</v>
      </c>
      <c r="F482" s="46">
        <v>573173932317</v>
      </c>
      <c r="G482" s="46">
        <v>74564</v>
      </c>
      <c r="H482" s="47" t="s">
        <v>3326</v>
      </c>
      <c r="I482" s="47" t="s">
        <v>3326</v>
      </c>
      <c r="J482" s="46" t="s">
        <v>3276</v>
      </c>
      <c r="K482" s="46" t="s">
        <v>23</v>
      </c>
      <c r="L482" s="46"/>
      <c r="M482" s="46" t="s">
        <v>2782</v>
      </c>
      <c r="N482" s="3"/>
      <c r="O482" s="6"/>
    </row>
    <row r="483" spans="1:15" ht="25.5" x14ac:dyDescent="0.2">
      <c r="A483" s="52">
        <v>45997</v>
      </c>
      <c r="B483" s="48">
        <f>+MONTH(A483)</f>
        <v>12</v>
      </c>
      <c r="C483" s="48">
        <f>+WEEKNUM(A483)</f>
        <v>49</v>
      </c>
      <c r="D483" s="46" t="s">
        <v>3277</v>
      </c>
      <c r="E483" s="46" t="s">
        <v>3278</v>
      </c>
      <c r="F483" s="46">
        <v>573152933853</v>
      </c>
      <c r="G483" s="46">
        <v>74622</v>
      </c>
      <c r="H483" s="47" t="s">
        <v>3326</v>
      </c>
      <c r="I483" s="47" t="s">
        <v>3326</v>
      </c>
      <c r="J483" s="46" t="s">
        <v>13</v>
      </c>
      <c r="K483" s="46" t="s">
        <v>23</v>
      </c>
      <c r="L483" s="46"/>
      <c r="M483" s="46" t="s">
        <v>257</v>
      </c>
      <c r="N483" s="3"/>
      <c r="O483" s="6"/>
    </row>
    <row r="484" spans="1:15" ht="38.25" x14ac:dyDescent="0.2">
      <c r="A484" s="52">
        <v>45997</v>
      </c>
      <c r="B484" s="48">
        <f>+MONTH(A484)</f>
        <v>12</v>
      </c>
      <c r="C484" s="48">
        <f>+WEEKNUM(A484)</f>
        <v>49</v>
      </c>
      <c r="D484" s="46" t="s">
        <v>3279</v>
      </c>
      <c r="E484" s="46" t="s">
        <v>3280</v>
      </c>
      <c r="F484" s="46">
        <v>573133405488</v>
      </c>
      <c r="G484" s="46">
        <v>74319</v>
      </c>
      <c r="H484" s="47" t="s">
        <v>3325</v>
      </c>
      <c r="I484" s="47" t="s">
        <v>3325</v>
      </c>
      <c r="J484" s="46" t="s">
        <v>3281</v>
      </c>
      <c r="K484" s="46"/>
      <c r="L484" s="46"/>
      <c r="M484" s="46">
        <v>95</v>
      </c>
      <c r="N484" s="3"/>
      <c r="O484" s="6"/>
    </row>
    <row r="485" spans="1:15" ht="25.5" x14ac:dyDescent="0.2">
      <c r="A485" s="52">
        <v>45997</v>
      </c>
      <c r="B485" s="48">
        <f>+MONTH(A485)</f>
        <v>12</v>
      </c>
      <c r="C485" s="48">
        <f>+WEEKNUM(A485)</f>
        <v>49</v>
      </c>
      <c r="D485" s="46" t="s">
        <v>1939</v>
      </c>
      <c r="E485" s="46" t="s">
        <v>3282</v>
      </c>
      <c r="F485" s="46">
        <v>573205443707</v>
      </c>
      <c r="G485" s="46">
        <v>74978</v>
      </c>
      <c r="H485" s="47" t="s">
        <v>3326</v>
      </c>
      <c r="I485" s="47" t="s">
        <v>3326</v>
      </c>
      <c r="J485" s="46" t="s">
        <v>3283</v>
      </c>
      <c r="K485" s="46" t="s">
        <v>23</v>
      </c>
      <c r="L485" s="46"/>
      <c r="M485" s="46" t="s">
        <v>2782</v>
      </c>
      <c r="N485" s="3"/>
      <c r="O485" s="6"/>
    </row>
    <row r="486" spans="1:15" ht="25.5" x14ac:dyDescent="0.2">
      <c r="A486" s="52">
        <v>45996</v>
      </c>
      <c r="B486" s="48">
        <f>+MONTH(A486)</f>
        <v>12</v>
      </c>
      <c r="C486" s="48">
        <f>+WEEKNUM(A486)</f>
        <v>49</v>
      </c>
      <c r="D486" s="46" t="s">
        <v>1503</v>
      </c>
      <c r="E486" s="46" t="s">
        <v>3284</v>
      </c>
      <c r="F486" s="46">
        <v>573213271654</v>
      </c>
      <c r="G486" s="46">
        <v>75009</v>
      </c>
      <c r="H486" s="47" t="s">
        <v>3326</v>
      </c>
      <c r="I486" s="47" t="s">
        <v>3326</v>
      </c>
      <c r="J486" s="46" t="s">
        <v>3285</v>
      </c>
      <c r="K486" s="46" t="s">
        <v>23</v>
      </c>
      <c r="L486" s="46"/>
      <c r="M486" s="46" t="s">
        <v>3286</v>
      </c>
      <c r="N486" s="3"/>
      <c r="O486" s="6"/>
    </row>
    <row r="487" spans="1:15" ht="25.5" x14ac:dyDescent="0.2">
      <c r="A487" s="52">
        <v>45996</v>
      </c>
      <c r="B487" s="48">
        <f>+MONTH(A487)</f>
        <v>12</v>
      </c>
      <c r="C487" s="48">
        <f>+WEEKNUM(A487)</f>
        <v>49</v>
      </c>
      <c r="D487" s="46" t="s">
        <v>2919</v>
      </c>
      <c r="E487" s="46" t="s">
        <v>2918</v>
      </c>
      <c r="F487" s="46">
        <v>573154633368</v>
      </c>
      <c r="G487" s="46">
        <v>74997</v>
      </c>
      <c r="H487" s="47" t="s">
        <v>3326</v>
      </c>
      <c r="I487" s="47" t="s">
        <v>3326</v>
      </c>
      <c r="J487" s="46" t="s">
        <v>3287</v>
      </c>
      <c r="K487" s="46" t="s">
        <v>23</v>
      </c>
      <c r="L487" s="46"/>
      <c r="M487" s="46" t="s">
        <v>2884</v>
      </c>
      <c r="N487" s="3"/>
      <c r="O487" s="6"/>
    </row>
    <row r="488" spans="1:15" ht="25.5" x14ac:dyDescent="0.2">
      <c r="A488" s="52">
        <v>45996</v>
      </c>
      <c r="B488" s="48">
        <f>+MONTH(A488)</f>
        <v>12</v>
      </c>
      <c r="C488" s="48">
        <f>+WEEKNUM(A488)</f>
        <v>49</v>
      </c>
      <c r="D488" s="46" t="s">
        <v>3288</v>
      </c>
      <c r="E488" s="46" t="s">
        <v>3289</v>
      </c>
      <c r="F488" s="46">
        <v>573508296000</v>
      </c>
      <c r="G488" s="46">
        <v>74958</v>
      </c>
      <c r="H488" s="47" t="s">
        <v>3326</v>
      </c>
      <c r="I488" s="47" t="s">
        <v>3326</v>
      </c>
      <c r="J488" s="46" t="s">
        <v>3290</v>
      </c>
      <c r="K488" s="46" t="s">
        <v>23</v>
      </c>
      <c r="L488" s="46"/>
      <c r="M488" s="46" t="s">
        <v>2822</v>
      </c>
      <c r="N488" s="3"/>
      <c r="O488" s="6"/>
    </row>
    <row r="489" spans="1:15" ht="25.5" x14ac:dyDescent="0.2">
      <c r="A489" s="52">
        <v>45996</v>
      </c>
      <c r="B489" s="48">
        <f>+MONTH(A489)</f>
        <v>12</v>
      </c>
      <c r="C489" s="48">
        <f>+WEEKNUM(A489)</f>
        <v>49</v>
      </c>
      <c r="D489" s="46" t="s">
        <v>3291</v>
      </c>
      <c r="E489" s="46" t="s">
        <v>3292</v>
      </c>
      <c r="F489" s="46">
        <v>573164544584</v>
      </c>
      <c r="G489" s="46">
        <v>74323</v>
      </c>
      <c r="H489" s="47" t="s">
        <v>3326</v>
      </c>
      <c r="I489" s="47" t="s">
        <v>3326</v>
      </c>
      <c r="J489" s="46" t="s">
        <v>3293</v>
      </c>
      <c r="K489" s="46" t="s">
        <v>23</v>
      </c>
      <c r="L489" s="46"/>
      <c r="M489" s="46">
        <v>95</v>
      </c>
      <c r="N489" s="3"/>
      <c r="O489" s="6"/>
    </row>
    <row r="490" spans="1:15" ht="12.75" x14ac:dyDescent="0.2">
      <c r="A490" s="52">
        <v>45996</v>
      </c>
      <c r="B490" s="48">
        <f>+MONTH(A490)</f>
        <v>12</v>
      </c>
      <c r="C490" s="48">
        <f>+WEEKNUM(A490)</f>
        <v>49</v>
      </c>
      <c r="D490" s="46" t="s">
        <v>3294</v>
      </c>
      <c r="E490" s="46" t="s">
        <v>3295</v>
      </c>
      <c r="F490" s="46">
        <v>573145838199</v>
      </c>
      <c r="G490" s="46">
        <v>75022</v>
      </c>
      <c r="H490" s="47" t="s">
        <v>3326</v>
      </c>
      <c r="I490" s="47" t="s">
        <v>3326</v>
      </c>
      <c r="J490" s="46" t="s">
        <v>120</v>
      </c>
      <c r="K490" s="46" t="s">
        <v>23</v>
      </c>
      <c r="L490" s="46"/>
      <c r="M490" s="46" t="s">
        <v>3296</v>
      </c>
      <c r="N490" s="3"/>
      <c r="O490" s="6"/>
    </row>
    <row r="491" spans="1:15" ht="25.5" x14ac:dyDescent="0.2">
      <c r="A491" s="52">
        <v>45996</v>
      </c>
      <c r="B491" s="48">
        <f>+MONTH(A491)</f>
        <v>12</v>
      </c>
      <c r="C491" s="48">
        <f>+WEEKNUM(A491)</f>
        <v>49</v>
      </c>
      <c r="D491" s="46" t="s">
        <v>3297</v>
      </c>
      <c r="E491" s="46" t="s">
        <v>3298</v>
      </c>
      <c r="F491" s="46">
        <v>573022345280</v>
      </c>
      <c r="G491" s="46">
        <v>74961</v>
      </c>
      <c r="H491" s="47" t="s">
        <v>3326</v>
      </c>
      <c r="I491" s="47" t="s">
        <v>3326</v>
      </c>
      <c r="J491" s="46"/>
      <c r="K491" s="46" t="s">
        <v>23</v>
      </c>
      <c r="L491" s="46"/>
      <c r="M491" s="46" t="s">
        <v>2780</v>
      </c>
      <c r="N491" s="3"/>
      <c r="O491" s="6"/>
    </row>
    <row r="492" spans="1:15" ht="25.5" x14ac:dyDescent="0.2">
      <c r="A492" s="52">
        <v>45996</v>
      </c>
      <c r="B492" s="48">
        <f>+MONTH(A492)</f>
        <v>12</v>
      </c>
      <c r="C492" s="48">
        <f>+WEEKNUM(A492)</f>
        <v>49</v>
      </c>
      <c r="D492" s="46" t="s">
        <v>3297</v>
      </c>
      <c r="E492" s="46" t="s">
        <v>3298</v>
      </c>
      <c r="F492" s="46">
        <v>573022345280</v>
      </c>
      <c r="G492" s="46">
        <v>74961</v>
      </c>
      <c r="H492" s="47" t="s">
        <v>3326</v>
      </c>
      <c r="I492" s="47" t="s">
        <v>3325</v>
      </c>
      <c r="J492" s="46" t="s">
        <v>3299</v>
      </c>
      <c r="K492" s="46" t="s">
        <v>23</v>
      </c>
      <c r="L492" s="46"/>
      <c r="M492" s="46" t="s">
        <v>2780</v>
      </c>
      <c r="N492" s="3"/>
      <c r="O492" s="6"/>
    </row>
    <row r="493" spans="1:15" ht="25.5" x14ac:dyDescent="0.2">
      <c r="A493" s="52">
        <v>45996</v>
      </c>
      <c r="B493" s="48">
        <f>+MONTH(A493)</f>
        <v>12</v>
      </c>
      <c r="C493" s="48">
        <f>+WEEKNUM(A493)</f>
        <v>49</v>
      </c>
      <c r="D493" s="46" t="s">
        <v>3300</v>
      </c>
      <c r="E493" s="46" t="s">
        <v>3301</v>
      </c>
      <c r="F493" s="46">
        <v>573222219159</v>
      </c>
      <c r="G493" s="46">
        <v>74270</v>
      </c>
      <c r="H493" s="47" t="s">
        <v>22</v>
      </c>
      <c r="I493" s="47" t="s">
        <v>22</v>
      </c>
      <c r="J493" s="46"/>
      <c r="K493" s="46"/>
      <c r="L493" s="46"/>
      <c r="M493" s="46" t="s">
        <v>2784</v>
      </c>
      <c r="N493" s="3"/>
      <c r="O493" s="6"/>
    </row>
    <row r="494" spans="1:15" ht="25.5" x14ac:dyDescent="0.2">
      <c r="A494" s="52">
        <v>45996</v>
      </c>
      <c r="B494" s="48">
        <f>+MONTH(A494)</f>
        <v>12</v>
      </c>
      <c r="C494" s="48">
        <f>+WEEKNUM(A494)</f>
        <v>49</v>
      </c>
      <c r="D494" s="46" t="s">
        <v>1473</v>
      </c>
      <c r="E494" s="46" t="s">
        <v>3302</v>
      </c>
      <c r="F494" s="46">
        <v>573168712374</v>
      </c>
      <c r="G494" s="46">
        <v>74917</v>
      </c>
      <c r="H494" s="47" t="s">
        <v>3326</v>
      </c>
      <c r="I494" s="47" t="s">
        <v>22</v>
      </c>
      <c r="J494" s="46" t="s">
        <v>3303</v>
      </c>
      <c r="K494" s="46"/>
      <c r="L494" s="46"/>
      <c r="M494" s="46" t="s">
        <v>3304</v>
      </c>
      <c r="N494" s="3"/>
      <c r="O494" s="6"/>
    </row>
    <row r="495" spans="1:15" ht="38.25" x14ac:dyDescent="0.2">
      <c r="A495" s="52">
        <v>45996</v>
      </c>
      <c r="B495" s="48">
        <f>+MONTH(A495)</f>
        <v>12</v>
      </c>
      <c r="C495" s="48">
        <f>+WEEKNUM(A495)</f>
        <v>49</v>
      </c>
      <c r="D495" s="46" t="s">
        <v>3305</v>
      </c>
      <c r="E495" s="46" t="s">
        <v>2908</v>
      </c>
      <c r="F495" s="46">
        <v>573233104796</v>
      </c>
      <c r="G495" s="46">
        <v>74296</v>
      </c>
      <c r="H495" s="47" t="s">
        <v>3326</v>
      </c>
      <c r="I495" s="47" t="s">
        <v>3326</v>
      </c>
      <c r="J495" s="46" t="s">
        <v>3306</v>
      </c>
      <c r="K495" s="46" t="s">
        <v>23</v>
      </c>
      <c r="L495" s="46" t="s">
        <v>82</v>
      </c>
      <c r="M495" s="46" t="s">
        <v>2784</v>
      </c>
      <c r="N495" s="3"/>
      <c r="O495" s="6"/>
    </row>
    <row r="496" spans="1:15" ht="25.5" x14ac:dyDescent="0.2">
      <c r="A496" s="52">
        <v>45996</v>
      </c>
      <c r="B496" s="48">
        <f>+MONTH(A496)</f>
        <v>12</v>
      </c>
      <c r="C496" s="48">
        <f>+WEEKNUM(A496)</f>
        <v>49</v>
      </c>
      <c r="D496" s="46" t="s">
        <v>3307</v>
      </c>
      <c r="E496" s="46" t="s">
        <v>3308</v>
      </c>
      <c r="F496" s="46">
        <v>573124215460</v>
      </c>
      <c r="G496" s="46">
        <v>74651</v>
      </c>
      <c r="H496" s="47" t="s">
        <v>3326</v>
      </c>
      <c r="I496" s="47" t="s">
        <v>3326</v>
      </c>
      <c r="J496" s="46" t="s">
        <v>3309</v>
      </c>
      <c r="K496" s="46" t="s">
        <v>23</v>
      </c>
      <c r="L496" s="46"/>
      <c r="M496" s="46" t="s">
        <v>2875</v>
      </c>
      <c r="N496" s="3"/>
      <c r="O496" s="6"/>
    </row>
    <row r="497" spans="1:15" ht="25.5" x14ac:dyDescent="0.2">
      <c r="A497" s="52">
        <v>45996</v>
      </c>
      <c r="B497" s="48">
        <f>+MONTH(A497)</f>
        <v>12</v>
      </c>
      <c r="C497" s="48">
        <f>+WEEKNUM(A497)</f>
        <v>49</v>
      </c>
      <c r="D497" s="46" t="s">
        <v>2217</v>
      </c>
      <c r="E497" s="46" t="s">
        <v>3310</v>
      </c>
      <c r="F497" s="46">
        <v>573012392677</v>
      </c>
      <c r="G497" s="46">
        <v>74728</v>
      </c>
      <c r="H497" s="47" t="s">
        <v>3326</v>
      </c>
      <c r="I497" s="47" t="s">
        <v>3326</v>
      </c>
      <c r="J497" s="46" t="s">
        <v>3311</v>
      </c>
      <c r="K497" s="46" t="s">
        <v>23</v>
      </c>
      <c r="L497" s="46"/>
      <c r="M497" s="46" t="s">
        <v>3286</v>
      </c>
      <c r="N497" s="3"/>
      <c r="O497" s="6"/>
    </row>
    <row r="498" spans="1:15" ht="25.5" x14ac:dyDescent="0.2">
      <c r="A498" s="52">
        <v>45996</v>
      </c>
      <c r="B498" s="48">
        <f>+MONTH(A498)</f>
        <v>12</v>
      </c>
      <c r="C498" s="48">
        <f>+WEEKNUM(A498)</f>
        <v>49</v>
      </c>
      <c r="D498" s="46" t="s">
        <v>3312</v>
      </c>
      <c r="E498" s="46" t="s">
        <v>3313</v>
      </c>
      <c r="F498" s="46">
        <v>573013389499</v>
      </c>
      <c r="G498" s="46">
        <v>72046</v>
      </c>
      <c r="H498" s="47" t="s">
        <v>3326</v>
      </c>
      <c r="I498" s="47" t="s">
        <v>3326</v>
      </c>
      <c r="J498" s="46" t="s">
        <v>3314</v>
      </c>
      <c r="K498" s="46" t="s">
        <v>23</v>
      </c>
      <c r="L498" s="46"/>
      <c r="M498" s="46">
        <v>95</v>
      </c>
      <c r="N498" s="3"/>
      <c r="O498" s="6"/>
    </row>
    <row r="499" spans="1:15" ht="12.75" x14ac:dyDescent="0.2">
      <c r="A499" s="52">
        <v>45996</v>
      </c>
      <c r="B499" s="48">
        <f>+MONTH(A499)</f>
        <v>12</v>
      </c>
      <c r="C499" s="48">
        <f>+WEEKNUM(A499)</f>
        <v>49</v>
      </c>
      <c r="D499" s="46" t="s">
        <v>2608</v>
      </c>
      <c r="E499" s="46" t="s">
        <v>2154</v>
      </c>
      <c r="F499" s="46">
        <v>573135467090</v>
      </c>
      <c r="G499" s="46">
        <v>74664</v>
      </c>
      <c r="H499" s="47" t="s">
        <v>3326</v>
      </c>
      <c r="I499" s="47" t="s">
        <v>3326</v>
      </c>
      <c r="J499" s="46" t="s">
        <v>3315</v>
      </c>
      <c r="K499" s="46" t="s">
        <v>23</v>
      </c>
      <c r="L499" s="46"/>
      <c r="M499" s="46" t="s">
        <v>2782</v>
      </c>
      <c r="N499" s="3"/>
      <c r="O499" s="6"/>
    </row>
    <row r="500" spans="1:15" ht="38.25" x14ac:dyDescent="0.2">
      <c r="A500" s="52">
        <v>45996</v>
      </c>
      <c r="B500" s="48">
        <f>+MONTH(A500)</f>
        <v>12</v>
      </c>
      <c r="C500" s="48">
        <f>+WEEKNUM(A500)</f>
        <v>49</v>
      </c>
      <c r="D500" s="46" t="s">
        <v>1539</v>
      </c>
      <c r="E500" s="46" t="s">
        <v>3316</v>
      </c>
      <c r="F500" s="46">
        <v>573186064342</v>
      </c>
      <c r="G500" s="46">
        <v>72129</v>
      </c>
      <c r="H500" s="47" t="s">
        <v>3326</v>
      </c>
      <c r="I500" s="47" t="s">
        <v>3326</v>
      </c>
      <c r="J500" s="46" t="s">
        <v>3317</v>
      </c>
      <c r="K500" s="46" t="s">
        <v>23</v>
      </c>
      <c r="L500" s="46"/>
      <c r="M500" s="46" t="s">
        <v>2784</v>
      </c>
      <c r="N500" s="3"/>
      <c r="O500" s="6"/>
    </row>
    <row r="501" spans="1:15" ht="25.5" x14ac:dyDescent="0.2">
      <c r="A501" s="52">
        <v>45996</v>
      </c>
      <c r="B501" s="48">
        <f>+MONTH(A501)</f>
        <v>12</v>
      </c>
      <c r="C501" s="48">
        <f>+WEEKNUM(A501)</f>
        <v>49</v>
      </c>
      <c r="D501" s="46" t="s">
        <v>3318</v>
      </c>
      <c r="E501" s="46" t="s">
        <v>3319</v>
      </c>
      <c r="F501" s="46">
        <v>573168973159</v>
      </c>
      <c r="G501" s="46">
        <v>74612</v>
      </c>
      <c r="H501" s="47" t="s">
        <v>3326</v>
      </c>
      <c r="I501" s="47" t="s">
        <v>3326</v>
      </c>
      <c r="J501" s="46" t="s">
        <v>3320</v>
      </c>
      <c r="K501" s="46" t="s">
        <v>23</v>
      </c>
      <c r="L501" s="46"/>
      <c r="M501" s="46" t="s">
        <v>2875</v>
      </c>
      <c r="N501" s="3"/>
      <c r="O501" s="6"/>
    </row>
    <row r="502" spans="1:15" ht="12.75" x14ac:dyDescent="0.2">
      <c r="A502" s="52">
        <v>45996</v>
      </c>
      <c r="B502" s="48">
        <f>+MONTH(A502)</f>
        <v>12</v>
      </c>
      <c r="C502" s="48">
        <f>+WEEKNUM(A502)</f>
        <v>49</v>
      </c>
      <c r="D502" s="46" t="s">
        <v>3321</v>
      </c>
      <c r="E502" s="46" t="s">
        <v>3322</v>
      </c>
      <c r="F502" s="46">
        <v>573132892309</v>
      </c>
      <c r="G502" s="46">
        <v>74346</v>
      </c>
      <c r="H502" s="47" t="s">
        <v>3326</v>
      </c>
      <c r="I502" s="47" t="s">
        <v>3326</v>
      </c>
      <c r="J502" s="46" t="s">
        <v>3323</v>
      </c>
      <c r="K502" s="46" t="s">
        <v>23</v>
      </c>
      <c r="L502" s="46"/>
      <c r="M502" s="46" t="s">
        <v>2822</v>
      </c>
      <c r="N502" s="3"/>
      <c r="O502" s="6"/>
    </row>
    <row r="503" spans="1:15" ht="38.25" x14ac:dyDescent="0.2">
      <c r="A503" s="42">
        <v>45994</v>
      </c>
      <c r="B503" s="43">
        <f>+MONTH(A503)</f>
        <v>12</v>
      </c>
      <c r="C503" s="43">
        <f>+WEEKNUM(A503)</f>
        <v>49</v>
      </c>
      <c r="D503" s="44" t="s">
        <v>2948</v>
      </c>
      <c r="E503" s="44" t="s">
        <v>2947</v>
      </c>
      <c r="F503" s="44">
        <v>573228078000</v>
      </c>
      <c r="G503" s="44">
        <v>73897</v>
      </c>
      <c r="H503" s="45" t="s">
        <v>22</v>
      </c>
      <c r="I503" s="45" t="s">
        <v>3326</v>
      </c>
      <c r="J503" s="44" t="s">
        <v>2946</v>
      </c>
      <c r="K503" s="44"/>
      <c r="L503" s="44" t="s">
        <v>2821</v>
      </c>
      <c r="M503" s="3"/>
      <c r="N503" s="3"/>
      <c r="O503" s="6"/>
    </row>
    <row r="504" spans="1:15" ht="25.5" x14ac:dyDescent="0.2">
      <c r="A504" s="41">
        <v>45994</v>
      </c>
      <c r="B504" s="40">
        <f>+MONTH(A504)</f>
        <v>12</v>
      </c>
      <c r="C504" s="40">
        <f>+WEEKNUM(A504)</f>
        <v>49</v>
      </c>
      <c r="D504" s="3" t="s">
        <v>2945</v>
      </c>
      <c r="E504" s="3" t="s">
        <v>2944</v>
      </c>
      <c r="F504" s="3">
        <v>573167901256</v>
      </c>
      <c r="G504" s="3">
        <v>74504</v>
      </c>
      <c r="H504" s="34" t="s">
        <v>3326</v>
      </c>
      <c r="I504" s="34" t="s">
        <v>3326</v>
      </c>
      <c r="J504" s="3" t="s">
        <v>1581</v>
      </c>
      <c r="K504" s="3" t="s">
        <v>23</v>
      </c>
      <c r="L504" s="3" t="s">
        <v>1923</v>
      </c>
      <c r="M504" s="3"/>
      <c r="N504" s="3"/>
      <c r="O504" s="6"/>
    </row>
    <row r="505" spans="1:15" ht="25.5" x14ac:dyDescent="0.2">
      <c r="A505" s="41">
        <v>45994</v>
      </c>
      <c r="B505" s="40">
        <f>+MONTH(A505)</f>
        <v>12</v>
      </c>
      <c r="C505" s="40">
        <f>+WEEKNUM(A505)</f>
        <v>49</v>
      </c>
      <c r="D505" s="3" t="s">
        <v>2943</v>
      </c>
      <c r="E505" s="3" t="s">
        <v>2942</v>
      </c>
      <c r="F505" s="3">
        <v>573195647795</v>
      </c>
      <c r="G505" s="3">
        <v>74814</v>
      </c>
      <c r="H505" s="34" t="s">
        <v>3326</v>
      </c>
      <c r="I505" s="34" t="s">
        <v>3326</v>
      </c>
      <c r="J505" s="3" t="s">
        <v>13</v>
      </c>
      <c r="K505" s="3" t="s">
        <v>23</v>
      </c>
      <c r="L505" s="3" t="s">
        <v>2780</v>
      </c>
      <c r="M505" s="3"/>
      <c r="N505" s="3"/>
      <c r="O505" s="6"/>
    </row>
    <row r="506" spans="1:15" ht="25.5" x14ac:dyDescent="0.2">
      <c r="A506" s="42">
        <v>45994</v>
      </c>
      <c r="B506" s="43">
        <f>+MONTH(A506)</f>
        <v>12</v>
      </c>
      <c r="C506" s="43">
        <f>+WEEKNUM(A506)</f>
        <v>49</v>
      </c>
      <c r="D506" s="44" t="s">
        <v>2941</v>
      </c>
      <c r="E506" s="44" t="s">
        <v>2940</v>
      </c>
      <c r="F506" s="44">
        <v>573150591080</v>
      </c>
      <c r="G506" s="44">
        <v>74727</v>
      </c>
      <c r="H506" s="45" t="s">
        <v>22</v>
      </c>
      <c r="I506" s="45" t="s">
        <v>22</v>
      </c>
      <c r="J506" s="44" t="s">
        <v>2939</v>
      </c>
      <c r="K506" s="44"/>
      <c r="L506" s="44" t="s">
        <v>257</v>
      </c>
      <c r="M506" s="3"/>
      <c r="N506" s="3"/>
      <c r="O506" s="6"/>
    </row>
    <row r="507" spans="1:15" ht="25.5" x14ac:dyDescent="0.2">
      <c r="A507" s="41">
        <v>45994</v>
      </c>
      <c r="B507" s="40">
        <f>+MONTH(A507)</f>
        <v>12</v>
      </c>
      <c r="C507" s="40">
        <f>+WEEKNUM(A507)</f>
        <v>49</v>
      </c>
      <c r="D507" s="3" t="s">
        <v>2938</v>
      </c>
      <c r="E507" s="3" t="s">
        <v>2937</v>
      </c>
      <c r="F507" s="3">
        <v>573134572495</v>
      </c>
      <c r="G507" s="3">
        <v>74613</v>
      </c>
      <c r="H507" s="34" t="s">
        <v>3326</v>
      </c>
      <c r="I507" s="34" t="s">
        <v>3326</v>
      </c>
      <c r="J507" s="3"/>
      <c r="K507" s="3" t="s">
        <v>23</v>
      </c>
      <c r="L507" s="3" t="s">
        <v>2810</v>
      </c>
      <c r="M507" s="3"/>
      <c r="N507" s="3"/>
      <c r="O507" s="6"/>
    </row>
    <row r="508" spans="1:15" ht="25.5" x14ac:dyDescent="0.2">
      <c r="A508" s="41">
        <v>45994</v>
      </c>
      <c r="B508" s="40">
        <f>+MONTH(A508)</f>
        <v>12</v>
      </c>
      <c r="C508" s="40">
        <f>+WEEKNUM(A508)</f>
        <v>49</v>
      </c>
      <c r="D508" s="3" t="s">
        <v>2936</v>
      </c>
      <c r="E508" s="3" t="s">
        <v>2935</v>
      </c>
      <c r="F508" s="3">
        <v>573204688348</v>
      </c>
      <c r="G508" s="3">
        <v>74638</v>
      </c>
      <c r="H508" s="34" t="s">
        <v>3326</v>
      </c>
      <c r="I508" s="34" t="s">
        <v>3326</v>
      </c>
      <c r="J508" s="3" t="s">
        <v>2934</v>
      </c>
      <c r="K508" s="3" t="s">
        <v>23</v>
      </c>
      <c r="L508" s="3" t="s">
        <v>2782</v>
      </c>
      <c r="M508" s="3"/>
      <c r="N508" s="3"/>
      <c r="O508" s="6"/>
    </row>
    <row r="509" spans="1:15" ht="25.5" x14ac:dyDescent="0.2">
      <c r="A509" s="41">
        <v>45994</v>
      </c>
      <c r="B509" s="40">
        <f>+MONTH(A509)</f>
        <v>12</v>
      </c>
      <c r="C509" s="40">
        <f>+WEEKNUM(A509)</f>
        <v>49</v>
      </c>
      <c r="D509" s="3" t="s">
        <v>2933</v>
      </c>
      <c r="E509" s="3" t="s">
        <v>2932</v>
      </c>
      <c r="F509" s="3">
        <v>573185565018</v>
      </c>
      <c r="G509" s="3">
        <v>74863</v>
      </c>
      <c r="H509" s="34" t="s">
        <v>3326</v>
      </c>
      <c r="I509" s="34" t="s">
        <v>3326</v>
      </c>
      <c r="J509" s="3" t="s">
        <v>2931</v>
      </c>
      <c r="K509" s="3" t="s">
        <v>23</v>
      </c>
      <c r="L509" s="3">
        <v>95</v>
      </c>
      <c r="M509" s="3"/>
      <c r="N509" s="3"/>
      <c r="O509" s="6"/>
    </row>
    <row r="510" spans="1:15" ht="38.25" x14ac:dyDescent="0.2">
      <c r="A510" s="41">
        <v>45994</v>
      </c>
      <c r="B510" s="40">
        <f>+MONTH(A510)</f>
        <v>12</v>
      </c>
      <c r="C510" s="40">
        <f>+WEEKNUM(A510)</f>
        <v>49</v>
      </c>
      <c r="D510" s="3" t="s">
        <v>2930</v>
      </c>
      <c r="E510" s="3" t="s">
        <v>2929</v>
      </c>
      <c r="F510" s="3">
        <v>573023684987</v>
      </c>
      <c r="G510" s="3">
        <v>74557</v>
      </c>
      <c r="H510" s="34" t="s">
        <v>3326</v>
      </c>
      <c r="I510" s="34" t="s">
        <v>3326</v>
      </c>
      <c r="J510" s="3" t="s">
        <v>2927</v>
      </c>
      <c r="K510" s="3" t="s">
        <v>23</v>
      </c>
      <c r="L510" s="3" t="s">
        <v>2928</v>
      </c>
      <c r="M510" s="3"/>
      <c r="N510" s="3"/>
      <c r="O510" s="6"/>
    </row>
    <row r="511" spans="1:15" ht="25.5" x14ac:dyDescent="0.2">
      <c r="A511" s="41">
        <v>45994</v>
      </c>
      <c r="B511" s="40">
        <f>+MONTH(A511)</f>
        <v>12</v>
      </c>
      <c r="C511" s="40">
        <f>+WEEKNUM(A511)</f>
        <v>49</v>
      </c>
      <c r="D511" s="3" t="s">
        <v>2926</v>
      </c>
      <c r="E511" s="3" t="s">
        <v>2925</v>
      </c>
      <c r="F511" s="3">
        <v>573146058268</v>
      </c>
      <c r="G511" s="3">
        <v>74603</v>
      </c>
      <c r="H511" s="34" t="s">
        <v>3326</v>
      </c>
      <c r="I511" s="34" t="s">
        <v>3326</v>
      </c>
      <c r="J511" s="3" t="s">
        <v>2924</v>
      </c>
      <c r="K511" s="3" t="s">
        <v>23</v>
      </c>
      <c r="L511" s="3" t="s">
        <v>2782</v>
      </c>
      <c r="M511" s="3"/>
      <c r="N511" s="3"/>
      <c r="O511" s="6"/>
    </row>
    <row r="512" spans="1:15" ht="51" x14ac:dyDescent="0.2">
      <c r="A512" s="41">
        <v>45994</v>
      </c>
      <c r="B512" s="40">
        <f>+MONTH(A512)</f>
        <v>12</v>
      </c>
      <c r="C512" s="40">
        <f>+WEEKNUM(A512)</f>
        <v>49</v>
      </c>
      <c r="D512" s="3" t="s">
        <v>2923</v>
      </c>
      <c r="E512" s="3" t="s">
        <v>2922</v>
      </c>
      <c r="F512" s="3">
        <v>573118127008</v>
      </c>
      <c r="G512" s="3">
        <v>74597</v>
      </c>
      <c r="H512" s="34" t="s">
        <v>3326</v>
      </c>
      <c r="I512" s="34" t="s">
        <v>3326</v>
      </c>
      <c r="J512" s="3" t="s">
        <v>165</v>
      </c>
      <c r="K512" s="3" t="s">
        <v>23</v>
      </c>
      <c r="L512" s="3" t="s">
        <v>2921</v>
      </c>
      <c r="M512" s="3"/>
      <c r="N512" s="3"/>
      <c r="O512" s="6"/>
    </row>
    <row r="513" spans="1:15" ht="38.25" x14ac:dyDescent="0.2">
      <c r="A513" s="41">
        <v>45994</v>
      </c>
      <c r="B513" s="40">
        <f>+MONTH(A513)</f>
        <v>12</v>
      </c>
      <c r="C513" s="40">
        <f>+WEEKNUM(A513)</f>
        <v>49</v>
      </c>
      <c r="D513" s="3" t="s">
        <v>2920</v>
      </c>
      <c r="E513" s="3" t="s">
        <v>2920</v>
      </c>
      <c r="F513" s="3">
        <v>573014015679</v>
      </c>
      <c r="G513" s="3">
        <v>73355</v>
      </c>
      <c r="H513" s="34" t="s">
        <v>3326</v>
      </c>
      <c r="I513" s="34" t="s">
        <v>3326</v>
      </c>
      <c r="J513" s="3"/>
      <c r="K513" s="3" t="s">
        <v>23</v>
      </c>
      <c r="L513" s="3" t="s">
        <v>257</v>
      </c>
      <c r="M513" s="3"/>
      <c r="N513" s="3"/>
      <c r="O513" s="6"/>
    </row>
    <row r="514" spans="1:15" ht="51" x14ac:dyDescent="0.2">
      <c r="A514" s="41">
        <v>45994</v>
      </c>
      <c r="B514" s="40">
        <f>+MONTH(A514)</f>
        <v>12</v>
      </c>
      <c r="C514" s="40">
        <f>+WEEKNUM(A514)</f>
        <v>49</v>
      </c>
      <c r="D514" s="3" t="s">
        <v>2919</v>
      </c>
      <c r="E514" s="3" t="s">
        <v>2918</v>
      </c>
      <c r="F514" s="3">
        <v>573154633368</v>
      </c>
      <c r="G514" s="3">
        <v>74661</v>
      </c>
      <c r="H514" s="34" t="s">
        <v>3326</v>
      </c>
      <c r="I514" s="34" t="s">
        <v>3326</v>
      </c>
      <c r="J514" s="3" t="s">
        <v>2917</v>
      </c>
      <c r="K514" s="3" t="s">
        <v>23</v>
      </c>
      <c r="L514" s="3" t="s">
        <v>2884</v>
      </c>
      <c r="M514" s="3"/>
      <c r="N514" s="3"/>
      <c r="O514" s="6"/>
    </row>
    <row r="515" spans="1:15" ht="25.5" x14ac:dyDescent="0.2">
      <c r="A515" s="41">
        <v>45993</v>
      </c>
      <c r="B515" s="40">
        <f>+MONTH(A515)</f>
        <v>12</v>
      </c>
      <c r="C515" s="40">
        <f>+WEEKNUM(A515)</f>
        <v>49</v>
      </c>
      <c r="D515" s="3" t="s">
        <v>2916</v>
      </c>
      <c r="E515" s="3" t="s">
        <v>2915</v>
      </c>
      <c r="F515" s="3">
        <v>573028479391</v>
      </c>
      <c r="G515" s="3">
        <v>74542</v>
      </c>
      <c r="H515" s="34" t="s">
        <v>3326</v>
      </c>
      <c r="I515" s="34" t="s">
        <v>3326</v>
      </c>
      <c r="J515" s="3" t="s">
        <v>2913</v>
      </c>
      <c r="K515" s="3" t="s">
        <v>23</v>
      </c>
      <c r="L515" s="3" t="s">
        <v>2914</v>
      </c>
      <c r="M515" s="3"/>
      <c r="N515" s="3"/>
      <c r="O515" s="6"/>
    </row>
    <row r="516" spans="1:15" ht="89.25" x14ac:dyDescent="0.2">
      <c r="A516" s="41">
        <v>45993</v>
      </c>
      <c r="B516" s="40">
        <f>+MONTH(A516)</f>
        <v>12</v>
      </c>
      <c r="C516" s="40">
        <f>+WEEKNUM(A516)</f>
        <v>49</v>
      </c>
      <c r="D516" s="3" t="s">
        <v>2912</v>
      </c>
      <c r="E516" s="3" t="s">
        <v>2911</v>
      </c>
      <c r="F516" s="3">
        <v>573043779673</v>
      </c>
      <c r="G516" s="3">
        <v>74692</v>
      </c>
      <c r="H516" s="34" t="s">
        <v>3326</v>
      </c>
      <c r="I516" s="34" t="s">
        <v>3326</v>
      </c>
      <c r="J516" s="3" t="s">
        <v>2950</v>
      </c>
      <c r="K516" s="3" t="s">
        <v>23</v>
      </c>
      <c r="L516" s="3" t="s">
        <v>2910</v>
      </c>
      <c r="M516" s="3"/>
      <c r="N516" s="3"/>
      <c r="O516" s="6"/>
    </row>
    <row r="517" spans="1:15" ht="12.75" x14ac:dyDescent="0.2">
      <c r="A517" s="41">
        <v>45993</v>
      </c>
      <c r="B517" s="40">
        <f>+MONTH(A517)</f>
        <v>12</v>
      </c>
      <c r="C517" s="40">
        <f>+WEEKNUM(A517)</f>
        <v>49</v>
      </c>
      <c r="D517" s="3" t="s">
        <v>2909</v>
      </c>
      <c r="E517" s="3" t="s">
        <v>2908</v>
      </c>
      <c r="F517" s="3">
        <v>573125220039</v>
      </c>
      <c r="G517" s="3">
        <v>73019</v>
      </c>
      <c r="H517" s="34" t="s">
        <v>3326</v>
      </c>
      <c r="I517" s="34" t="s">
        <v>3326</v>
      </c>
      <c r="J517" s="3"/>
      <c r="K517" s="3" t="s">
        <v>23</v>
      </c>
      <c r="L517" s="3" t="s">
        <v>2784</v>
      </c>
      <c r="M517" s="3"/>
      <c r="N517" s="3"/>
      <c r="O517" s="6"/>
    </row>
    <row r="518" spans="1:15" ht="76.5" x14ac:dyDescent="0.2">
      <c r="A518" s="41">
        <v>45993</v>
      </c>
      <c r="B518" s="40">
        <f>+MONTH(A518)</f>
        <v>12</v>
      </c>
      <c r="C518" s="40">
        <f>+WEEKNUM(A518)</f>
        <v>49</v>
      </c>
      <c r="D518" s="3" t="s">
        <v>2909</v>
      </c>
      <c r="E518" s="3" t="s">
        <v>2908</v>
      </c>
      <c r="F518" s="3">
        <v>573125220039</v>
      </c>
      <c r="G518" s="3">
        <v>73019</v>
      </c>
      <c r="H518" s="34" t="s">
        <v>3326</v>
      </c>
      <c r="I518" s="34" t="s">
        <v>3326</v>
      </c>
      <c r="J518" s="3" t="s">
        <v>2907</v>
      </c>
      <c r="K518" s="3" t="s">
        <v>23</v>
      </c>
      <c r="L518" s="3" t="s">
        <v>2784</v>
      </c>
      <c r="M518" s="3"/>
      <c r="N518" s="3"/>
      <c r="O518" s="6"/>
    </row>
    <row r="519" spans="1:15" ht="25.5" x14ac:dyDescent="0.2">
      <c r="A519" s="41">
        <v>45993</v>
      </c>
      <c r="B519" s="40">
        <f>+MONTH(A519)</f>
        <v>12</v>
      </c>
      <c r="C519" s="40">
        <f>+WEEKNUM(A519)</f>
        <v>49</v>
      </c>
      <c r="D519" s="3" t="s">
        <v>2906</v>
      </c>
      <c r="E519" s="3" t="s">
        <v>2905</v>
      </c>
      <c r="F519" s="3">
        <v>573155273244</v>
      </c>
      <c r="G519" s="3">
        <v>74127</v>
      </c>
      <c r="H519" s="34" t="s">
        <v>3326</v>
      </c>
      <c r="I519" s="34" t="s">
        <v>3326</v>
      </c>
      <c r="J519" s="3" t="s">
        <v>2904</v>
      </c>
      <c r="K519" s="3" t="s">
        <v>23</v>
      </c>
      <c r="L519" s="3" t="s">
        <v>2784</v>
      </c>
      <c r="M519" s="3"/>
      <c r="N519" s="3"/>
      <c r="O519" s="6"/>
    </row>
    <row r="520" spans="1:15" ht="25.5" x14ac:dyDescent="0.2">
      <c r="A520" s="42">
        <v>45993</v>
      </c>
      <c r="B520" s="43">
        <f>+MONTH(A520)</f>
        <v>12</v>
      </c>
      <c r="C520" s="43">
        <f>+WEEKNUM(A520)</f>
        <v>49</v>
      </c>
      <c r="D520" s="44" t="s">
        <v>1640</v>
      </c>
      <c r="E520" s="44" t="s">
        <v>2482</v>
      </c>
      <c r="F520" s="44">
        <v>573168859112</v>
      </c>
      <c r="G520" s="44">
        <v>74697</v>
      </c>
      <c r="H520" s="45" t="s">
        <v>22</v>
      </c>
      <c r="I520" s="45" t="s">
        <v>3326</v>
      </c>
      <c r="J520" s="44" t="s">
        <v>2903</v>
      </c>
      <c r="K520" s="44"/>
      <c r="L520" s="44" t="s">
        <v>2782</v>
      </c>
      <c r="M520" s="3"/>
      <c r="N520" s="3"/>
      <c r="O520" s="6"/>
    </row>
    <row r="521" spans="1:15" ht="25.5" x14ac:dyDescent="0.2">
      <c r="A521" s="41">
        <v>45993</v>
      </c>
      <c r="B521" s="40">
        <f>+MONTH(A521)</f>
        <v>12</v>
      </c>
      <c r="C521" s="40">
        <f>+WEEKNUM(A521)</f>
        <v>49</v>
      </c>
      <c r="D521" s="3" t="s">
        <v>2354</v>
      </c>
      <c r="E521" s="3" t="s">
        <v>2093</v>
      </c>
      <c r="F521" s="3">
        <v>573133826993</v>
      </c>
      <c r="G521" s="3">
        <v>74614</v>
      </c>
      <c r="H521" s="34" t="s">
        <v>3326</v>
      </c>
      <c r="I521" s="34" t="s">
        <v>3326</v>
      </c>
      <c r="J521" s="3" t="s">
        <v>2902</v>
      </c>
      <c r="K521" s="3" t="s">
        <v>23</v>
      </c>
      <c r="L521" s="3" t="s">
        <v>2784</v>
      </c>
      <c r="M521" s="3"/>
      <c r="N521" s="3"/>
      <c r="O521" s="6"/>
    </row>
    <row r="522" spans="1:15" ht="51" x14ac:dyDescent="0.2">
      <c r="A522" s="42">
        <v>45993</v>
      </c>
      <c r="B522" s="43">
        <f>+MONTH(A522)</f>
        <v>12</v>
      </c>
      <c r="C522" s="43">
        <f>+WEEKNUM(A522)</f>
        <v>49</v>
      </c>
      <c r="D522" s="44" t="s">
        <v>2901</v>
      </c>
      <c r="E522" s="44" t="s">
        <v>2046</v>
      </c>
      <c r="F522" s="44">
        <v>573123429020</v>
      </c>
      <c r="G522" s="44">
        <v>72714</v>
      </c>
      <c r="H522" s="45" t="s">
        <v>3325</v>
      </c>
      <c r="I522" s="45" t="s">
        <v>22</v>
      </c>
      <c r="J522" s="44" t="s">
        <v>2900</v>
      </c>
      <c r="K522" s="44"/>
      <c r="L522" s="44" t="s">
        <v>2780</v>
      </c>
      <c r="M522" s="3"/>
      <c r="N522" s="3"/>
      <c r="O522" s="6"/>
    </row>
    <row r="523" spans="1:15" ht="25.5" x14ac:dyDescent="0.2">
      <c r="A523" s="41">
        <v>45993</v>
      </c>
      <c r="B523" s="40">
        <f>+MONTH(A523)</f>
        <v>12</v>
      </c>
      <c r="C523" s="40">
        <f>+WEEKNUM(A523)</f>
        <v>49</v>
      </c>
      <c r="D523" s="3" t="s">
        <v>2899</v>
      </c>
      <c r="E523" s="3" t="s">
        <v>2898</v>
      </c>
      <c r="F523" s="3">
        <v>573246835620</v>
      </c>
      <c r="G523" s="3">
        <v>74570</v>
      </c>
      <c r="H523" s="34" t="s">
        <v>3326</v>
      </c>
      <c r="I523" s="34" t="s">
        <v>3326</v>
      </c>
      <c r="J523" s="3" t="s">
        <v>444</v>
      </c>
      <c r="K523" s="3" t="s">
        <v>23</v>
      </c>
      <c r="L523" s="3" t="s">
        <v>2782</v>
      </c>
      <c r="M523" s="3"/>
      <c r="N523" s="3"/>
      <c r="O523" s="6"/>
    </row>
    <row r="524" spans="1:15" ht="25.5" x14ac:dyDescent="0.2">
      <c r="A524" s="41">
        <v>45993</v>
      </c>
      <c r="B524" s="40">
        <f>+MONTH(A524)</f>
        <v>12</v>
      </c>
      <c r="C524" s="40">
        <f>+WEEKNUM(A524)</f>
        <v>49</v>
      </c>
      <c r="D524" s="3" t="s">
        <v>2897</v>
      </c>
      <c r="E524" s="3" t="s">
        <v>2896</v>
      </c>
      <c r="F524" s="3">
        <v>573113261258</v>
      </c>
      <c r="G524" s="3">
        <v>74758</v>
      </c>
      <c r="H524" s="34" t="s">
        <v>3326</v>
      </c>
      <c r="I524" s="34" t="s">
        <v>3326</v>
      </c>
      <c r="J524" s="3" t="s">
        <v>2894</v>
      </c>
      <c r="K524" s="3" t="s">
        <v>23</v>
      </c>
      <c r="L524" s="3" t="s">
        <v>2895</v>
      </c>
      <c r="M524" s="3"/>
      <c r="N524" s="3"/>
      <c r="O524" s="6"/>
    </row>
    <row r="525" spans="1:15" ht="25.5" x14ac:dyDescent="0.2">
      <c r="A525" s="41">
        <v>45993</v>
      </c>
      <c r="B525" s="40">
        <f>+MONTH(A525)</f>
        <v>12</v>
      </c>
      <c r="C525" s="40">
        <f>+WEEKNUM(A525)</f>
        <v>49</v>
      </c>
      <c r="D525" s="3" t="s">
        <v>2893</v>
      </c>
      <c r="E525" s="3" t="s">
        <v>2892</v>
      </c>
      <c r="F525" s="3">
        <v>573209941994</v>
      </c>
      <c r="G525" s="3">
        <v>74508</v>
      </c>
      <c r="H525" s="34" t="s">
        <v>3326</v>
      </c>
      <c r="I525" s="34" t="s">
        <v>3326</v>
      </c>
      <c r="J525" s="3"/>
      <c r="K525" s="3" t="s">
        <v>23</v>
      </c>
      <c r="L525" s="3" t="s">
        <v>2891</v>
      </c>
      <c r="M525" s="3"/>
      <c r="N525" s="3"/>
      <c r="O525" s="6"/>
    </row>
    <row r="526" spans="1:15" ht="25.5" x14ac:dyDescent="0.2">
      <c r="A526" s="41">
        <v>45993</v>
      </c>
      <c r="B526" s="40">
        <f>+MONTH(A526)</f>
        <v>12</v>
      </c>
      <c r="C526" s="40">
        <f>+WEEKNUM(A526)</f>
        <v>49</v>
      </c>
      <c r="D526" s="3" t="s">
        <v>2190</v>
      </c>
      <c r="E526" s="3" t="s">
        <v>2890</v>
      </c>
      <c r="F526" s="3">
        <v>573132663692</v>
      </c>
      <c r="G526" s="3">
        <v>74586</v>
      </c>
      <c r="H526" s="34" t="s">
        <v>3326</v>
      </c>
      <c r="I526" s="34" t="s">
        <v>3326</v>
      </c>
      <c r="J526" s="3" t="s">
        <v>2889</v>
      </c>
      <c r="K526" s="3" t="s">
        <v>23</v>
      </c>
      <c r="L526" s="3" t="s">
        <v>2821</v>
      </c>
      <c r="M526" s="3"/>
      <c r="N526" s="3"/>
      <c r="O526" s="6"/>
    </row>
    <row r="527" spans="1:15" ht="25.5" x14ac:dyDescent="0.2">
      <c r="A527" s="41">
        <v>45992</v>
      </c>
      <c r="B527" s="40">
        <f>+MONTH(A527)</f>
        <v>12</v>
      </c>
      <c r="C527" s="40">
        <f>+WEEKNUM(A527)</f>
        <v>49</v>
      </c>
      <c r="D527" s="3" t="s">
        <v>1539</v>
      </c>
      <c r="E527" s="3" t="s">
        <v>2888</v>
      </c>
      <c r="F527" s="3">
        <v>573118299491</v>
      </c>
      <c r="G527" s="3">
        <v>74358</v>
      </c>
      <c r="H527" s="34" t="s">
        <v>3325</v>
      </c>
      <c r="I527" s="34" t="s">
        <v>3326</v>
      </c>
      <c r="J527" s="3" t="s">
        <v>2886</v>
      </c>
      <c r="K527" s="3"/>
      <c r="L527" s="3" t="s">
        <v>2887</v>
      </c>
      <c r="M527" s="3"/>
      <c r="N527" s="3"/>
      <c r="O527" s="6"/>
    </row>
    <row r="528" spans="1:15" ht="76.5" x14ac:dyDescent="0.2">
      <c r="A528" s="42">
        <v>45992</v>
      </c>
      <c r="B528" s="43">
        <f>+MONTH(A528)</f>
        <v>12</v>
      </c>
      <c r="C528" s="43">
        <f>+WEEKNUM(A528)</f>
        <v>49</v>
      </c>
      <c r="D528" s="44" t="s">
        <v>1532</v>
      </c>
      <c r="E528" s="44" t="s">
        <v>2885</v>
      </c>
      <c r="F528" s="44">
        <v>573112548595</v>
      </c>
      <c r="G528" s="44">
        <v>73703</v>
      </c>
      <c r="H528" s="45" t="s">
        <v>3325</v>
      </c>
      <c r="I528" s="45" t="s">
        <v>3325</v>
      </c>
      <c r="J528" s="44" t="s">
        <v>2883</v>
      </c>
      <c r="K528" s="44"/>
      <c r="L528" s="44" t="s">
        <v>2884</v>
      </c>
      <c r="M528" s="3"/>
      <c r="N528" s="3"/>
      <c r="O528" s="6"/>
    </row>
    <row r="529" spans="1:15" ht="38.25" x14ac:dyDescent="0.2">
      <c r="A529" s="41">
        <v>45992</v>
      </c>
      <c r="B529" s="40">
        <f>+MONTH(A529)</f>
        <v>12</v>
      </c>
      <c r="C529" s="40">
        <f>+WEEKNUM(A529)</f>
        <v>49</v>
      </c>
      <c r="D529" s="3" t="s">
        <v>1579</v>
      </c>
      <c r="E529" s="3" t="s">
        <v>2882</v>
      </c>
      <c r="F529" s="3">
        <v>573202267067</v>
      </c>
      <c r="G529" s="3">
        <v>73826</v>
      </c>
      <c r="H529" s="34" t="s">
        <v>3326</v>
      </c>
      <c r="I529" s="34" t="s">
        <v>3326</v>
      </c>
      <c r="J529" s="3" t="s">
        <v>2881</v>
      </c>
      <c r="K529" s="3" t="s">
        <v>23</v>
      </c>
      <c r="L529" s="3" t="s">
        <v>2782</v>
      </c>
      <c r="M529" s="3"/>
      <c r="N529" s="3"/>
      <c r="O529" s="6"/>
    </row>
    <row r="530" spans="1:15" ht="25.5" x14ac:dyDescent="0.2">
      <c r="A530" s="42">
        <v>45992</v>
      </c>
      <c r="B530" s="43">
        <f>+MONTH(A530)</f>
        <v>12</v>
      </c>
      <c r="C530" s="43">
        <f>+WEEKNUM(A530)</f>
        <v>49</v>
      </c>
      <c r="D530" s="44" t="s">
        <v>2880</v>
      </c>
      <c r="E530" s="44" t="s">
        <v>2879</v>
      </c>
      <c r="F530" s="44">
        <v>573015123953</v>
      </c>
      <c r="G530" s="44">
        <v>74518</v>
      </c>
      <c r="H530" s="45" t="s">
        <v>22</v>
      </c>
      <c r="I530" s="45" t="s">
        <v>3326</v>
      </c>
      <c r="J530" s="44" t="s">
        <v>2878</v>
      </c>
      <c r="K530" s="44"/>
      <c r="L530" s="44" t="s">
        <v>2782</v>
      </c>
      <c r="M530" s="3"/>
      <c r="N530" s="3"/>
      <c r="O530" s="6"/>
    </row>
    <row r="531" spans="1:15" ht="25.5" x14ac:dyDescent="0.2">
      <c r="A531" s="41">
        <v>45992</v>
      </c>
      <c r="B531" s="40">
        <f>+MONTH(A531)</f>
        <v>12</v>
      </c>
      <c r="C531" s="40">
        <f>+WEEKNUM(A531)</f>
        <v>49</v>
      </c>
      <c r="D531" s="3" t="s">
        <v>2877</v>
      </c>
      <c r="E531" s="3" t="s">
        <v>2876</v>
      </c>
      <c r="F531" s="3">
        <v>573142633123</v>
      </c>
      <c r="G531" s="3">
        <v>74018</v>
      </c>
      <c r="H531" s="34" t="s">
        <v>3326</v>
      </c>
      <c r="I531" s="34" t="s">
        <v>3326</v>
      </c>
      <c r="J531" s="3" t="s">
        <v>2874</v>
      </c>
      <c r="K531" s="3" t="s">
        <v>23</v>
      </c>
      <c r="L531" s="3" t="s">
        <v>2875</v>
      </c>
      <c r="M531" s="3"/>
      <c r="N531" s="3"/>
      <c r="O531" s="6"/>
    </row>
    <row r="532" spans="1:15" ht="25.5" x14ac:dyDescent="0.2">
      <c r="A532" s="41">
        <v>45992</v>
      </c>
      <c r="B532" s="40">
        <f>+MONTH(A532)</f>
        <v>12</v>
      </c>
      <c r="C532" s="40">
        <f>+WEEKNUM(A532)</f>
        <v>49</v>
      </c>
      <c r="D532" s="3" t="s">
        <v>2873</v>
      </c>
      <c r="E532" s="3" t="s">
        <v>2872</v>
      </c>
      <c r="F532" s="3">
        <v>573168682748</v>
      </c>
      <c r="G532" s="3">
        <v>73356</v>
      </c>
      <c r="H532" s="34" t="s">
        <v>3326</v>
      </c>
      <c r="I532" s="34" t="s">
        <v>3326</v>
      </c>
      <c r="J532" s="3" t="s">
        <v>2870</v>
      </c>
      <c r="K532" s="3" t="s">
        <v>23</v>
      </c>
      <c r="L532" s="3" t="s">
        <v>2871</v>
      </c>
      <c r="M532" s="3"/>
      <c r="N532" s="3"/>
      <c r="O532" s="6"/>
    </row>
    <row r="533" spans="1:15" ht="25.5" x14ac:dyDescent="0.2">
      <c r="A533" s="42">
        <v>45992</v>
      </c>
      <c r="B533" s="43">
        <f>+MONTH(A533)</f>
        <v>12</v>
      </c>
      <c r="C533" s="43">
        <f>+WEEKNUM(A533)</f>
        <v>49</v>
      </c>
      <c r="D533" s="44" t="s">
        <v>2869</v>
      </c>
      <c r="E533" s="44" t="s">
        <v>2868</v>
      </c>
      <c r="F533" s="44">
        <v>573208121701</v>
      </c>
      <c r="G533" s="44">
        <v>73894</v>
      </c>
      <c r="H533" s="45" t="s">
        <v>3325</v>
      </c>
      <c r="I533" s="45" t="s">
        <v>3325</v>
      </c>
      <c r="J533" s="44" t="s">
        <v>2867</v>
      </c>
      <c r="K533" s="44"/>
      <c r="L533" s="44" t="s">
        <v>2822</v>
      </c>
      <c r="M533" s="3"/>
      <c r="N533" s="3"/>
      <c r="O533" s="6"/>
    </row>
    <row r="534" spans="1:15" ht="25.5" x14ac:dyDescent="0.2">
      <c r="A534" s="41">
        <v>45992</v>
      </c>
      <c r="B534" s="40">
        <f>+MONTH(A534)</f>
        <v>12</v>
      </c>
      <c r="C534" s="40">
        <f>+WEEKNUM(A534)</f>
        <v>49</v>
      </c>
      <c r="D534" s="3" t="s">
        <v>2866</v>
      </c>
      <c r="E534" s="3" t="s">
        <v>2865</v>
      </c>
      <c r="F534" s="3">
        <v>573015224263</v>
      </c>
      <c r="G534" s="3">
        <v>74416</v>
      </c>
      <c r="H534" s="34" t="s">
        <v>3326</v>
      </c>
      <c r="I534" s="34" t="s">
        <v>3326</v>
      </c>
      <c r="J534" s="3" t="s">
        <v>64</v>
      </c>
      <c r="K534" s="3" t="s">
        <v>23</v>
      </c>
      <c r="L534" s="3" t="s">
        <v>2864</v>
      </c>
      <c r="M534" s="3"/>
      <c r="N534" s="3"/>
      <c r="O534" s="6"/>
    </row>
    <row r="535" spans="1:15" ht="38.25" x14ac:dyDescent="0.2">
      <c r="A535" s="41">
        <v>45992</v>
      </c>
      <c r="B535" s="40">
        <f>+MONTH(A535)</f>
        <v>12</v>
      </c>
      <c r="C535" s="40">
        <f>+WEEKNUM(A535)</f>
        <v>49</v>
      </c>
      <c r="D535" s="3" t="s">
        <v>2275</v>
      </c>
      <c r="E535" s="3" t="s">
        <v>2863</v>
      </c>
      <c r="F535" s="3">
        <v>573046249638</v>
      </c>
      <c r="G535" s="3">
        <v>74687</v>
      </c>
      <c r="H535" s="34" t="s">
        <v>3326</v>
      </c>
      <c r="I535" s="34" t="s">
        <v>3326</v>
      </c>
      <c r="J535" s="3" t="s">
        <v>2861</v>
      </c>
      <c r="K535" s="3" t="s">
        <v>23</v>
      </c>
      <c r="L535" s="3" t="s">
        <v>2862</v>
      </c>
      <c r="M535" s="3"/>
      <c r="N535" s="3"/>
      <c r="O535" s="6"/>
    </row>
    <row r="536" spans="1:15" ht="38.25" x14ac:dyDescent="0.2">
      <c r="A536" s="41">
        <v>45992</v>
      </c>
      <c r="B536" s="40">
        <f>+MONTH(A536)</f>
        <v>12</v>
      </c>
      <c r="C536" s="40">
        <f>+WEEKNUM(A536)</f>
        <v>49</v>
      </c>
      <c r="D536" s="3" t="s">
        <v>2860</v>
      </c>
      <c r="E536" s="3" t="s">
        <v>2859</v>
      </c>
      <c r="F536" s="3">
        <v>573118496130</v>
      </c>
      <c r="G536" s="3">
        <v>70279</v>
      </c>
      <c r="H536" s="34" t="s">
        <v>3326</v>
      </c>
      <c r="I536" s="34" t="s">
        <v>3326</v>
      </c>
      <c r="J536" s="3" t="s">
        <v>2858</v>
      </c>
      <c r="K536" s="3" t="s">
        <v>23</v>
      </c>
      <c r="L536" s="3" t="s">
        <v>2784</v>
      </c>
      <c r="M536" s="3"/>
      <c r="N536" s="3"/>
      <c r="O536" s="6"/>
    </row>
    <row r="537" spans="1:15" ht="25.5" x14ac:dyDescent="0.2">
      <c r="A537" s="41">
        <v>45992</v>
      </c>
      <c r="B537" s="40">
        <f>+MONTH(A537)</f>
        <v>12</v>
      </c>
      <c r="C537" s="40">
        <f>+WEEKNUM(A537)</f>
        <v>49</v>
      </c>
      <c r="D537" s="3" t="s">
        <v>2857</v>
      </c>
      <c r="E537" s="3" t="s">
        <v>2856</v>
      </c>
      <c r="F537" s="3">
        <v>573204331695</v>
      </c>
      <c r="G537" s="3">
        <v>74567</v>
      </c>
      <c r="H537" s="34" t="s">
        <v>3326</v>
      </c>
      <c r="I537" s="34" t="s">
        <v>3326</v>
      </c>
      <c r="J537" s="3" t="s">
        <v>2855</v>
      </c>
      <c r="K537" s="3" t="s">
        <v>23</v>
      </c>
      <c r="L537" s="3" t="s">
        <v>2784</v>
      </c>
      <c r="M537" s="3"/>
      <c r="N537" s="3"/>
      <c r="O537" s="6"/>
    </row>
    <row r="538" spans="1:15" ht="12.75" x14ac:dyDescent="0.2">
      <c r="A538" s="41">
        <v>45992</v>
      </c>
      <c r="B538" s="40">
        <f>+MONTH(A538)</f>
        <v>12</v>
      </c>
      <c r="C538" s="40">
        <f>+WEEKNUM(A538)</f>
        <v>49</v>
      </c>
      <c r="D538" s="3" t="s">
        <v>2854</v>
      </c>
      <c r="E538" s="3" t="s">
        <v>2853</v>
      </c>
      <c r="F538" s="3">
        <v>573219992928</v>
      </c>
      <c r="G538" s="3">
        <v>74662</v>
      </c>
      <c r="H538" s="34" t="s">
        <v>3326</v>
      </c>
      <c r="I538" s="34" t="s">
        <v>3326</v>
      </c>
      <c r="J538" s="3"/>
      <c r="K538" s="3" t="s">
        <v>23</v>
      </c>
      <c r="L538" s="3" t="s">
        <v>257</v>
      </c>
      <c r="M538" s="3"/>
      <c r="N538" s="3"/>
      <c r="O538" s="6"/>
    </row>
    <row r="539" spans="1:15" ht="102" x14ac:dyDescent="0.2">
      <c r="A539" s="41">
        <v>45992</v>
      </c>
      <c r="B539" s="40">
        <f>+MONTH(A539)</f>
        <v>12</v>
      </c>
      <c r="C539" s="40">
        <f>+WEEKNUM(A539)</f>
        <v>49</v>
      </c>
      <c r="D539" s="3" t="s">
        <v>2852</v>
      </c>
      <c r="E539" s="3" t="s">
        <v>2851</v>
      </c>
      <c r="F539" s="3">
        <v>573134097666</v>
      </c>
      <c r="G539" s="3">
        <v>74437</v>
      </c>
      <c r="H539" s="34" t="s">
        <v>3326</v>
      </c>
      <c r="I539" s="34" t="s">
        <v>3326</v>
      </c>
      <c r="J539" s="3" t="s">
        <v>2850</v>
      </c>
      <c r="K539" s="3" t="s">
        <v>23</v>
      </c>
      <c r="L539" s="3" t="s">
        <v>2793</v>
      </c>
      <c r="M539" s="3"/>
      <c r="N539" s="3"/>
      <c r="O539" s="6"/>
    </row>
    <row r="540" spans="1:15" ht="25.5" x14ac:dyDescent="0.2">
      <c r="A540" s="41">
        <v>45990</v>
      </c>
      <c r="B540" s="40">
        <f>+MONTH(A540)</f>
        <v>11</v>
      </c>
      <c r="C540" s="40">
        <f>+WEEKNUM(A540)</f>
        <v>48</v>
      </c>
      <c r="D540" s="3" t="s">
        <v>2322</v>
      </c>
      <c r="E540" s="3" t="s">
        <v>2849</v>
      </c>
      <c r="F540" s="3">
        <v>573504163975</v>
      </c>
      <c r="G540" s="3">
        <v>73140</v>
      </c>
      <c r="H540" s="34" t="s">
        <v>3326</v>
      </c>
      <c r="I540" s="34" t="s">
        <v>3326</v>
      </c>
      <c r="J540" s="3"/>
      <c r="K540" s="3" t="s">
        <v>23</v>
      </c>
      <c r="L540" s="3">
        <v>134</v>
      </c>
      <c r="M540" s="3"/>
      <c r="N540" s="3"/>
      <c r="O540" s="6"/>
    </row>
    <row r="541" spans="1:15" ht="153" x14ac:dyDescent="0.2">
      <c r="A541" s="42">
        <v>45990</v>
      </c>
      <c r="B541" s="43">
        <f>+MONTH(A541)</f>
        <v>11</v>
      </c>
      <c r="C541" s="43">
        <f>+WEEKNUM(A541)</f>
        <v>48</v>
      </c>
      <c r="D541" s="44" t="s">
        <v>1554</v>
      </c>
      <c r="E541" s="44" t="s">
        <v>1555</v>
      </c>
      <c r="F541" s="44">
        <v>573004274481</v>
      </c>
      <c r="G541" s="44">
        <v>73911</v>
      </c>
      <c r="H541" s="45" t="s">
        <v>22</v>
      </c>
      <c r="I541" s="45" t="s">
        <v>3326</v>
      </c>
      <c r="J541" s="44" t="s">
        <v>2847</v>
      </c>
      <c r="K541" s="44" t="s">
        <v>23</v>
      </c>
      <c r="L541" s="44" t="s">
        <v>2848</v>
      </c>
      <c r="M541" s="3"/>
      <c r="N541" s="3"/>
      <c r="O541" s="6"/>
    </row>
    <row r="542" spans="1:15" ht="89.25" x14ac:dyDescent="0.2">
      <c r="A542" s="42">
        <v>45990</v>
      </c>
      <c r="B542" s="43">
        <f>+MONTH(A542)</f>
        <v>11</v>
      </c>
      <c r="C542" s="43">
        <f>+WEEKNUM(A542)</f>
        <v>48</v>
      </c>
      <c r="D542" s="44" t="s">
        <v>1473</v>
      </c>
      <c r="E542" s="44" t="s">
        <v>2846</v>
      </c>
      <c r="F542" s="44">
        <v>573006043326</v>
      </c>
      <c r="G542" s="44">
        <v>74598</v>
      </c>
      <c r="H542" s="45" t="s">
        <v>22</v>
      </c>
      <c r="I542" s="45" t="s">
        <v>22</v>
      </c>
      <c r="J542" s="44" t="s">
        <v>2845</v>
      </c>
      <c r="K542" s="44"/>
      <c r="L542" s="44" t="s">
        <v>2780</v>
      </c>
      <c r="M542" s="3"/>
      <c r="N542" s="3"/>
      <c r="O542" s="6"/>
    </row>
    <row r="543" spans="1:15" ht="25.5" x14ac:dyDescent="0.2">
      <c r="A543" s="42">
        <v>45990</v>
      </c>
      <c r="B543" s="43">
        <f>+MONTH(A543)</f>
        <v>11</v>
      </c>
      <c r="C543" s="43">
        <f>+WEEKNUM(A543)</f>
        <v>48</v>
      </c>
      <c r="D543" s="44" t="s">
        <v>2844</v>
      </c>
      <c r="E543" s="44" t="s">
        <v>2843</v>
      </c>
      <c r="F543" s="44">
        <v>573102183537</v>
      </c>
      <c r="G543" s="44">
        <v>74600</v>
      </c>
      <c r="H543" s="45" t="s">
        <v>3326</v>
      </c>
      <c r="I543" s="45" t="s">
        <v>22</v>
      </c>
      <c r="J543" s="44" t="s">
        <v>2842</v>
      </c>
      <c r="K543" s="44"/>
      <c r="L543" s="44" t="s">
        <v>2780</v>
      </c>
      <c r="M543" s="3"/>
      <c r="N543" s="3"/>
      <c r="O543" s="6"/>
    </row>
    <row r="544" spans="1:15" ht="25.5" x14ac:dyDescent="0.2">
      <c r="A544" s="41">
        <v>45990</v>
      </c>
      <c r="B544" s="40">
        <f>+MONTH(A544)</f>
        <v>11</v>
      </c>
      <c r="C544" s="40">
        <f>+WEEKNUM(A544)</f>
        <v>48</v>
      </c>
      <c r="D544" s="3" t="s">
        <v>1484</v>
      </c>
      <c r="E544" s="3" t="s">
        <v>2841</v>
      </c>
      <c r="F544" s="3">
        <v>573008863675</v>
      </c>
      <c r="G544" s="3">
        <v>72861</v>
      </c>
      <c r="H544" s="34" t="s">
        <v>3326</v>
      </c>
      <c r="I544" s="34" t="s">
        <v>3326</v>
      </c>
      <c r="J544" s="3"/>
      <c r="K544" s="3" t="s">
        <v>23</v>
      </c>
      <c r="L544" s="3" t="s">
        <v>2840</v>
      </c>
      <c r="M544" s="3"/>
      <c r="N544" s="3"/>
      <c r="O544" s="6"/>
    </row>
    <row r="545" spans="1:15" ht="38.25" x14ac:dyDescent="0.2">
      <c r="A545" s="41">
        <v>45990</v>
      </c>
      <c r="B545" s="40">
        <f>+MONTH(A545)</f>
        <v>11</v>
      </c>
      <c r="C545" s="40">
        <f>+WEEKNUM(A545)</f>
        <v>48</v>
      </c>
      <c r="D545" s="3" t="s">
        <v>2839</v>
      </c>
      <c r="E545" s="3" t="s">
        <v>2838</v>
      </c>
      <c r="F545" s="3">
        <v>573023962294</v>
      </c>
      <c r="G545" s="3">
        <v>74282</v>
      </c>
      <c r="H545" s="34" t="s">
        <v>3326</v>
      </c>
      <c r="I545" s="34" t="s">
        <v>3326</v>
      </c>
      <c r="J545" s="3" t="s">
        <v>2836</v>
      </c>
      <c r="K545" s="3" t="s">
        <v>23</v>
      </c>
      <c r="L545" s="3" t="s">
        <v>2837</v>
      </c>
      <c r="M545" s="3"/>
      <c r="N545" s="3"/>
      <c r="O545" s="6"/>
    </row>
    <row r="546" spans="1:15" ht="25.5" x14ac:dyDescent="0.2">
      <c r="A546" s="42">
        <v>45990</v>
      </c>
      <c r="B546" s="43">
        <f>+MONTH(A546)</f>
        <v>11</v>
      </c>
      <c r="C546" s="43">
        <f>+WEEKNUM(A546)</f>
        <v>48</v>
      </c>
      <c r="D546" s="44" t="s">
        <v>2835</v>
      </c>
      <c r="E546" s="44" t="s">
        <v>2834</v>
      </c>
      <c r="F546" s="44">
        <v>573222387832</v>
      </c>
      <c r="G546" s="44">
        <v>74582</v>
      </c>
      <c r="H546" s="45" t="s">
        <v>22</v>
      </c>
      <c r="I546" s="45" t="s">
        <v>22</v>
      </c>
      <c r="J546" s="44" t="s">
        <v>2833</v>
      </c>
      <c r="K546" s="44"/>
      <c r="L546" s="44" t="s">
        <v>2782</v>
      </c>
      <c r="M546" s="3" t="s">
        <v>2832</v>
      </c>
      <c r="N546" s="3" t="s">
        <v>2831</v>
      </c>
      <c r="O546" s="6"/>
    </row>
    <row r="547" spans="1:15" ht="25.5" x14ac:dyDescent="0.2">
      <c r="A547" s="41">
        <v>45990</v>
      </c>
      <c r="B547" s="40">
        <f>+MONTH(A547)</f>
        <v>11</v>
      </c>
      <c r="C547" s="40">
        <f>+WEEKNUM(A547)</f>
        <v>48</v>
      </c>
      <c r="D547" s="3" t="s">
        <v>2830</v>
      </c>
      <c r="E547" s="3" t="s">
        <v>2829</v>
      </c>
      <c r="F547" s="3">
        <v>573102396277</v>
      </c>
      <c r="G547" s="3">
        <v>74406</v>
      </c>
      <c r="H547" s="34" t="s">
        <v>3326</v>
      </c>
      <c r="I547" s="34" t="s">
        <v>3326</v>
      </c>
      <c r="J547" s="3" t="s">
        <v>13</v>
      </c>
      <c r="K547" s="3" t="s">
        <v>23</v>
      </c>
      <c r="L547" s="3" t="s">
        <v>2780</v>
      </c>
      <c r="M547" s="3"/>
      <c r="N547" s="3"/>
      <c r="O547" s="6"/>
    </row>
    <row r="548" spans="1:15" ht="25.5" x14ac:dyDescent="0.2">
      <c r="A548" s="41">
        <v>45990</v>
      </c>
      <c r="B548" s="40">
        <f>+MONTH(A548)</f>
        <v>11</v>
      </c>
      <c r="C548" s="40">
        <f>+WEEKNUM(A548)</f>
        <v>48</v>
      </c>
      <c r="D548" s="3" t="s">
        <v>2828</v>
      </c>
      <c r="E548" s="3" t="s">
        <v>2827</v>
      </c>
      <c r="F548" s="3">
        <v>573158433295</v>
      </c>
      <c r="G548" s="3">
        <v>74161</v>
      </c>
      <c r="H548" s="34" t="s">
        <v>3326</v>
      </c>
      <c r="I548" s="34" t="s">
        <v>3326</v>
      </c>
      <c r="J548" s="3" t="s">
        <v>2825</v>
      </c>
      <c r="K548" s="3" t="s">
        <v>23</v>
      </c>
      <c r="L548" s="3" t="s">
        <v>2826</v>
      </c>
      <c r="M548" s="3"/>
      <c r="N548" s="3"/>
      <c r="O548" s="6"/>
    </row>
    <row r="549" spans="1:15" ht="25.5" x14ac:dyDescent="0.2">
      <c r="A549" s="41">
        <v>45990</v>
      </c>
      <c r="B549" s="40">
        <f>+MONTH(A549)</f>
        <v>11</v>
      </c>
      <c r="C549" s="40">
        <f>+WEEKNUM(A549)</f>
        <v>48</v>
      </c>
      <c r="D549" s="3" t="s">
        <v>2824</v>
      </c>
      <c r="E549" s="3" t="s">
        <v>2823</v>
      </c>
      <c r="F549" s="3">
        <v>573246864434</v>
      </c>
      <c r="G549" s="3">
        <v>74342</v>
      </c>
      <c r="H549" s="34" t="s">
        <v>3326</v>
      </c>
      <c r="I549" s="34" t="s">
        <v>3326</v>
      </c>
      <c r="J549" s="3" t="s">
        <v>174</v>
      </c>
      <c r="K549" s="3" t="s">
        <v>23</v>
      </c>
      <c r="L549" s="3" t="s">
        <v>2822</v>
      </c>
      <c r="M549" s="3"/>
      <c r="N549" s="3"/>
      <c r="O549" s="6"/>
    </row>
    <row r="550" spans="1:15" ht="25.5" x14ac:dyDescent="0.2">
      <c r="A550" s="41">
        <v>45989</v>
      </c>
      <c r="B550" s="40">
        <f>+MONTH(A550)</f>
        <v>11</v>
      </c>
      <c r="C550" s="40">
        <f>+WEEKNUM(A550)</f>
        <v>48</v>
      </c>
      <c r="D550" s="3" t="s">
        <v>1527</v>
      </c>
      <c r="E550" s="3" t="s">
        <v>1528</v>
      </c>
      <c r="F550" s="3">
        <v>573164964457</v>
      </c>
      <c r="G550" s="3">
        <v>74512</v>
      </c>
      <c r="H550" s="34" t="s">
        <v>3326</v>
      </c>
      <c r="I550" s="34" t="s">
        <v>3326</v>
      </c>
      <c r="J550" s="3" t="s">
        <v>2820</v>
      </c>
      <c r="K550" s="3" t="s">
        <v>23</v>
      </c>
      <c r="L550" s="3" t="s">
        <v>2821</v>
      </c>
      <c r="M550" s="3"/>
      <c r="N550" s="3"/>
      <c r="O550" s="6"/>
    </row>
    <row r="551" spans="1:15" ht="25.5" x14ac:dyDescent="0.2">
      <c r="A551" s="41">
        <v>45989</v>
      </c>
      <c r="B551" s="40">
        <f>+MONTH(A551)</f>
        <v>11</v>
      </c>
      <c r="C551" s="40">
        <f>+WEEKNUM(A551)</f>
        <v>48</v>
      </c>
      <c r="D551" s="3" t="s">
        <v>2050</v>
      </c>
      <c r="E551" s="3" t="s">
        <v>2819</v>
      </c>
      <c r="F551" s="3">
        <v>573118185276</v>
      </c>
      <c r="G551" s="3">
        <v>74119</v>
      </c>
      <c r="H551" s="34" t="s">
        <v>3326</v>
      </c>
      <c r="I551" s="34" t="s">
        <v>3326</v>
      </c>
      <c r="J551" s="3" t="s">
        <v>120</v>
      </c>
      <c r="K551" s="3" t="s">
        <v>23</v>
      </c>
      <c r="L551" s="3" t="s">
        <v>2782</v>
      </c>
      <c r="M551" s="3"/>
      <c r="N551" s="3"/>
      <c r="O551" s="6"/>
    </row>
    <row r="552" spans="1:15" ht="25.5" x14ac:dyDescent="0.2">
      <c r="A552" s="41">
        <v>45989</v>
      </c>
      <c r="B552" s="40">
        <f>+MONTH(A552)</f>
        <v>11</v>
      </c>
      <c r="C552" s="40">
        <f>+WEEKNUM(A552)</f>
        <v>48</v>
      </c>
      <c r="D552" s="3" t="s">
        <v>2818</v>
      </c>
      <c r="E552" s="3" t="s">
        <v>2817</v>
      </c>
      <c r="F552" s="3">
        <v>573107087512</v>
      </c>
      <c r="G552" s="3">
        <v>73855</v>
      </c>
      <c r="H552" s="34" t="s">
        <v>3326</v>
      </c>
      <c r="I552" s="34" t="s">
        <v>3326</v>
      </c>
      <c r="J552" s="3" t="s">
        <v>2816</v>
      </c>
      <c r="K552" s="3" t="s">
        <v>23</v>
      </c>
      <c r="L552" s="3" t="s">
        <v>2782</v>
      </c>
      <c r="M552" s="3"/>
      <c r="N552" s="3"/>
      <c r="O552" s="6"/>
    </row>
    <row r="553" spans="1:15" ht="12.75" x14ac:dyDescent="0.2">
      <c r="A553" s="41">
        <v>45989</v>
      </c>
      <c r="B553" s="40">
        <f>+MONTH(A553)</f>
        <v>11</v>
      </c>
      <c r="C553" s="40">
        <f>+WEEKNUM(A553)</f>
        <v>48</v>
      </c>
      <c r="D553" s="3"/>
      <c r="E553" s="3"/>
      <c r="F553" s="3">
        <v>573213931468</v>
      </c>
      <c r="G553" s="3"/>
      <c r="H553" s="34" t="s">
        <v>3326</v>
      </c>
      <c r="I553" s="34" t="s">
        <v>3326</v>
      </c>
      <c r="J553" s="3" t="s">
        <v>226</v>
      </c>
      <c r="K553" s="3" t="s">
        <v>23</v>
      </c>
      <c r="L553" s="3" t="s">
        <v>2780</v>
      </c>
      <c r="M553" s="3"/>
      <c r="N553" s="3"/>
      <c r="O553" s="6"/>
    </row>
    <row r="554" spans="1:15" ht="12.75" x14ac:dyDescent="0.2">
      <c r="A554" s="41">
        <v>45989</v>
      </c>
      <c r="B554" s="40">
        <f>+MONTH(A554)</f>
        <v>11</v>
      </c>
      <c r="C554" s="40">
        <f>+WEEKNUM(A554)</f>
        <v>48</v>
      </c>
      <c r="D554" s="3"/>
      <c r="E554" s="3"/>
      <c r="F554" s="3">
        <v>573114418400</v>
      </c>
      <c r="G554" s="3"/>
      <c r="H554" s="34" t="s">
        <v>3326</v>
      </c>
      <c r="I554" s="34" t="s">
        <v>3326</v>
      </c>
      <c r="J554" s="3" t="s">
        <v>2815</v>
      </c>
      <c r="K554" s="3" t="s">
        <v>23</v>
      </c>
      <c r="L554" s="3" t="s">
        <v>2782</v>
      </c>
      <c r="M554" s="3"/>
      <c r="N554" s="3"/>
      <c r="O554" s="6"/>
    </row>
    <row r="555" spans="1:15" ht="25.5" x14ac:dyDescent="0.2">
      <c r="A555" s="41">
        <v>45989</v>
      </c>
      <c r="B555" s="40">
        <f>+MONTH(A555)</f>
        <v>11</v>
      </c>
      <c r="C555" s="40">
        <f>+WEEKNUM(A555)</f>
        <v>48</v>
      </c>
      <c r="D555" s="3" t="s">
        <v>2814</v>
      </c>
      <c r="E555" s="3" t="s">
        <v>2813</v>
      </c>
      <c r="F555" s="3">
        <v>573115372146</v>
      </c>
      <c r="G555" s="3">
        <v>74473</v>
      </c>
      <c r="H555" s="34" t="s">
        <v>3326</v>
      </c>
      <c r="I555" s="34" t="s">
        <v>3326</v>
      </c>
      <c r="J555" s="3" t="s">
        <v>2812</v>
      </c>
      <c r="K555" s="3" t="s">
        <v>23</v>
      </c>
      <c r="L555" s="3" t="s">
        <v>2782</v>
      </c>
      <c r="M555" s="3"/>
      <c r="N555" s="3"/>
      <c r="O555" s="6"/>
    </row>
    <row r="556" spans="1:15" ht="38.25" x14ac:dyDescent="0.2">
      <c r="A556" s="41">
        <v>45989</v>
      </c>
      <c r="B556" s="40">
        <f>+MONTH(A556)</f>
        <v>11</v>
      </c>
      <c r="C556" s="40">
        <f>+WEEKNUM(A556)</f>
        <v>48</v>
      </c>
      <c r="D556" s="3" t="s">
        <v>1758</v>
      </c>
      <c r="E556" s="3" t="s">
        <v>2811</v>
      </c>
      <c r="F556" s="3">
        <v>573133100392</v>
      </c>
      <c r="G556" s="3">
        <v>74441</v>
      </c>
      <c r="H556" s="34" t="s">
        <v>3326</v>
      </c>
      <c r="I556" s="34" t="s">
        <v>3326</v>
      </c>
      <c r="J556" s="3" t="s">
        <v>2809</v>
      </c>
      <c r="K556" s="3" t="s">
        <v>23</v>
      </c>
      <c r="L556" s="3" t="s">
        <v>2810</v>
      </c>
      <c r="M556" s="3"/>
      <c r="N556" s="3"/>
      <c r="O556" s="6"/>
    </row>
    <row r="557" spans="1:15" ht="38.25" x14ac:dyDescent="0.2">
      <c r="A557" s="41">
        <v>45989</v>
      </c>
      <c r="B557" s="40">
        <f>+MONTH(A557)</f>
        <v>11</v>
      </c>
      <c r="C557" s="40">
        <f>+WEEKNUM(A557)</f>
        <v>48</v>
      </c>
      <c r="D557" s="3" t="s">
        <v>2808</v>
      </c>
      <c r="E557" s="3" t="s">
        <v>2807</v>
      </c>
      <c r="F557" s="3">
        <v>573124102967</v>
      </c>
      <c r="G557" s="3">
        <v>74421</v>
      </c>
      <c r="H557" s="34" t="s">
        <v>22</v>
      </c>
      <c r="I557" s="34" t="s">
        <v>3326</v>
      </c>
      <c r="J557" s="3" t="s">
        <v>2805</v>
      </c>
      <c r="K557" s="3"/>
      <c r="L557" s="3" t="s">
        <v>2806</v>
      </c>
      <c r="M557" s="3"/>
      <c r="N557" s="3"/>
      <c r="O557" s="6"/>
    </row>
    <row r="558" spans="1:15" ht="25.5" x14ac:dyDescent="0.2">
      <c r="A558" s="41">
        <v>45988</v>
      </c>
      <c r="B558" s="40">
        <f>+MONTH(A558)</f>
        <v>11</v>
      </c>
      <c r="C558" s="40">
        <f>+WEEKNUM(A558)</f>
        <v>48</v>
      </c>
      <c r="D558" s="3" t="s">
        <v>2804</v>
      </c>
      <c r="E558" s="3" t="s">
        <v>2803</v>
      </c>
      <c r="F558" s="3">
        <v>573043815710</v>
      </c>
      <c r="G558" s="3">
        <v>73913</v>
      </c>
      <c r="H558" s="34" t="s">
        <v>3326</v>
      </c>
      <c r="I558" s="34" t="s">
        <v>3326</v>
      </c>
      <c r="J558" s="3" t="s">
        <v>2802</v>
      </c>
      <c r="K558" s="3" t="s">
        <v>23</v>
      </c>
      <c r="L558" s="3" t="s">
        <v>257</v>
      </c>
      <c r="M558" s="3"/>
      <c r="N558" s="3"/>
      <c r="O558" s="6"/>
    </row>
    <row r="559" spans="1:15" ht="25.5" x14ac:dyDescent="0.2">
      <c r="A559" s="41">
        <v>45988</v>
      </c>
      <c r="B559" s="40">
        <f>+MONTH(A559)</f>
        <v>11</v>
      </c>
      <c r="C559" s="40">
        <f>+WEEKNUM(A559)</f>
        <v>48</v>
      </c>
      <c r="D559" s="3" t="s">
        <v>1487</v>
      </c>
      <c r="E559" s="3" t="s">
        <v>2801</v>
      </c>
      <c r="F559" s="3">
        <v>573212002120</v>
      </c>
      <c r="G559" s="3">
        <v>74030</v>
      </c>
      <c r="H559" s="34" t="s">
        <v>3326</v>
      </c>
      <c r="I559" s="34" t="s">
        <v>3326</v>
      </c>
      <c r="J559" s="3" t="s">
        <v>2800</v>
      </c>
      <c r="K559" s="3" t="s">
        <v>23</v>
      </c>
      <c r="L559" s="3" t="s">
        <v>2784</v>
      </c>
      <c r="M559" s="3"/>
      <c r="N559" s="3"/>
      <c r="O559" s="6"/>
    </row>
    <row r="560" spans="1:15" ht="25.5" x14ac:dyDescent="0.2">
      <c r="A560" s="41">
        <v>45988</v>
      </c>
      <c r="B560" s="40">
        <f>+MONTH(A560)</f>
        <v>11</v>
      </c>
      <c r="C560" s="40">
        <f>+WEEKNUM(A560)</f>
        <v>48</v>
      </c>
      <c r="D560" s="3" t="s">
        <v>2275</v>
      </c>
      <c r="E560" s="3" t="s">
        <v>2799</v>
      </c>
      <c r="F560" s="3">
        <v>573222303600</v>
      </c>
      <c r="G560" s="3">
        <v>73999</v>
      </c>
      <c r="H560" s="34" t="s">
        <v>3326</v>
      </c>
      <c r="I560" s="34" t="s">
        <v>3326</v>
      </c>
      <c r="J560" s="3" t="s">
        <v>174</v>
      </c>
      <c r="K560" s="3" t="s">
        <v>23</v>
      </c>
      <c r="L560" s="3" t="s">
        <v>257</v>
      </c>
      <c r="M560" s="3"/>
      <c r="N560" s="3"/>
      <c r="O560" s="6"/>
    </row>
    <row r="561" spans="1:15" ht="25.5" x14ac:dyDescent="0.2">
      <c r="A561" s="41">
        <v>45988</v>
      </c>
      <c r="B561" s="40">
        <f>+MONTH(A561)</f>
        <v>11</v>
      </c>
      <c r="C561" s="40">
        <f>+WEEKNUM(A561)</f>
        <v>48</v>
      </c>
      <c r="D561" s="3" t="s">
        <v>2798</v>
      </c>
      <c r="E561" s="3" t="s">
        <v>2797</v>
      </c>
      <c r="F561" s="3">
        <v>573102107296</v>
      </c>
      <c r="G561" s="3">
        <v>74243</v>
      </c>
      <c r="H561" s="34" t="s">
        <v>22</v>
      </c>
      <c r="I561" s="34" t="s">
        <v>3326</v>
      </c>
      <c r="J561" s="3"/>
      <c r="K561" s="3"/>
      <c r="L561" s="3" t="s">
        <v>2796</v>
      </c>
      <c r="M561" s="3"/>
      <c r="N561" s="3"/>
      <c r="O561" s="6"/>
    </row>
    <row r="562" spans="1:15" ht="25.5" x14ac:dyDescent="0.2">
      <c r="A562" s="41">
        <v>45988</v>
      </c>
      <c r="B562" s="40">
        <f>+MONTH(A562)</f>
        <v>11</v>
      </c>
      <c r="C562" s="40">
        <f>+WEEKNUM(A562)</f>
        <v>48</v>
      </c>
      <c r="D562" s="3" t="s">
        <v>2795</v>
      </c>
      <c r="E562" s="3" t="s">
        <v>2794</v>
      </c>
      <c r="F562" s="3">
        <v>573203965297</v>
      </c>
      <c r="G562" s="3">
        <v>74460</v>
      </c>
      <c r="H562" s="34" t="s">
        <v>3326</v>
      </c>
      <c r="I562" s="34" t="s">
        <v>3326</v>
      </c>
      <c r="J562" s="3" t="s">
        <v>174</v>
      </c>
      <c r="K562" s="3" t="s">
        <v>23</v>
      </c>
      <c r="L562" s="3" t="s">
        <v>2793</v>
      </c>
      <c r="M562" s="3"/>
      <c r="N562" s="3"/>
      <c r="O562" s="6"/>
    </row>
    <row r="563" spans="1:15" ht="38.25" x14ac:dyDescent="0.2">
      <c r="A563" s="41">
        <v>45988</v>
      </c>
      <c r="B563" s="40">
        <f>+MONTH(A563)</f>
        <v>11</v>
      </c>
      <c r="C563" s="40">
        <f>+WEEKNUM(A563)</f>
        <v>48</v>
      </c>
      <c r="D563" s="3" t="s">
        <v>1473</v>
      </c>
      <c r="E563" s="3" t="s">
        <v>2792</v>
      </c>
      <c r="F563" s="3">
        <v>573183898276</v>
      </c>
      <c r="G563" s="3">
        <v>74404</v>
      </c>
      <c r="H563" s="34" t="s">
        <v>3326</v>
      </c>
      <c r="I563" s="34" t="s">
        <v>3326</v>
      </c>
      <c r="J563" s="3" t="s">
        <v>2791</v>
      </c>
      <c r="K563" s="3" t="s">
        <v>23</v>
      </c>
      <c r="L563" s="3" t="s">
        <v>2782</v>
      </c>
      <c r="M563" s="3"/>
      <c r="N563" s="3"/>
      <c r="O563" s="6"/>
    </row>
    <row r="564" spans="1:15" ht="12.75" x14ac:dyDescent="0.2">
      <c r="A564" s="41">
        <v>45988</v>
      </c>
      <c r="B564" s="40">
        <f>+MONTH(A564)</f>
        <v>11</v>
      </c>
      <c r="C564" s="40">
        <f>+WEEKNUM(A564)</f>
        <v>48</v>
      </c>
      <c r="D564" s="3" t="s">
        <v>2790</v>
      </c>
      <c r="E564" s="3" t="s">
        <v>2789</v>
      </c>
      <c r="F564" s="3">
        <v>573133807881</v>
      </c>
      <c r="G564" s="3">
        <v>74117</v>
      </c>
      <c r="H564" s="34" t="s">
        <v>3325</v>
      </c>
      <c r="I564" s="34" t="s">
        <v>3326</v>
      </c>
      <c r="J564" s="3"/>
      <c r="K564" s="3"/>
      <c r="L564" s="3" t="s">
        <v>2788</v>
      </c>
      <c r="M564" s="3"/>
      <c r="N564" s="3"/>
      <c r="O564" s="6"/>
    </row>
    <row r="565" spans="1:15" ht="12.75" x14ac:dyDescent="0.2">
      <c r="A565" s="41">
        <v>45988</v>
      </c>
      <c r="B565" s="40">
        <f>+MONTH(A565)</f>
        <v>11</v>
      </c>
      <c r="C565" s="40">
        <f>+WEEKNUM(A565)</f>
        <v>48</v>
      </c>
      <c r="D565" s="3"/>
      <c r="E565" s="3"/>
      <c r="F565" s="3">
        <v>573213931468</v>
      </c>
      <c r="G565" s="3"/>
      <c r="H565" s="34" t="s">
        <v>3326</v>
      </c>
      <c r="I565" s="34" t="s">
        <v>3326</v>
      </c>
      <c r="J565" s="3" t="s">
        <v>2787</v>
      </c>
      <c r="K565" s="3" t="s">
        <v>23</v>
      </c>
      <c r="L565" s="3" t="s">
        <v>2780</v>
      </c>
      <c r="M565" s="3"/>
      <c r="N565" s="3"/>
      <c r="O565" s="6"/>
    </row>
    <row r="566" spans="1:15" ht="12.75" x14ac:dyDescent="0.2">
      <c r="A566" s="41">
        <v>45988</v>
      </c>
      <c r="B566" s="40">
        <f>+MONTH(A566)</f>
        <v>11</v>
      </c>
      <c r="C566" s="40">
        <f>+WEEKNUM(A566)</f>
        <v>48</v>
      </c>
      <c r="D566" s="3"/>
      <c r="E566" s="3"/>
      <c r="F566" s="3">
        <v>573213931468</v>
      </c>
      <c r="G566" s="3"/>
      <c r="H566" s="34" t="s">
        <v>3326</v>
      </c>
      <c r="I566" s="34" t="s">
        <v>3325</v>
      </c>
      <c r="J566" s="3" t="s">
        <v>2787</v>
      </c>
      <c r="K566" s="3" t="s">
        <v>14</v>
      </c>
      <c r="L566" s="3" t="s">
        <v>2780</v>
      </c>
      <c r="M566" s="3"/>
      <c r="N566" s="3"/>
      <c r="O566" s="6"/>
    </row>
    <row r="567" spans="1:15" ht="178.5" x14ac:dyDescent="0.2">
      <c r="A567" s="41">
        <v>45988</v>
      </c>
      <c r="B567" s="40">
        <f>+MONTH(A567)</f>
        <v>11</v>
      </c>
      <c r="C567" s="40">
        <f>+WEEKNUM(A567)</f>
        <v>48</v>
      </c>
      <c r="D567" s="3" t="s">
        <v>1670</v>
      </c>
      <c r="E567" s="3" t="s">
        <v>2786</v>
      </c>
      <c r="F567" s="3">
        <v>573103772411</v>
      </c>
      <c r="G567" s="3">
        <v>73943</v>
      </c>
      <c r="H567" s="34" t="s">
        <v>44</v>
      </c>
      <c r="I567" s="34" t="s">
        <v>2785</v>
      </c>
      <c r="J567" s="3"/>
      <c r="K567" s="3"/>
      <c r="L567" s="3" t="s">
        <v>22</v>
      </c>
      <c r="M567" s="3"/>
      <c r="N567" s="3"/>
      <c r="O567" s="6"/>
    </row>
    <row r="568" spans="1:15" ht="38.25" x14ac:dyDescent="0.2">
      <c r="A568" s="41">
        <v>45988</v>
      </c>
      <c r="B568" s="40">
        <f>+MONTH(A568)</f>
        <v>11</v>
      </c>
      <c r="C568" s="40">
        <f>+WEEKNUM(A568)</f>
        <v>48</v>
      </c>
      <c r="D568" s="3" t="s">
        <v>1496</v>
      </c>
      <c r="E568" s="3" t="s">
        <v>2082</v>
      </c>
      <c r="F568" s="3">
        <v>573115135655</v>
      </c>
      <c r="G568" s="3">
        <v>74392</v>
      </c>
      <c r="H568" s="34" t="s">
        <v>3326</v>
      </c>
      <c r="I568" s="34" t="s">
        <v>3326</v>
      </c>
      <c r="J568" s="3" t="s">
        <v>2783</v>
      </c>
      <c r="K568" s="3" t="s">
        <v>23</v>
      </c>
      <c r="L568" s="3" t="s">
        <v>2784</v>
      </c>
      <c r="M568" s="3"/>
      <c r="N568" s="3"/>
      <c r="O568" s="6"/>
    </row>
    <row r="569" spans="1:15" ht="12.75" x14ac:dyDescent="0.2">
      <c r="A569" s="41">
        <v>45988</v>
      </c>
      <c r="B569" s="40">
        <f>+MONTH(A569)</f>
        <v>11</v>
      </c>
      <c r="C569" s="40">
        <f>+WEEKNUM(A569)</f>
        <v>48</v>
      </c>
      <c r="D569" s="3"/>
      <c r="E569" s="3"/>
      <c r="F569" s="3">
        <v>573213931468</v>
      </c>
      <c r="G569" s="3"/>
      <c r="H569" s="34" t="s">
        <v>3326</v>
      </c>
      <c r="I569" s="34" t="s">
        <v>3326</v>
      </c>
      <c r="J569" s="3" t="s">
        <v>2781</v>
      </c>
      <c r="K569" s="3" t="s">
        <v>23</v>
      </c>
      <c r="L569" s="3" t="s">
        <v>2782</v>
      </c>
      <c r="M569" s="3"/>
      <c r="N569" s="3"/>
      <c r="O569" s="6"/>
    </row>
    <row r="570" spans="1:15" ht="25.5" x14ac:dyDescent="0.2">
      <c r="A570" s="41">
        <v>45988</v>
      </c>
      <c r="B570" s="40">
        <f>+MONTH(A570)</f>
        <v>11</v>
      </c>
      <c r="C570" s="40">
        <f>+WEEKNUM(A570)</f>
        <v>48</v>
      </c>
      <c r="D570" s="3" t="s">
        <v>1345</v>
      </c>
      <c r="E570" s="3" t="s">
        <v>1346</v>
      </c>
      <c r="F570" s="3">
        <v>573194527981</v>
      </c>
      <c r="G570" s="3">
        <v>74263</v>
      </c>
      <c r="H570" s="34" t="s">
        <v>3326</v>
      </c>
      <c r="I570" s="34" t="s">
        <v>3326</v>
      </c>
      <c r="J570" s="3" t="s">
        <v>174</v>
      </c>
      <c r="K570" s="3" t="s">
        <v>23</v>
      </c>
      <c r="L570" s="3" t="s">
        <v>2780</v>
      </c>
      <c r="M570" s="3"/>
      <c r="N570" s="3"/>
      <c r="O570" s="6"/>
    </row>
    <row r="571" spans="1:15" ht="38.25" x14ac:dyDescent="0.2">
      <c r="A571" s="21">
        <v>45987</v>
      </c>
      <c r="B571" s="11">
        <f>+MONTH(A571)</f>
        <v>11</v>
      </c>
      <c r="C571" s="11">
        <f>+WEEKNUM(A571)</f>
        <v>48</v>
      </c>
      <c r="D571" s="3" t="s">
        <v>2766</v>
      </c>
      <c r="E571" s="3" t="s">
        <v>2765</v>
      </c>
      <c r="F571" s="3">
        <v>573213229692</v>
      </c>
      <c r="G571" s="3">
        <v>74361</v>
      </c>
      <c r="H571" s="34" t="s">
        <v>3326</v>
      </c>
      <c r="I571" s="34" t="s">
        <v>3326</v>
      </c>
      <c r="J571" s="3" t="s">
        <v>2764</v>
      </c>
      <c r="K571" s="17"/>
      <c r="M571" s="17"/>
      <c r="N571" s="17"/>
      <c r="O571" s="17"/>
    </row>
    <row r="572" spans="1:15" ht="25.5" x14ac:dyDescent="0.2">
      <c r="A572" s="21">
        <v>45987</v>
      </c>
      <c r="B572" s="11">
        <f>+MONTH(A572)</f>
        <v>11</v>
      </c>
      <c r="C572" s="11">
        <f>+WEEKNUM(A572)</f>
        <v>48</v>
      </c>
      <c r="D572" s="3" t="s">
        <v>2763</v>
      </c>
      <c r="E572" s="3" t="s">
        <v>2762</v>
      </c>
      <c r="F572" s="3">
        <v>573112895775</v>
      </c>
      <c r="G572" s="3">
        <v>73977</v>
      </c>
      <c r="H572" s="34" t="s">
        <v>3326</v>
      </c>
      <c r="I572" s="34" t="s">
        <v>3326</v>
      </c>
      <c r="J572" s="3" t="s">
        <v>2761</v>
      </c>
      <c r="K572" s="17"/>
      <c r="M572" s="17"/>
      <c r="N572" s="17"/>
      <c r="O572" s="17"/>
    </row>
    <row r="573" spans="1:15" ht="25.5" x14ac:dyDescent="0.2">
      <c r="A573" s="31">
        <v>45987</v>
      </c>
      <c r="B573" s="27">
        <f>+MONTH(A573)</f>
        <v>11</v>
      </c>
      <c r="C573" s="11">
        <f>+WEEKNUM(A573)</f>
        <v>48</v>
      </c>
      <c r="D573" s="35" t="s">
        <v>2760</v>
      </c>
      <c r="E573" s="35" t="s">
        <v>2759</v>
      </c>
      <c r="F573" s="35">
        <v>573016135249</v>
      </c>
      <c r="G573" s="35">
        <v>74320</v>
      </c>
      <c r="H573" s="36" t="s">
        <v>3325</v>
      </c>
      <c r="I573" s="36" t="s">
        <v>3325</v>
      </c>
      <c r="J573" s="3" t="s">
        <v>2758</v>
      </c>
      <c r="K573" s="15" t="s">
        <v>2767</v>
      </c>
      <c r="M573" s="17"/>
      <c r="N573" s="17"/>
      <c r="O573" s="17"/>
    </row>
    <row r="574" spans="1:15" ht="25.5" x14ac:dyDescent="0.2">
      <c r="A574" s="21">
        <v>45987</v>
      </c>
      <c r="B574" s="11">
        <f>+MONTH(A574)</f>
        <v>11</v>
      </c>
      <c r="C574" s="11">
        <f>+WEEKNUM(A574)</f>
        <v>48</v>
      </c>
      <c r="D574" s="3" t="s">
        <v>2757</v>
      </c>
      <c r="E574" s="3" t="s">
        <v>2756</v>
      </c>
      <c r="F574" s="3">
        <v>573205576871</v>
      </c>
      <c r="G574" s="3">
        <v>70564</v>
      </c>
      <c r="H574" s="34" t="s">
        <v>3326</v>
      </c>
      <c r="I574" s="34" t="s">
        <v>3326</v>
      </c>
      <c r="J574" s="3" t="s">
        <v>174</v>
      </c>
      <c r="K574" s="17"/>
      <c r="M574" s="17"/>
      <c r="N574" s="17"/>
      <c r="O574" s="17"/>
    </row>
    <row r="575" spans="1:15" ht="25.5" x14ac:dyDescent="0.2">
      <c r="A575" s="21">
        <v>45987</v>
      </c>
      <c r="B575" s="11">
        <f>+MONTH(A575)</f>
        <v>11</v>
      </c>
      <c r="C575" s="11">
        <f>+WEEKNUM(A575)</f>
        <v>48</v>
      </c>
      <c r="D575" s="3" t="s">
        <v>2748</v>
      </c>
      <c r="E575" s="3" t="s">
        <v>2755</v>
      </c>
      <c r="F575" s="3">
        <v>573058129599</v>
      </c>
      <c r="G575" s="3">
        <v>74287</v>
      </c>
      <c r="H575" s="34" t="s">
        <v>3326</v>
      </c>
      <c r="I575" s="34" t="s">
        <v>3326</v>
      </c>
      <c r="J575" s="3"/>
      <c r="K575" s="17"/>
      <c r="M575" s="17"/>
      <c r="N575" s="17"/>
      <c r="O575" s="17"/>
    </row>
    <row r="576" spans="1:15" ht="12.75" x14ac:dyDescent="0.2">
      <c r="A576" s="21">
        <v>45987</v>
      </c>
      <c r="B576" s="11">
        <f>+MONTH(A576)</f>
        <v>11</v>
      </c>
      <c r="C576" s="11">
        <f>+WEEKNUM(A576)</f>
        <v>48</v>
      </c>
      <c r="D576" s="3" t="s">
        <v>1539</v>
      </c>
      <c r="E576" s="3" t="s">
        <v>2754</v>
      </c>
      <c r="F576" s="3">
        <v>573104829710</v>
      </c>
      <c r="G576" s="3">
        <v>73816</v>
      </c>
      <c r="H576" s="34" t="s">
        <v>3326</v>
      </c>
      <c r="I576" s="34" t="s">
        <v>3326</v>
      </c>
      <c r="J576" s="3" t="s">
        <v>2753</v>
      </c>
      <c r="K576" s="17"/>
      <c r="M576" s="17"/>
      <c r="N576" s="17"/>
      <c r="O576" s="17"/>
    </row>
    <row r="577" spans="1:15" ht="12.75" x14ac:dyDescent="0.2">
      <c r="A577" s="21">
        <v>45987</v>
      </c>
      <c r="B577" s="11">
        <f>+MONTH(A577)</f>
        <v>11</v>
      </c>
      <c r="C577" s="11">
        <f>+WEEKNUM(A577)</f>
        <v>48</v>
      </c>
      <c r="D577" s="3" t="s">
        <v>2752</v>
      </c>
      <c r="E577" s="3" t="s">
        <v>2751</v>
      </c>
      <c r="F577" s="3">
        <v>573008993083</v>
      </c>
      <c r="G577" s="3">
        <v>73967</v>
      </c>
      <c r="H577" s="34" t="s">
        <v>3326</v>
      </c>
      <c r="I577" s="34" t="s">
        <v>3326</v>
      </c>
      <c r="J577" s="3" t="s">
        <v>64</v>
      </c>
      <c r="K577" s="17"/>
      <c r="M577" s="17"/>
      <c r="N577" s="17"/>
      <c r="O577" s="17"/>
    </row>
    <row r="578" spans="1:15" ht="25.5" x14ac:dyDescent="0.2">
      <c r="A578" s="21">
        <v>45987</v>
      </c>
      <c r="B578" s="11">
        <f>+MONTH(A578)</f>
        <v>11</v>
      </c>
      <c r="C578" s="11">
        <f>+WEEKNUM(A578)</f>
        <v>48</v>
      </c>
      <c r="D578" s="3" t="s">
        <v>1625</v>
      </c>
      <c r="E578" s="3" t="s">
        <v>2750</v>
      </c>
      <c r="F578" s="3">
        <v>573024740205</v>
      </c>
      <c r="G578" s="3">
        <v>74062</v>
      </c>
      <c r="H578" s="34" t="s">
        <v>3326</v>
      </c>
      <c r="I578" s="34" t="s">
        <v>3326</v>
      </c>
      <c r="J578" s="3" t="s">
        <v>2749</v>
      </c>
      <c r="K578" s="17"/>
      <c r="M578" s="17"/>
      <c r="N578" s="17"/>
      <c r="O578" s="17"/>
    </row>
    <row r="579" spans="1:15" ht="25.5" x14ac:dyDescent="0.2">
      <c r="A579" s="21">
        <v>45987</v>
      </c>
      <c r="B579" s="11">
        <f>+MONTH(A579)</f>
        <v>11</v>
      </c>
      <c r="C579" s="11">
        <f>+WEEKNUM(A579)</f>
        <v>48</v>
      </c>
      <c r="D579" s="3" t="s">
        <v>2748</v>
      </c>
      <c r="E579" s="3" t="s">
        <v>2747</v>
      </c>
      <c r="F579" s="3">
        <v>573002808562</v>
      </c>
      <c r="G579" s="3">
        <v>73683</v>
      </c>
      <c r="H579" s="34" t="s">
        <v>3326</v>
      </c>
      <c r="I579" s="34" t="s">
        <v>3326</v>
      </c>
      <c r="J579" s="3" t="s">
        <v>2746</v>
      </c>
      <c r="K579" s="17"/>
      <c r="M579" s="17"/>
      <c r="N579" s="17"/>
      <c r="O579" s="17"/>
    </row>
    <row r="580" spans="1:15" ht="25.5" x14ac:dyDescent="0.2">
      <c r="A580" s="21">
        <v>45987</v>
      </c>
      <c r="B580" s="11">
        <f>+MONTH(A580)</f>
        <v>11</v>
      </c>
      <c r="C580" s="11">
        <f>+WEEKNUM(A580)</f>
        <v>48</v>
      </c>
      <c r="D580" s="3" t="s">
        <v>2745</v>
      </c>
      <c r="E580" s="3" t="s">
        <v>2744</v>
      </c>
      <c r="F580" s="3">
        <v>573103093673</v>
      </c>
      <c r="G580" s="3">
        <v>74166</v>
      </c>
      <c r="H580" s="34" t="s">
        <v>3326</v>
      </c>
      <c r="I580" s="34" t="s">
        <v>3326</v>
      </c>
      <c r="J580" s="3" t="s">
        <v>2743</v>
      </c>
      <c r="K580" s="17"/>
      <c r="M580" s="17"/>
      <c r="N580" s="17"/>
      <c r="O580" s="17"/>
    </row>
    <row r="581" spans="1:15" ht="25.5" x14ac:dyDescent="0.2">
      <c r="A581" s="21">
        <v>45987</v>
      </c>
      <c r="B581" s="11">
        <f>+MONTH(A581)</f>
        <v>11</v>
      </c>
      <c r="C581" s="11">
        <f>+WEEKNUM(A581)</f>
        <v>48</v>
      </c>
      <c r="D581" s="3" t="s">
        <v>2742</v>
      </c>
      <c r="E581" s="3" t="s">
        <v>2741</v>
      </c>
      <c r="F581" s="3">
        <v>573186961187</v>
      </c>
      <c r="G581" s="3">
        <v>72801</v>
      </c>
      <c r="H581" s="34" t="s">
        <v>3326</v>
      </c>
      <c r="I581" s="34" t="s">
        <v>3326</v>
      </c>
      <c r="J581" s="3" t="s">
        <v>2740</v>
      </c>
      <c r="K581" s="17"/>
      <c r="M581" s="17"/>
      <c r="N581" s="17"/>
      <c r="O581" s="17"/>
    </row>
    <row r="582" spans="1:15" ht="25.5" x14ac:dyDescent="0.2">
      <c r="A582" s="21">
        <v>45987</v>
      </c>
      <c r="B582" s="11">
        <f>+MONTH(A582)</f>
        <v>11</v>
      </c>
      <c r="C582" s="11">
        <f>+WEEKNUM(A582)</f>
        <v>48</v>
      </c>
      <c r="D582" s="3" t="s">
        <v>2739</v>
      </c>
      <c r="E582" s="3" t="s">
        <v>2738</v>
      </c>
      <c r="F582" s="3">
        <v>573132108384</v>
      </c>
      <c r="G582" s="3">
        <v>73886</v>
      </c>
      <c r="H582" s="34" t="s">
        <v>3326</v>
      </c>
      <c r="I582" s="34" t="s">
        <v>3326</v>
      </c>
      <c r="J582" s="3" t="s">
        <v>2737</v>
      </c>
      <c r="K582" s="17"/>
      <c r="M582" s="17"/>
      <c r="N582" s="17"/>
      <c r="O582" s="17"/>
    </row>
    <row r="583" spans="1:15" ht="51" x14ac:dyDescent="0.2">
      <c r="A583" s="21">
        <v>45987</v>
      </c>
      <c r="B583" s="11">
        <f>+MONTH(A583)</f>
        <v>11</v>
      </c>
      <c r="C583" s="11">
        <f>+WEEKNUM(A583)</f>
        <v>48</v>
      </c>
      <c r="D583" s="3" t="s">
        <v>2324</v>
      </c>
      <c r="E583" s="3" t="s">
        <v>2736</v>
      </c>
      <c r="F583" s="3">
        <v>573208872284</v>
      </c>
      <c r="G583" s="3">
        <v>74171</v>
      </c>
      <c r="H583" s="34" t="s">
        <v>3326</v>
      </c>
      <c r="I583" s="34" t="s">
        <v>3326</v>
      </c>
      <c r="J583" s="3" t="s">
        <v>2735</v>
      </c>
      <c r="K583" s="17"/>
      <c r="M583" s="17"/>
      <c r="N583" s="17"/>
      <c r="O583" s="17"/>
    </row>
    <row r="584" spans="1:15" ht="25.5" x14ac:dyDescent="0.2">
      <c r="A584" s="21">
        <v>45986</v>
      </c>
      <c r="B584" s="11">
        <f>+MONTH(A584)</f>
        <v>11</v>
      </c>
      <c r="C584" s="11">
        <f>+WEEKNUM(A584)</f>
        <v>48</v>
      </c>
      <c r="D584" s="3" t="s">
        <v>1670</v>
      </c>
      <c r="E584" s="3" t="s">
        <v>2734</v>
      </c>
      <c r="F584" s="3">
        <v>573002124308</v>
      </c>
      <c r="G584" s="3">
        <v>74265</v>
      </c>
      <c r="H584" s="34" t="s">
        <v>3326</v>
      </c>
      <c r="I584" s="34" t="s">
        <v>3326</v>
      </c>
      <c r="J584" s="3" t="s">
        <v>2733</v>
      </c>
      <c r="K584" s="17"/>
      <c r="M584" s="17"/>
      <c r="N584" s="17"/>
      <c r="O584" s="17"/>
    </row>
    <row r="585" spans="1:15" ht="25.5" x14ac:dyDescent="0.2">
      <c r="A585" s="21">
        <v>45986</v>
      </c>
      <c r="B585" s="11">
        <f>+MONTH(A585)</f>
        <v>11</v>
      </c>
      <c r="C585" s="11">
        <f>+WEEKNUM(A585)</f>
        <v>48</v>
      </c>
      <c r="D585" s="3" t="s">
        <v>2732</v>
      </c>
      <c r="E585" s="3" t="s">
        <v>2731</v>
      </c>
      <c r="F585" s="3">
        <v>573003382721</v>
      </c>
      <c r="G585" s="3">
        <v>73942</v>
      </c>
      <c r="H585" s="34" t="s">
        <v>3326</v>
      </c>
      <c r="I585" s="34" t="s">
        <v>3326</v>
      </c>
      <c r="J585" s="3" t="s">
        <v>2730</v>
      </c>
      <c r="K585" s="17"/>
      <c r="M585" s="17"/>
      <c r="N585" s="17"/>
      <c r="O585" s="17"/>
    </row>
    <row r="586" spans="1:15" ht="25.5" x14ac:dyDescent="0.2">
      <c r="A586" s="21">
        <v>45986</v>
      </c>
      <c r="B586" s="11">
        <f>+MONTH(A586)</f>
        <v>11</v>
      </c>
      <c r="C586" s="11">
        <f>+WEEKNUM(A586)</f>
        <v>48</v>
      </c>
      <c r="D586" s="3" t="s">
        <v>2729</v>
      </c>
      <c r="E586" s="3" t="s">
        <v>2728</v>
      </c>
      <c r="F586" s="3">
        <v>573125553244</v>
      </c>
      <c r="G586" s="3">
        <v>73510</v>
      </c>
      <c r="H586" s="34" t="s">
        <v>3326</v>
      </c>
      <c r="I586" s="34" t="s">
        <v>3326</v>
      </c>
      <c r="J586" s="3" t="s">
        <v>2727</v>
      </c>
      <c r="K586" s="17"/>
      <c r="M586" s="17"/>
      <c r="N586" s="17"/>
      <c r="O586" s="17"/>
    </row>
    <row r="587" spans="1:15" ht="127.5" x14ac:dyDescent="0.2">
      <c r="A587" s="21">
        <v>45986</v>
      </c>
      <c r="B587" s="11">
        <f>+MONTH(A587)</f>
        <v>11</v>
      </c>
      <c r="C587" s="11">
        <f>+WEEKNUM(A587)</f>
        <v>48</v>
      </c>
      <c r="D587" s="3" t="s">
        <v>2726</v>
      </c>
      <c r="E587" s="3" t="s">
        <v>2725</v>
      </c>
      <c r="F587" s="3">
        <v>573133072404</v>
      </c>
      <c r="G587" s="3">
        <v>73512</v>
      </c>
      <c r="H587" s="34" t="s">
        <v>3326</v>
      </c>
      <c r="I587" s="34" t="s">
        <v>3326</v>
      </c>
      <c r="J587" s="3" t="s">
        <v>2724</v>
      </c>
      <c r="K587" s="15" t="s">
        <v>2768</v>
      </c>
      <c r="M587" s="17"/>
      <c r="N587" s="17"/>
      <c r="O587" s="17"/>
    </row>
    <row r="588" spans="1:15" ht="25.5" x14ac:dyDescent="0.2">
      <c r="A588" s="21">
        <v>45986</v>
      </c>
      <c r="B588" s="11">
        <f>+MONTH(A588)</f>
        <v>11</v>
      </c>
      <c r="C588" s="11">
        <f>+WEEKNUM(A588)</f>
        <v>48</v>
      </c>
      <c r="D588" s="3" t="s">
        <v>2723</v>
      </c>
      <c r="E588" s="3" t="s">
        <v>2722</v>
      </c>
      <c r="F588" s="3">
        <v>573059286332</v>
      </c>
      <c r="G588" s="3">
        <v>73836</v>
      </c>
      <c r="H588" s="34" t="s">
        <v>3326</v>
      </c>
      <c r="I588" s="34" t="s">
        <v>3326</v>
      </c>
      <c r="J588" s="3" t="s">
        <v>2721</v>
      </c>
      <c r="K588" s="17"/>
      <c r="M588" s="17"/>
      <c r="N588" s="17"/>
      <c r="O588" s="17"/>
    </row>
    <row r="589" spans="1:15" ht="25.5" x14ac:dyDescent="0.2">
      <c r="A589" s="21">
        <v>45986</v>
      </c>
      <c r="B589" s="11">
        <f>+MONTH(A589)</f>
        <v>11</v>
      </c>
      <c r="C589" s="11">
        <f>+WEEKNUM(A589)</f>
        <v>48</v>
      </c>
      <c r="D589" s="3" t="s">
        <v>2720</v>
      </c>
      <c r="E589" s="3" t="s">
        <v>2719</v>
      </c>
      <c r="F589" s="3">
        <v>573124473427</v>
      </c>
      <c r="G589" s="3">
        <v>74217</v>
      </c>
      <c r="H589" s="34" t="s">
        <v>3326</v>
      </c>
      <c r="I589" s="34" t="s">
        <v>3326</v>
      </c>
      <c r="J589" s="3" t="s">
        <v>2718</v>
      </c>
      <c r="K589" s="17"/>
      <c r="M589" s="17"/>
      <c r="N589" s="17"/>
      <c r="O589" s="17"/>
    </row>
    <row r="590" spans="1:15" ht="25.5" x14ac:dyDescent="0.2">
      <c r="A590" s="21">
        <v>45986</v>
      </c>
      <c r="B590" s="11">
        <f>+MONTH(A590)</f>
        <v>11</v>
      </c>
      <c r="C590" s="11">
        <f>+WEEKNUM(A590)</f>
        <v>48</v>
      </c>
      <c r="D590" s="3" t="s">
        <v>2717</v>
      </c>
      <c r="E590" s="3" t="s">
        <v>2716</v>
      </c>
      <c r="F590" s="3">
        <v>573212851475</v>
      </c>
      <c r="G590" s="3">
        <v>74138</v>
      </c>
      <c r="H590" s="34" t="s">
        <v>3326</v>
      </c>
      <c r="I590" s="34" t="s">
        <v>3326</v>
      </c>
      <c r="J590" s="3" t="s">
        <v>2715</v>
      </c>
      <c r="K590" s="17"/>
      <c r="M590" s="17"/>
      <c r="N590" s="17"/>
      <c r="O590" s="17"/>
    </row>
    <row r="591" spans="1:15" ht="12.75" x14ac:dyDescent="0.2">
      <c r="A591" s="21">
        <v>45986</v>
      </c>
      <c r="B591" s="11">
        <f>+MONTH(A591)</f>
        <v>11</v>
      </c>
      <c r="C591" s="11">
        <f>+WEEKNUM(A591)</f>
        <v>48</v>
      </c>
      <c r="D591" s="3" t="s">
        <v>2050</v>
      </c>
      <c r="E591" s="3" t="s">
        <v>2714</v>
      </c>
      <c r="F591" s="3">
        <v>573013379284</v>
      </c>
      <c r="G591" s="3">
        <v>73918</v>
      </c>
      <c r="H591" s="34" t="s">
        <v>3326</v>
      </c>
      <c r="I591" s="34" t="s">
        <v>3326</v>
      </c>
      <c r="J591" s="3"/>
      <c r="K591" s="17"/>
      <c r="M591" s="17"/>
      <c r="N591" s="17"/>
      <c r="O591" s="17"/>
    </row>
    <row r="592" spans="1:15" ht="38.25" x14ac:dyDescent="0.2">
      <c r="A592" s="21">
        <v>45986</v>
      </c>
      <c r="B592" s="11">
        <f>+MONTH(A592)</f>
        <v>11</v>
      </c>
      <c r="C592" s="11">
        <f>+WEEKNUM(A592)</f>
        <v>48</v>
      </c>
      <c r="D592" s="3" t="s">
        <v>2713</v>
      </c>
      <c r="E592" s="3" t="s">
        <v>2712</v>
      </c>
      <c r="F592" s="3">
        <v>573115542389</v>
      </c>
      <c r="G592" s="3">
        <v>73526</v>
      </c>
      <c r="H592" s="34" t="s">
        <v>3326</v>
      </c>
      <c r="I592" s="34" t="s">
        <v>22</v>
      </c>
      <c r="J592" s="3" t="s">
        <v>2711</v>
      </c>
      <c r="K592" s="17"/>
      <c r="M592" s="17"/>
      <c r="N592" s="17"/>
      <c r="O592" s="17"/>
    </row>
    <row r="593" spans="1:15" ht="114.75" x14ac:dyDescent="0.2">
      <c r="A593" s="21">
        <v>45986</v>
      </c>
      <c r="B593" s="11">
        <f>+MONTH(A593)</f>
        <v>11</v>
      </c>
      <c r="C593" s="11">
        <f>+WEEKNUM(A593)</f>
        <v>48</v>
      </c>
      <c r="D593" s="3" t="s">
        <v>2710</v>
      </c>
      <c r="E593" s="3" t="s">
        <v>2709</v>
      </c>
      <c r="F593" s="3">
        <v>573214205004</v>
      </c>
      <c r="G593" s="3">
        <v>73178</v>
      </c>
      <c r="H593" s="34" t="s">
        <v>3325</v>
      </c>
      <c r="I593" s="34" t="s">
        <v>3326</v>
      </c>
      <c r="J593" s="3" t="s">
        <v>2708</v>
      </c>
      <c r="K593" s="15" t="s">
        <v>2769</v>
      </c>
      <c r="M593" s="17"/>
      <c r="N593" s="17"/>
      <c r="O593" s="17"/>
    </row>
    <row r="594" spans="1:15" ht="12.75" x14ac:dyDescent="0.2">
      <c r="A594" s="21">
        <v>45986</v>
      </c>
      <c r="B594" s="11">
        <f>+MONTH(A594)</f>
        <v>11</v>
      </c>
      <c r="C594" s="11">
        <f>+WEEKNUM(A594)</f>
        <v>48</v>
      </c>
      <c r="D594" s="3" t="s">
        <v>2707</v>
      </c>
      <c r="E594" s="3" t="s">
        <v>2706</v>
      </c>
      <c r="F594" s="3">
        <v>573208291176</v>
      </c>
      <c r="G594" s="3">
        <v>73700</v>
      </c>
      <c r="H594" s="34" t="s">
        <v>3326</v>
      </c>
      <c r="I594" s="34" t="s">
        <v>3326</v>
      </c>
      <c r="J594" s="3"/>
      <c r="K594" s="17"/>
      <c r="M594" s="17"/>
      <c r="N594" s="17"/>
      <c r="O594" s="17"/>
    </row>
    <row r="595" spans="1:15" ht="25.5" x14ac:dyDescent="0.2">
      <c r="A595" s="21">
        <v>45986</v>
      </c>
      <c r="B595" s="11">
        <f>+MONTH(A595)</f>
        <v>11</v>
      </c>
      <c r="C595" s="11">
        <f>+WEEKNUM(A595)</f>
        <v>48</v>
      </c>
      <c r="D595" s="3" t="s">
        <v>2705</v>
      </c>
      <c r="E595" s="3" t="s">
        <v>2704</v>
      </c>
      <c r="F595" s="3">
        <v>573014003207</v>
      </c>
      <c r="G595" s="3">
        <v>73340</v>
      </c>
      <c r="H595" s="34" t="s">
        <v>3326</v>
      </c>
      <c r="I595" s="34" t="s">
        <v>3326</v>
      </c>
      <c r="J595" s="3" t="s">
        <v>2703</v>
      </c>
      <c r="K595" s="17"/>
      <c r="M595" s="17"/>
      <c r="N595" s="17"/>
      <c r="O595" s="17"/>
    </row>
    <row r="596" spans="1:15" ht="12.75" x14ac:dyDescent="0.2">
      <c r="A596" s="21">
        <v>45986</v>
      </c>
      <c r="B596" s="11">
        <f>+MONTH(A596)</f>
        <v>11</v>
      </c>
      <c r="C596" s="11">
        <f>+WEEKNUM(A596)</f>
        <v>48</v>
      </c>
      <c r="D596" s="3" t="s">
        <v>2702</v>
      </c>
      <c r="E596" s="3" t="s">
        <v>2701</v>
      </c>
      <c r="F596" s="3">
        <v>573002358795</v>
      </c>
      <c r="G596" s="3">
        <v>74210</v>
      </c>
      <c r="H596" s="34" t="s">
        <v>3326</v>
      </c>
      <c r="I596" s="34" t="s">
        <v>3326</v>
      </c>
      <c r="J596" s="3" t="s">
        <v>2700</v>
      </c>
      <c r="K596" s="17"/>
      <c r="M596" s="17"/>
      <c r="N596" s="17"/>
      <c r="O596" s="17"/>
    </row>
    <row r="597" spans="1:15" ht="25.5" x14ac:dyDescent="0.2">
      <c r="A597" s="21">
        <v>45986</v>
      </c>
      <c r="B597" s="11">
        <f>+MONTH(A597)</f>
        <v>11</v>
      </c>
      <c r="C597" s="11">
        <f>+WEEKNUM(A597)</f>
        <v>48</v>
      </c>
      <c r="D597" s="3" t="s">
        <v>1402</v>
      </c>
      <c r="E597" s="3" t="s">
        <v>2699</v>
      </c>
      <c r="F597" s="3">
        <v>573193959185</v>
      </c>
      <c r="G597" s="3">
        <v>73879</v>
      </c>
      <c r="H597" s="34" t="s">
        <v>3326</v>
      </c>
      <c r="I597" s="34" t="s">
        <v>3326</v>
      </c>
      <c r="J597" s="3" t="s">
        <v>2698</v>
      </c>
      <c r="K597" s="17"/>
      <c r="M597" s="17"/>
      <c r="N597" s="17"/>
      <c r="O597" s="17"/>
    </row>
    <row r="598" spans="1:15" ht="25.5" x14ac:dyDescent="0.2">
      <c r="A598" s="21">
        <v>45986</v>
      </c>
      <c r="B598" s="11">
        <f>+MONTH(A598)</f>
        <v>11</v>
      </c>
      <c r="C598" s="11">
        <f>+WEEKNUM(A598)</f>
        <v>48</v>
      </c>
      <c r="D598" s="3" t="s">
        <v>2697</v>
      </c>
      <c r="E598" s="3" t="s">
        <v>2696</v>
      </c>
      <c r="F598" s="3">
        <v>573008033835</v>
      </c>
      <c r="G598" s="3">
        <v>72822</v>
      </c>
      <c r="H598" s="34" t="s">
        <v>22</v>
      </c>
      <c r="I598" s="34" t="s">
        <v>3326</v>
      </c>
      <c r="J598" s="3" t="s">
        <v>2695</v>
      </c>
      <c r="K598" s="15" t="s">
        <v>2770</v>
      </c>
      <c r="M598" s="17"/>
      <c r="N598" s="17"/>
      <c r="O598" s="17"/>
    </row>
    <row r="599" spans="1:15" ht="25.5" x14ac:dyDescent="0.2">
      <c r="A599" s="21">
        <v>45986</v>
      </c>
      <c r="B599" s="11">
        <f>+MONTH(A599)</f>
        <v>11</v>
      </c>
      <c r="C599" s="11">
        <f>+WEEKNUM(A599)</f>
        <v>48</v>
      </c>
      <c r="D599" s="3" t="s">
        <v>2694</v>
      </c>
      <c r="E599" s="3" t="s">
        <v>2693</v>
      </c>
      <c r="F599" s="3">
        <v>573187947502</v>
      </c>
      <c r="G599" s="3">
        <v>73955</v>
      </c>
      <c r="H599" s="34" t="s">
        <v>3326</v>
      </c>
      <c r="I599" s="34" t="s">
        <v>3326</v>
      </c>
      <c r="J599" s="3" t="s">
        <v>2692</v>
      </c>
      <c r="K599" s="17"/>
      <c r="M599" s="17"/>
      <c r="N599" s="17"/>
      <c r="O599" s="17"/>
    </row>
    <row r="600" spans="1:15" ht="25.5" x14ac:dyDescent="0.2">
      <c r="A600" s="21">
        <v>45986</v>
      </c>
      <c r="B600" s="11">
        <f>+MONTH(A600)</f>
        <v>11</v>
      </c>
      <c r="C600" s="11">
        <f>+WEEKNUM(A600)</f>
        <v>48</v>
      </c>
      <c r="D600" s="3" t="s">
        <v>2007</v>
      </c>
      <c r="E600" s="3" t="s">
        <v>2008</v>
      </c>
      <c r="F600" s="3">
        <v>573023639976</v>
      </c>
      <c r="G600" s="3">
        <v>74237</v>
      </c>
      <c r="H600" s="34" t="s">
        <v>3326</v>
      </c>
      <c r="I600" s="34" t="s">
        <v>3326</v>
      </c>
      <c r="J600" s="3" t="s">
        <v>2691</v>
      </c>
      <c r="K600" s="17"/>
      <c r="M600" s="17"/>
      <c r="N600" s="17"/>
      <c r="O600" s="17"/>
    </row>
    <row r="601" spans="1:15" ht="12.75" x14ac:dyDescent="0.2">
      <c r="A601" s="21">
        <v>45986</v>
      </c>
      <c r="B601" s="11">
        <f>+MONTH(A601)</f>
        <v>11</v>
      </c>
      <c r="C601" s="11">
        <f>+WEEKNUM(A601)</f>
        <v>48</v>
      </c>
      <c r="D601" s="3" t="s">
        <v>2690</v>
      </c>
      <c r="E601" s="3" t="s">
        <v>2162</v>
      </c>
      <c r="F601" s="3">
        <v>573112888672</v>
      </c>
      <c r="G601" s="3">
        <v>73933</v>
      </c>
      <c r="H601" s="34" t="s">
        <v>3326</v>
      </c>
      <c r="I601" s="34" t="s">
        <v>3326</v>
      </c>
      <c r="J601" s="3" t="s">
        <v>217</v>
      </c>
      <c r="K601" s="17"/>
      <c r="M601" s="17"/>
      <c r="N601" s="17"/>
      <c r="O601" s="17"/>
    </row>
    <row r="602" spans="1:15" ht="25.5" x14ac:dyDescent="0.2">
      <c r="A602" s="21">
        <v>45986</v>
      </c>
      <c r="B602" s="11">
        <f>+MONTH(A602)</f>
        <v>11</v>
      </c>
      <c r="C602" s="11">
        <f>+WEEKNUM(A602)</f>
        <v>48</v>
      </c>
      <c r="D602" s="3" t="s">
        <v>1747</v>
      </c>
      <c r="E602" s="3" t="s">
        <v>2689</v>
      </c>
      <c r="F602" s="3">
        <v>573214281143</v>
      </c>
      <c r="G602" s="3">
        <v>73873</v>
      </c>
      <c r="H602" s="34" t="s">
        <v>3326</v>
      </c>
      <c r="I602" s="34" t="s">
        <v>3326</v>
      </c>
      <c r="J602" s="3" t="s">
        <v>2688</v>
      </c>
      <c r="K602" s="17"/>
      <c r="M602" s="17"/>
      <c r="N602" s="17"/>
      <c r="O602" s="17"/>
    </row>
    <row r="603" spans="1:15" ht="12.75" x14ac:dyDescent="0.2">
      <c r="A603" s="21">
        <v>45986</v>
      </c>
      <c r="B603" s="11">
        <f>+MONTH(A603)</f>
        <v>11</v>
      </c>
      <c r="C603" s="11">
        <f>+WEEKNUM(A603)</f>
        <v>48</v>
      </c>
      <c r="D603" s="3" t="s">
        <v>2687</v>
      </c>
      <c r="E603" s="3" t="s">
        <v>2686</v>
      </c>
      <c r="F603" s="3">
        <v>573208968291</v>
      </c>
      <c r="G603" s="3">
        <v>73419</v>
      </c>
      <c r="H603" s="34" t="s">
        <v>3326</v>
      </c>
      <c r="I603" s="34" t="s">
        <v>3326</v>
      </c>
      <c r="J603" s="3" t="s">
        <v>2685</v>
      </c>
      <c r="K603" s="17"/>
      <c r="M603" s="17"/>
      <c r="N603" s="17"/>
      <c r="O603" s="17"/>
    </row>
    <row r="604" spans="1:15" ht="25.5" x14ac:dyDescent="0.2">
      <c r="A604" s="21">
        <v>45986</v>
      </c>
      <c r="B604" s="11">
        <f>+MONTH(A604)</f>
        <v>11</v>
      </c>
      <c r="C604" s="11">
        <f>+WEEKNUM(A604)</f>
        <v>48</v>
      </c>
      <c r="D604" s="3" t="s">
        <v>2684</v>
      </c>
      <c r="E604" s="3" t="s">
        <v>2683</v>
      </c>
      <c r="F604" s="3">
        <v>573204540742</v>
      </c>
      <c r="G604" s="3">
        <v>73617</v>
      </c>
      <c r="H604" s="34" t="s">
        <v>3326</v>
      </c>
      <c r="I604" s="34" t="s">
        <v>3326</v>
      </c>
      <c r="J604" s="3" t="s">
        <v>2682</v>
      </c>
      <c r="K604" s="17"/>
      <c r="M604" s="17"/>
      <c r="N604" s="17"/>
      <c r="O604" s="17"/>
    </row>
    <row r="605" spans="1:15" ht="114.75" x14ac:dyDescent="0.2">
      <c r="A605" s="21">
        <v>45986</v>
      </c>
      <c r="B605" s="11">
        <f>+MONTH(A605)</f>
        <v>11</v>
      </c>
      <c r="C605" s="11">
        <f>+WEEKNUM(A605)</f>
        <v>48</v>
      </c>
      <c r="D605" s="3" t="s">
        <v>2681</v>
      </c>
      <c r="E605" s="3" t="s">
        <v>2680</v>
      </c>
      <c r="F605" s="3">
        <v>573118411848</v>
      </c>
      <c r="G605" s="3">
        <v>73643</v>
      </c>
      <c r="H605" s="34" t="s">
        <v>3325</v>
      </c>
      <c r="I605" s="34" t="s">
        <v>3326</v>
      </c>
      <c r="J605" s="3" t="s">
        <v>2679</v>
      </c>
      <c r="K605" s="15" t="s">
        <v>2771</v>
      </c>
      <c r="M605" s="17"/>
      <c r="N605" s="17"/>
      <c r="O605" s="17"/>
    </row>
    <row r="606" spans="1:15" ht="25.5" x14ac:dyDescent="0.2">
      <c r="A606" s="21">
        <v>45986</v>
      </c>
      <c r="B606" s="11">
        <f>+MONTH(A606)</f>
        <v>11</v>
      </c>
      <c r="C606" s="11">
        <f>+WEEKNUM(A606)</f>
        <v>48</v>
      </c>
      <c r="D606" s="3" t="s">
        <v>1484</v>
      </c>
      <c r="E606" s="3" t="s">
        <v>2678</v>
      </c>
      <c r="F606" s="3">
        <v>573168241052</v>
      </c>
      <c r="G606" s="3">
        <v>74202</v>
      </c>
      <c r="H606" s="34" t="s">
        <v>3326</v>
      </c>
      <c r="I606" s="34" t="s">
        <v>3326</v>
      </c>
      <c r="J606" s="3" t="s">
        <v>2677</v>
      </c>
      <c r="K606" s="17"/>
      <c r="M606" s="17"/>
      <c r="N606" s="17"/>
      <c r="O606" s="17"/>
    </row>
    <row r="607" spans="1:15" ht="89.25" x14ac:dyDescent="0.2">
      <c r="A607" s="21">
        <v>45986</v>
      </c>
      <c r="B607" s="11">
        <f>+MONTH(A607)</f>
        <v>11</v>
      </c>
      <c r="C607" s="11">
        <f>+WEEKNUM(A607)</f>
        <v>48</v>
      </c>
      <c r="D607" s="3" t="s">
        <v>1513</v>
      </c>
      <c r="E607" s="3" t="s">
        <v>2676</v>
      </c>
      <c r="F607" s="3">
        <v>573173910793</v>
      </c>
      <c r="G607" s="3">
        <v>74012</v>
      </c>
      <c r="H607" s="34" t="s">
        <v>22</v>
      </c>
      <c r="I607" s="34" t="s">
        <v>3326</v>
      </c>
      <c r="J607" s="3" t="s">
        <v>2675</v>
      </c>
      <c r="K607" s="15" t="s">
        <v>2772</v>
      </c>
      <c r="M607" s="17"/>
      <c r="N607" s="17"/>
      <c r="O607" s="17"/>
    </row>
    <row r="608" spans="1:15" ht="38.25" x14ac:dyDescent="0.2">
      <c r="A608" s="21">
        <v>45986</v>
      </c>
      <c r="B608" s="11">
        <f>+MONTH(A608)</f>
        <v>11</v>
      </c>
      <c r="C608" s="11">
        <f>+WEEKNUM(A608)</f>
        <v>48</v>
      </c>
      <c r="D608" s="3" t="s">
        <v>2674</v>
      </c>
      <c r="E608" s="3" t="s">
        <v>2673</v>
      </c>
      <c r="F608" s="3">
        <v>573147464012</v>
      </c>
      <c r="G608" s="3">
        <v>73891</v>
      </c>
      <c r="H608" s="34" t="s">
        <v>22</v>
      </c>
      <c r="I608" s="34" t="s">
        <v>22</v>
      </c>
      <c r="J608" s="3" t="s">
        <v>2672</v>
      </c>
      <c r="K608" s="15" t="s">
        <v>2773</v>
      </c>
      <c r="M608" s="17"/>
      <c r="N608" s="17"/>
      <c r="O608" s="17"/>
    </row>
    <row r="609" spans="1:15" ht="12.75" x14ac:dyDescent="0.2">
      <c r="A609" s="21">
        <v>45986</v>
      </c>
      <c r="B609" s="11">
        <f>+MONTH(A609)</f>
        <v>11</v>
      </c>
      <c r="C609" s="11">
        <f>+WEEKNUM(A609)</f>
        <v>48</v>
      </c>
      <c r="D609" s="3" t="s">
        <v>2148</v>
      </c>
      <c r="E609" s="3" t="s">
        <v>2671</v>
      </c>
      <c r="F609" s="3">
        <v>573143687401</v>
      </c>
      <c r="G609" s="3">
        <v>73536</v>
      </c>
      <c r="H609" s="34" t="s">
        <v>22</v>
      </c>
      <c r="I609" s="34" t="s">
        <v>3325</v>
      </c>
      <c r="J609" s="3"/>
      <c r="K609" s="17"/>
      <c r="M609" s="17"/>
      <c r="N609" s="17"/>
      <c r="O609" s="17"/>
    </row>
    <row r="610" spans="1:15" ht="89.25" x14ac:dyDescent="0.2">
      <c r="A610" s="21">
        <v>45986</v>
      </c>
      <c r="B610" s="11">
        <f>+MONTH(A610)</f>
        <v>11</v>
      </c>
      <c r="C610" s="11">
        <f>+WEEKNUM(A610)</f>
        <v>48</v>
      </c>
      <c r="D610" s="3" t="s">
        <v>2670</v>
      </c>
      <c r="E610" s="3" t="s">
        <v>2669</v>
      </c>
      <c r="F610" s="3">
        <v>573132055758</v>
      </c>
      <c r="G610" s="3">
        <v>73802</v>
      </c>
      <c r="H610" s="34" t="s">
        <v>3326</v>
      </c>
      <c r="I610" s="34" t="s">
        <v>3326</v>
      </c>
      <c r="J610" s="3" t="s">
        <v>2668</v>
      </c>
      <c r="K610" s="15" t="s">
        <v>2774</v>
      </c>
      <c r="M610" s="17"/>
      <c r="N610" s="17"/>
      <c r="O610" s="17"/>
    </row>
    <row r="611" spans="1:15" ht="38.25" x14ac:dyDescent="0.2">
      <c r="A611" s="21">
        <v>45985</v>
      </c>
      <c r="B611" s="11">
        <f>+MONTH(A611)</f>
        <v>11</v>
      </c>
      <c r="C611" s="11">
        <f>+WEEKNUM(A611)</f>
        <v>48</v>
      </c>
      <c r="D611" s="3" t="s">
        <v>1513</v>
      </c>
      <c r="E611" s="3" t="s">
        <v>2667</v>
      </c>
      <c r="F611" s="3">
        <v>573114789373</v>
      </c>
      <c r="G611" s="3">
        <v>73964</v>
      </c>
      <c r="H611" s="34" t="s">
        <v>3326</v>
      </c>
      <c r="I611" s="34" t="s">
        <v>3326</v>
      </c>
      <c r="J611" s="3" t="s">
        <v>2666</v>
      </c>
      <c r="K611" s="17"/>
      <c r="M611" s="17"/>
      <c r="N611" s="17"/>
      <c r="O611" s="17"/>
    </row>
    <row r="612" spans="1:15" ht="12.75" x14ac:dyDescent="0.2">
      <c r="A612" s="21">
        <v>45985</v>
      </c>
      <c r="B612" s="11">
        <f>+MONTH(A612)</f>
        <v>11</v>
      </c>
      <c r="C612" s="11">
        <f>+WEEKNUM(A612)</f>
        <v>48</v>
      </c>
      <c r="D612" s="3" t="s">
        <v>2334</v>
      </c>
      <c r="E612" s="3" t="s">
        <v>2665</v>
      </c>
      <c r="F612" s="3">
        <v>573204825863</v>
      </c>
      <c r="G612" s="3">
        <v>74143</v>
      </c>
      <c r="H612" s="34" t="s">
        <v>3326</v>
      </c>
      <c r="I612" s="34" t="s">
        <v>3326</v>
      </c>
      <c r="J612" s="3" t="s">
        <v>2664</v>
      </c>
      <c r="K612" s="17"/>
      <c r="M612" s="17"/>
      <c r="N612" s="17"/>
      <c r="O612" s="17"/>
    </row>
    <row r="613" spans="1:15" ht="51" x14ac:dyDescent="0.2">
      <c r="A613" s="21">
        <v>45985</v>
      </c>
      <c r="B613" s="11">
        <f>+MONTH(A613)</f>
        <v>11</v>
      </c>
      <c r="C613" s="11">
        <f>+WEEKNUM(A613)</f>
        <v>48</v>
      </c>
      <c r="D613" s="3" t="s">
        <v>2663</v>
      </c>
      <c r="E613" s="3" t="s">
        <v>1597</v>
      </c>
      <c r="F613" s="3">
        <v>573022905350</v>
      </c>
      <c r="G613" s="3">
        <v>73749</v>
      </c>
      <c r="H613" s="34" t="s">
        <v>3326</v>
      </c>
      <c r="I613" s="34" t="s">
        <v>3326</v>
      </c>
      <c r="J613" s="3" t="s">
        <v>2662</v>
      </c>
      <c r="K613" s="17"/>
      <c r="M613" s="17"/>
      <c r="N613" s="17"/>
      <c r="O613" s="17"/>
    </row>
    <row r="614" spans="1:15" ht="12.75" x14ac:dyDescent="0.2">
      <c r="A614" s="21">
        <v>45985</v>
      </c>
      <c r="B614" s="11">
        <f>+MONTH(A614)</f>
        <v>11</v>
      </c>
      <c r="C614" s="11">
        <f>+WEEKNUM(A614)</f>
        <v>48</v>
      </c>
      <c r="D614" s="3" t="s">
        <v>2108</v>
      </c>
      <c r="E614" s="3" t="s">
        <v>2658</v>
      </c>
      <c r="F614" s="3">
        <v>573208338089</v>
      </c>
      <c r="G614" s="3">
        <v>73811</v>
      </c>
      <c r="H614" s="34" t="s">
        <v>3326</v>
      </c>
      <c r="I614" s="34" t="s">
        <v>3326</v>
      </c>
      <c r="J614" s="3" t="s">
        <v>2657</v>
      </c>
      <c r="K614" s="17"/>
      <c r="M614" s="17"/>
      <c r="N614" s="17"/>
      <c r="O614" s="17"/>
    </row>
    <row r="615" spans="1:15" ht="25.5" x14ac:dyDescent="0.2">
      <c r="A615" s="21">
        <v>45985</v>
      </c>
      <c r="B615" s="11">
        <f>+MONTH(A615)</f>
        <v>11</v>
      </c>
      <c r="C615" s="11">
        <f>+WEEKNUM(A615)</f>
        <v>48</v>
      </c>
      <c r="D615" s="3" t="s">
        <v>2656</v>
      </c>
      <c r="E615" s="3" t="s">
        <v>2655</v>
      </c>
      <c r="F615" s="3">
        <v>573112617625</v>
      </c>
      <c r="G615" s="3">
        <v>73514</v>
      </c>
      <c r="H615" s="34" t="s">
        <v>3326</v>
      </c>
      <c r="I615" s="34" t="s">
        <v>3326</v>
      </c>
      <c r="J615" s="3" t="s">
        <v>2654</v>
      </c>
      <c r="K615" s="17"/>
      <c r="M615" s="17"/>
      <c r="N615" s="17"/>
      <c r="O615" s="17"/>
    </row>
    <row r="616" spans="1:15" ht="12.75" x14ac:dyDescent="0.2">
      <c r="A616" s="21">
        <v>45985</v>
      </c>
      <c r="B616" s="11">
        <f>+MONTH(A616)</f>
        <v>11</v>
      </c>
      <c r="C616" s="11">
        <f>+WEEKNUM(A616)</f>
        <v>48</v>
      </c>
      <c r="D616" s="3" t="s">
        <v>1939</v>
      </c>
      <c r="E616" s="3" t="s">
        <v>2653</v>
      </c>
      <c r="F616" s="3">
        <v>573003198451</v>
      </c>
      <c r="G616" s="3">
        <v>73851</v>
      </c>
      <c r="H616" s="34" t="s">
        <v>3326</v>
      </c>
      <c r="I616" s="34" t="s">
        <v>3326</v>
      </c>
      <c r="J616" s="3" t="s">
        <v>2652</v>
      </c>
      <c r="K616" s="17"/>
      <c r="M616" s="17"/>
      <c r="N616" s="17"/>
      <c r="O616" s="17"/>
    </row>
    <row r="617" spans="1:15" ht="25.5" x14ac:dyDescent="0.2">
      <c r="A617" s="21">
        <v>45985</v>
      </c>
      <c r="B617" s="11">
        <f>+MONTH(A617)</f>
        <v>11</v>
      </c>
      <c r="C617" s="11">
        <f>+WEEKNUM(A617)</f>
        <v>48</v>
      </c>
      <c r="D617" s="3" t="s">
        <v>1402</v>
      </c>
      <c r="E617" s="3" t="s">
        <v>2651</v>
      </c>
      <c r="F617" s="3">
        <v>573046387282</v>
      </c>
      <c r="G617" s="3">
        <v>73937</v>
      </c>
      <c r="H617" s="34" t="s">
        <v>3326</v>
      </c>
      <c r="I617" s="34" t="s">
        <v>3326</v>
      </c>
      <c r="J617" s="3" t="s">
        <v>64</v>
      </c>
      <c r="K617" s="17"/>
      <c r="M617" s="17"/>
      <c r="N617" s="17"/>
      <c r="O617" s="17"/>
    </row>
    <row r="618" spans="1:15" ht="25.5" x14ac:dyDescent="0.2">
      <c r="A618" s="21">
        <v>45985</v>
      </c>
      <c r="B618" s="11">
        <f>+MONTH(A618)</f>
        <v>11</v>
      </c>
      <c r="C618" s="11">
        <f>+WEEKNUM(A618)</f>
        <v>48</v>
      </c>
      <c r="D618" s="3" t="s">
        <v>1937</v>
      </c>
      <c r="E618" s="3" t="s">
        <v>2650</v>
      </c>
      <c r="F618" s="3">
        <v>573123642388</v>
      </c>
      <c r="G618" s="3">
        <v>73393</v>
      </c>
      <c r="H618" s="34" t="s">
        <v>3326</v>
      </c>
      <c r="I618" s="34" t="s">
        <v>3326</v>
      </c>
      <c r="J618" s="3" t="s">
        <v>2649</v>
      </c>
      <c r="K618" s="17"/>
      <c r="M618" s="17"/>
      <c r="N618" s="17"/>
      <c r="O618" s="17"/>
    </row>
    <row r="619" spans="1:15" ht="25.5" x14ac:dyDescent="0.2">
      <c r="A619" s="21">
        <v>45985</v>
      </c>
      <c r="B619" s="11">
        <f>+MONTH(A619)</f>
        <v>11</v>
      </c>
      <c r="C619" s="11">
        <f>+WEEKNUM(A619)</f>
        <v>48</v>
      </c>
      <c r="D619" s="3" t="s">
        <v>2648</v>
      </c>
      <c r="E619" s="3" t="s">
        <v>2647</v>
      </c>
      <c r="F619" s="3">
        <v>573107633195</v>
      </c>
      <c r="G619" s="3">
        <v>74130</v>
      </c>
      <c r="H619" s="34" t="s">
        <v>3326</v>
      </c>
      <c r="I619" s="34" t="s">
        <v>3326</v>
      </c>
      <c r="J619" s="3"/>
      <c r="K619" s="17"/>
      <c r="M619" s="17"/>
      <c r="N619" s="17"/>
      <c r="O619" s="17"/>
    </row>
    <row r="620" spans="1:15" ht="25.5" x14ac:dyDescent="0.2">
      <c r="A620" s="21">
        <v>45985</v>
      </c>
      <c r="B620" s="11">
        <f>+MONTH(A620)</f>
        <v>11</v>
      </c>
      <c r="C620" s="11">
        <f>+WEEKNUM(A620)</f>
        <v>48</v>
      </c>
      <c r="D620" s="3" t="s">
        <v>2648</v>
      </c>
      <c r="E620" s="3" t="s">
        <v>2647</v>
      </c>
      <c r="F620" s="3">
        <v>573107633195</v>
      </c>
      <c r="G620" s="3">
        <v>74130</v>
      </c>
      <c r="H620" s="34" t="s">
        <v>3326</v>
      </c>
      <c r="I620" s="34" t="s">
        <v>3326</v>
      </c>
      <c r="J620" s="3" t="s">
        <v>2646</v>
      </c>
      <c r="K620" s="17"/>
      <c r="M620" s="17"/>
      <c r="N620" s="17"/>
      <c r="O620" s="17"/>
    </row>
    <row r="621" spans="1:15" ht="12.75" x14ac:dyDescent="0.2">
      <c r="A621" s="21">
        <v>45985</v>
      </c>
      <c r="B621" s="11">
        <f>+MONTH(A621)</f>
        <v>11</v>
      </c>
      <c r="C621" s="11">
        <f>+WEEKNUM(A621)</f>
        <v>48</v>
      </c>
      <c r="D621" s="3" t="s">
        <v>1670</v>
      </c>
      <c r="E621" s="3" t="s">
        <v>2645</v>
      </c>
      <c r="F621" s="3">
        <v>573138589185</v>
      </c>
      <c r="G621" s="3">
        <v>73858</v>
      </c>
      <c r="H621" s="34" t="s">
        <v>3326</v>
      </c>
      <c r="I621" s="34" t="s">
        <v>3326</v>
      </c>
      <c r="J621" s="3"/>
      <c r="K621" s="17"/>
      <c r="M621" s="17"/>
      <c r="N621" s="17"/>
      <c r="O621" s="17"/>
    </row>
    <row r="622" spans="1:15" ht="25.5" x14ac:dyDescent="0.2">
      <c r="A622" s="21">
        <v>45985</v>
      </c>
      <c r="B622" s="11">
        <f>+MONTH(A622)</f>
        <v>11</v>
      </c>
      <c r="C622" s="11">
        <f>+WEEKNUM(A622)</f>
        <v>48</v>
      </c>
      <c r="D622" s="3" t="s">
        <v>2644</v>
      </c>
      <c r="E622" s="3" t="s">
        <v>2643</v>
      </c>
      <c r="F622" s="3">
        <v>573163234584</v>
      </c>
      <c r="G622" s="3">
        <v>73616</v>
      </c>
      <c r="H622" s="34" t="s">
        <v>22</v>
      </c>
      <c r="I622" s="34" t="s">
        <v>3326</v>
      </c>
      <c r="J622" s="3" t="s">
        <v>2642</v>
      </c>
      <c r="K622" s="15" t="s">
        <v>2775</v>
      </c>
      <c r="M622" s="17"/>
      <c r="N622" s="17"/>
      <c r="O622" s="17"/>
    </row>
    <row r="623" spans="1:15" ht="25.5" x14ac:dyDescent="0.2">
      <c r="A623" s="21">
        <v>45985</v>
      </c>
      <c r="B623" s="11">
        <f>+MONTH(A623)</f>
        <v>11</v>
      </c>
      <c r="C623" s="11">
        <f>+WEEKNUM(A623)</f>
        <v>48</v>
      </c>
      <c r="D623" s="3" t="s">
        <v>2162</v>
      </c>
      <c r="E623" s="3" t="s">
        <v>2641</v>
      </c>
      <c r="F623" s="3">
        <v>573222312587</v>
      </c>
      <c r="G623" s="3">
        <v>73814</v>
      </c>
      <c r="H623" s="34" t="s">
        <v>3326</v>
      </c>
      <c r="I623" s="34" t="s">
        <v>3326</v>
      </c>
      <c r="J623" s="3" t="s">
        <v>2640</v>
      </c>
      <c r="K623" s="17"/>
      <c r="M623" s="17"/>
      <c r="N623" s="17"/>
      <c r="O623" s="17"/>
    </row>
    <row r="624" spans="1:15" ht="38.25" x14ac:dyDescent="0.2">
      <c r="A624" s="21">
        <v>45985</v>
      </c>
      <c r="B624" s="11">
        <f>+MONTH(A624)</f>
        <v>11</v>
      </c>
      <c r="C624" s="11">
        <f>+WEEKNUM(A624)</f>
        <v>48</v>
      </c>
      <c r="D624" s="3" t="s">
        <v>2639</v>
      </c>
      <c r="E624" s="3" t="s">
        <v>2638</v>
      </c>
      <c r="F624" s="3">
        <v>573213550182</v>
      </c>
      <c r="G624" s="3">
        <v>74114</v>
      </c>
      <c r="H624" s="34" t="s">
        <v>22</v>
      </c>
      <c r="I624" s="34" t="s">
        <v>22</v>
      </c>
      <c r="J624" s="3" t="s">
        <v>2637</v>
      </c>
      <c r="K624" s="15" t="s">
        <v>2776</v>
      </c>
      <c r="M624" s="17"/>
      <c r="N624" s="17"/>
      <c r="O624" s="17"/>
    </row>
    <row r="625" spans="1:15" ht="12.75" x14ac:dyDescent="0.2">
      <c r="A625" s="21">
        <v>45985</v>
      </c>
      <c r="B625" s="11">
        <f>+MONTH(A625)</f>
        <v>11</v>
      </c>
      <c r="C625" s="11">
        <f>+WEEKNUM(A625)</f>
        <v>48</v>
      </c>
      <c r="D625" s="3" t="s">
        <v>2636</v>
      </c>
      <c r="E625" s="3" t="s">
        <v>2635</v>
      </c>
      <c r="F625" s="3">
        <v>573108088069</v>
      </c>
      <c r="G625" s="3">
        <v>73712</v>
      </c>
      <c r="H625" s="34" t="s">
        <v>3326</v>
      </c>
      <c r="I625" s="34" t="s">
        <v>3326</v>
      </c>
      <c r="J625" s="3" t="s">
        <v>2634</v>
      </c>
      <c r="K625" s="17"/>
      <c r="M625" s="17"/>
      <c r="N625" s="17"/>
      <c r="O625" s="17"/>
    </row>
    <row r="626" spans="1:15" ht="25.5" x14ac:dyDescent="0.2">
      <c r="A626" s="21">
        <v>45985</v>
      </c>
      <c r="B626" s="11">
        <f>+MONTH(A626)</f>
        <v>11</v>
      </c>
      <c r="C626" s="11">
        <f>+WEEKNUM(A626)</f>
        <v>48</v>
      </c>
      <c r="D626" s="3" t="s">
        <v>1539</v>
      </c>
      <c r="E626" s="3" t="s">
        <v>2633</v>
      </c>
      <c r="F626" s="3">
        <v>573202323926</v>
      </c>
      <c r="G626" s="3">
        <v>73579</v>
      </c>
      <c r="H626" s="34" t="s">
        <v>3326</v>
      </c>
      <c r="I626" s="34" t="s">
        <v>3326</v>
      </c>
      <c r="J626" s="3" t="s">
        <v>2632</v>
      </c>
      <c r="K626" s="17"/>
      <c r="M626" s="17"/>
      <c r="N626" s="17"/>
      <c r="O626" s="17"/>
    </row>
    <row r="627" spans="1:15" ht="25.5" x14ac:dyDescent="0.2">
      <c r="A627" s="21">
        <v>45983</v>
      </c>
      <c r="B627" s="11">
        <f>+MONTH(A627)</f>
        <v>11</v>
      </c>
      <c r="C627" s="11">
        <f>+WEEKNUM(A627)</f>
        <v>47</v>
      </c>
      <c r="D627" s="3" t="s">
        <v>2631</v>
      </c>
      <c r="E627" s="3" t="s">
        <v>2630</v>
      </c>
      <c r="F627" s="3">
        <v>573002092565</v>
      </c>
      <c r="G627" s="3">
        <v>73748</v>
      </c>
      <c r="H627" s="34" t="s">
        <v>3326</v>
      </c>
      <c r="I627" s="34" t="s">
        <v>3326</v>
      </c>
      <c r="J627" s="3" t="s">
        <v>2629</v>
      </c>
      <c r="K627" s="17"/>
      <c r="M627" s="17"/>
      <c r="N627" s="17"/>
      <c r="O627" s="17"/>
    </row>
    <row r="628" spans="1:15" ht="25.5" x14ac:dyDescent="0.2">
      <c r="A628" s="21">
        <v>45983</v>
      </c>
      <c r="B628" s="11">
        <f>+MONTH(A628)</f>
        <v>11</v>
      </c>
      <c r="C628" s="11">
        <f>+WEEKNUM(A628)</f>
        <v>47</v>
      </c>
      <c r="D628" s="3" t="s">
        <v>2628</v>
      </c>
      <c r="E628" s="3" t="s">
        <v>2627</v>
      </c>
      <c r="F628" s="3">
        <v>573165187152</v>
      </c>
      <c r="G628" s="3">
        <v>73241</v>
      </c>
      <c r="H628" s="34" t="s">
        <v>3326</v>
      </c>
      <c r="I628" s="34" t="s">
        <v>22</v>
      </c>
      <c r="J628" s="3" t="s">
        <v>2626</v>
      </c>
      <c r="K628" s="15" t="s">
        <v>2777</v>
      </c>
      <c r="M628" s="17"/>
      <c r="N628" s="17"/>
      <c r="O628" s="17"/>
    </row>
    <row r="629" spans="1:15" ht="25.5" x14ac:dyDescent="0.2">
      <c r="A629" s="21">
        <v>45983</v>
      </c>
      <c r="B629" s="11">
        <f>+MONTH(A629)</f>
        <v>11</v>
      </c>
      <c r="C629" s="11">
        <f>+WEEKNUM(A629)</f>
        <v>47</v>
      </c>
      <c r="D629" s="3" t="s">
        <v>2625</v>
      </c>
      <c r="E629" s="3" t="s">
        <v>2624</v>
      </c>
      <c r="F629" s="3">
        <v>573107770723</v>
      </c>
      <c r="G629" s="3">
        <v>74184</v>
      </c>
      <c r="H629" s="34" t="s">
        <v>3326</v>
      </c>
      <c r="I629" s="34" t="s">
        <v>3326</v>
      </c>
      <c r="J629" s="3" t="s">
        <v>2623</v>
      </c>
      <c r="K629" s="17"/>
      <c r="M629" s="17"/>
      <c r="N629" s="17"/>
      <c r="O629" s="17"/>
    </row>
    <row r="630" spans="1:15" ht="25.5" x14ac:dyDescent="0.2">
      <c r="A630" s="21">
        <v>45983</v>
      </c>
      <c r="B630" s="11">
        <f>+MONTH(A630)</f>
        <v>11</v>
      </c>
      <c r="C630" s="11">
        <f>+WEEKNUM(A630)</f>
        <v>47</v>
      </c>
      <c r="D630" s="3" t="s">
        <v>2237</v>
      </c>
      <c r="E630" s="3" t="s">
        <v>2073</v>
      </c>
      <c r="F630" s="3">
        <v>573112236262</v>
      </c>
      <c r="G630" s="3">
        <v>73734</v>
      </c>
      <c r="H630" s="34" t="s">
        <v>3326</v>
      </c>
      <c r="I630" s="34" t="s">
        <v>3326</v>
      </c>
      <c r="J630" s="3" t="s">
        <v>2622</v>
      </c>
      <c r="K630" s="17"/>
      <c r="M630" s="17"/>
      <c r="N630" s="17"/>
      <c r="O630" s="17"/>
    </row>
    <row r="631" spans="1:15" ht="25.5" x14ac:dyDescent="0.2">
      <c r="A631" s="21">
        <v>45983</v>
      </c>
      <c r="B631" s="11">
        <f>+MONTH(A631)</f>
        <v>11</v>
      </c>
      <c r="C631" s="11">
        <f>+WEEKNUM(A631)</f>
        <v>47</v>
      </c>
      <c r="D631" s="3" t="s">
        <v>2618</v>
      </c>
      <c r="E631" s="3" t="s">
        <v>2617</v>
      </c>
      <c r="F631" s="3">
        <v>573045488208</v>
      </c>
      <c r="G631" s="3">
        <v>73191</v>
      </c>
      <c r="H631" s="34" t="s">
        <v>3326</v>
      </c>
      <c r="I631" s="34" t="s">
        <v>3326</v>
      </c>
      <c r="J631" s="3"/>
      <c r="K631" s="17"/>
      <c r="M631" s="17"/>
      <c r="N631" s="17"/>
      <c r="O631" s="17"/>
    </row>
    <row r="632" spans="1:15" ht="25.5" x14ac:dyDescent="0.2">
      <c r="A632" s="21">
        <v>45983</v>
      </c>
      <c r="B632" s="11">
        <f>+MONTH(A632)</f>
        <v>11</v>
      </c>
      <c r="C632" s="11">
        <f>+WEEKNUM(A632)</f>
        <v>47</v>
      </c>
      <c r="D632" s="3" t="s">
        <v>2618</v>
      </c>
      <c r="E632" s="3" t="s">
        <v>2617</v>
      </c>
      <c r="F632" s="3">
        <v>573045488208</v>
      </c>
      <c r="G632" s="3">
        <v>73191</v>
      </c>
      <c r="H632" s="34" t="s">
        <v>3326</v>
      </c>
      <c r="I632" s="34" t="s">
        <v>3326</v>
      </c>
      <c r="J632" s="3" t="s">
        <v>2616</v>
      </c>
      <c r="K632" s="17"/>
      <c r="M632" s="17"/>
      <c r="N632" s="17"/>
      <c r="O632" s="17"/>
    </row>
    <row r="633" spans="1:15" ht="25.5" x14ac:dyDescent="0.2">
      <c r="A633" s="21">
        <v>45983</v>
      </c>
      <c r="B633" s="11">
        <f>+MONTH(A633)</f>
        <v>11</v>
      </c>
      <c r="C633" s="11">
        <f>+WEEKNUM(A633)</f>
        <v>47</v>
      </c>
      <c r="D633" s="3" t="s">
        <v>2615</v>
      </c>
      <c r="E633" s="3" t="s">
        <v>2614</v>
      </c>
      <c r="F633" s="3">
        <v>573164658445</v>
      </c>
      <c r="G633" s="3">
        <v>72763</v>
      </c>
      <c r="H633" s="34" t="s">
        <v>3326</v>
      </c>
      <c r="I633" s="34" t="s">
        <v>3326</v>
      </c>
      <c r="J633" s="3" t="s">
        <v>2613</v>
      </c>
      <c r="K633" s="17"/>
      <c r="M633" s="17"/>
      <c r="N633" s="17"/>
      <c r="O633" s="17"/>
    </row>
    <row r="634" spans="1:15" ht="25.5" x14ac:dyDescent="0.2">
      <c r="A634" s="21">
        <v>45982</v>
      </c>
      <c r="B634" s="11">
        <f>+MONTH(A634)</f>
        <v>11</v>
      </c>
      <c r="C634" s="11">
        <f>+WEEKNUM(A634)</f>
        <v>47</v>
      </c>
      <c r="D634" s="3" t="s">
        <v>2244</v>
      </c>
      <c r="E634" s="3" t="s">
        <v>2612</v>
      </c>
      <c r="F634" s="3">
        <v>573007096924</v>
      </c>
      <c r="G634" s="3">
        <v>73550</v>
      </c>
      <c r="H634" s="34" t="s">
        <v>3326</v>
      </c>
      <c r="I634" s="34" t="s">
        <v>3326</v>
      </c>
      <c r="J634" s="3"/>
      <c r="K634" s="17"/>
      <c r="M634" s="17"/>
      <c r="N634" s="17"/>
      <c r="O634" s="17"/>
    </row>
    <row r="635" spans="1:15" ht="25.5" x14ac:dyDescent="0.2">
      <c r="A635" s="21">
        <v>45982</v>
      </c>
      <c r="B635" s="11">
        <f>+MONTH(A635)</f>
        <v>11</v>
      </c>
      <c r="C635" s="11">
        <f>+WEEKNUM(A635)</f>
        <v>47</v>
      </c>
      <c r="D635" s="3" t="s">
        <v>2611</v>
      </c>
      <c r="E635" s="3" t="s">
        <v>2610</v>
      </c>
      <c r="F635" s="3">
        <v>573057057772</v>
      </c>
      <c r="G635" s="3">
        <v>73704</v>
      </c>
      <c r="H635" s="34" t="s">
        <v>3326</v>
      </c>
      <c r="I635" s="34" t="s">
        <v>3326</v>
      </c>
      <c r="J635" s="3" t="s">
        <v>2609</v>
      </c>
      <c r="K635" s="17"/>
      <c r="M635" s="17"/>
      <c r="N635" s="17"/>
      <c r="O635" s="17"/>
    </row>
    <row r="636" spans="1:15" ht="38.25" x14ac:dyDescent="0.2">
      <c r="A636" s="21">
        <v>45982</v>
      </c>
      <c r="B636" s="11">
        <f>+MONTH(A636)</f>
        <v>11</v>
      </c>
      <c r="C636" s="11">
        <f>+WEEKNUM(A636)</f>
        <v>47</v>
      </c>
      <c r="D636" s="3" t="s">
        <v>2608</v>
      </c>
      <c r="E636" s="3" t="s">
        <v>2607</v>
      </c>
      <c r="F636" s="3">
        <v>573194103861</v>
      </c>
      <c r="G636" s="3">
        <v>73644</v>
      </c>
      <c r="H636" s="34" t="s">
        <v>3326</v>
      </c>
      <c r="I636" s="34" t="s">
        <v>3326</v>
      </c>
      <c r="J636" s="3" t="s">
        <v>2606</v>
      </c>
      <c r="K636" s="17"/>
      <c r="M636" s="17"/>
      <c r="N636" s="17"/>
      <c r="O636" s="17"/>
    </row>
    <row r="637" spans="1:15" ht="12.75" x14ac:dyDescent="0.2">
      <c r="A637" s="21">
        <v>45982</v>
      </c>
      <c r="B637" s="11">
        <f>+MONTH(A637)</f>
        <v>11</v>
      </c>
      <c r="C637" s="11">
        <f>+WEEKNUM(A637)</f>
        <v>47</v>
      </c>
      <c r="D637" s="3" t="s">
        <v>2605</v>
      </c>
      <c r="E637" s="3" t="s">
        <v>2604</v>
      </c>
      <c r="F637" s="3">
        <v>573217263513</v>
      </c>
      <c r="G637" s="3">
        <v>73915</v>
      </c>
      <c r="H637" s="34" t="s">
        <v>3326</v>
      </c>
      <c r="I637" s="34" t="s">
        <v>3326</v>
      </c>
      <c r="J637" s="3" t="s">
        <v>2603</v>
      </c>
      <c r="K637" s="17"/>
      <c r="M637" s="17"/>
      <c r="N637" s="17"/>
      <c r="O637" s="17"/>
    </row>
    <row r="638" spans="1:15" ht="25.5" x14ac:dyDescent="0.2">
      <c r="A638" s="21">
        <v>45982</v>
      </c>
      <c r="B638" s="11">
        <f>+MONTH(A638)</f>
        <v>11</v>
      </c>
      <c r="C638" s="11">
        <f>+WEEKNUM(A638)</f>
        <v>47</v>
      </c>
      <c r="D638" s="3" t="s">
        <v>2602</v>
      </c>
      <c r="E638" s="3" t="s">
        <v>2601</v>
      </c>
      <c r="F638" s="3">
        <v>573232350705</v>
      </c>
      <c r="G638" s="3">
        <v>73592</v>
      </c>
      <c r="H638" s="34" t="s">
        <v>3326</v>
      </c>
      <c r="I638" s="34" t="s">
        <v>3326</v>
      </c>
      <c r="J638" s="3"/>
      <c r="K638" s="17"/>
      <c r="M638" s="17"/>
      <c r="N638" s="17"/>
      <c r="O638" s="17"/>
    </row>
    <row r="639" spans="1:15" ht="76.5" x14ac:dyDescent="0.2">
      <c r="A639" s="21">
        <v>45982</v>
      </c>
      <c r="B639" s="11">
        <f>+MONTH(A639)</f>
        <v>11</v>
      </c>
      <c r="C639" s="11">
        <f>+WEEKNUM(A639)</f>
        <v>47</v>
      </c>
      <c r="D639" s="3" t="s">
        <v>1679</v>
      </c>
      <c r="E639" s="3" t="s">
        <v>2600</v>
      </c>
      <c r="F639" s="3">
        <v>573502300103</v>
      </c>
      <c r="G639" s="3">
        <v>73960</v>
      </c>
      <c r="H639" s="34" t="s">
        <v>22</v>
      </c>
      <c r="I639" s="34" t="s">
        <v>3326</v>
      </c>
      <c r="J639" s="3" t="s">
        <v>2599</v>
      </c>
      <c r="K639" s="15" t="s">
        <v>1967</v>
      </c>
      <c r="M639" s="17"/>
      <c r="N639" s="17"/>
      <c r="O639" s="17"/>
    </row>
    <row r="640" spans="1:15" ht="25.5" x14ac:dyDescent="0.2">
      <c r="A640" s="21">
        <v>45982</v>
      </c>
      <c r="B640" s="11">
        <f>+MONTH(A640)</f>
        <v>11</v>
      </c>
      <c r="C640" s="11">
        <f>+WEEKNUM(A640)</f>
        <v>47</v>
      </c>
      <c r="D640" s="3" t="s">
        <v>1484</v>
      </c>
      <c r="E640" s="3" t="s">
        <v>2598</v>
      </c>
      <c r="F640" s="3">
        <v>573008048074</v>
      </c>
      <c r="G640" s="3">
        <v>73476</v>
      </c>
      <c r="H640" s="34" t="s">
        <v>3326</v>
      </c>
      <c r="I640" s="34" t="s">
        <v>3326</v>
      </c>
      <c r="J640" s="3" t="s">
        <v>2597</v>
      </c>
      <c r="K640" s="17"/>
      <c r="M640" s="17"/>
      <c r="N640" s="17"/>
      <c r="O640" s="17"/>
    </row>
    <row r="641" spans="1:15" ht="25.5" x14ac:dyDescent="0.2">
      <c r="A641" s="21">
        <v>45982</v>
      </c>
      <c r="B641" s="11">
        <f>+MONTH(A641)</f>
        <v>11</v>
      </c>
      <c r="C641" s="11">
        <f>+WEEKNUM(A641)</f>
        <v>47</v>
      </c>
      <c r="D641" s="3" t="s">
        <v>2596</v>
      </c>
      <c r="E641" s="3" t="s">
        <v>2595</v>
      </c>
      <c r="F641" s="3">
        <v>573234000573</v>
      </c>
      <c r="G641" s="3">
        <v>73047</v>
      </c>
      <c r="H641" s="34" t="s">
        <v>3326</v>
      </c>
      <c r="I641" s="34" t="s">
        <v>3326</v>
      </c>
      <c r="J641" s="3" t="s">
        <v>2594</v>
      </c>
      <c r="K641" s="17"/>
      <c r="M641" s="17"/>
      <c r="N641" s="17"/>
      <c r="O641" s="17"/>
    </row>
    <row r="642" spans="1:15" ht="25.5" x14ac:dyDescent="0.2">
      <c r="A642" s="21">
        <v>45982</v>
      </c>
      <c r="B642" s="11">
        <f>+MONTH(A642)</f>
        <v>11</v>
      </c>
      <c r="C642" s="11">
        <f>+WEEKNUM(A642)</f>
        <v>47</v>
      </c>
      <c r="D642" s="3" t="s">
        <v>1479</v>
      </c>
      <c r="E642" s="3" t="s">
        <v>2593</v>
      </c>
      <c r="F642" s="3">
        <v>573143376516</v>
      </c>
      <c r="G642" s="3">
        <v>73799</v>
      </c>
      <c r="H642" s="34" t="s">
        <v>3326</v>
      </c>
      <c r="I642" s="34" t="s">
        <v>3326</v>
      </c>
      <c r="J642" s="3" t="s">
        <v>2592</v>
      </c>
      <c r="K642" s="17"/>
      <c r="M642" s="17"/>
      <c r="N642" s="17"/>
      <c r="O642" s="17"/>
    </row>
    <row r="643" spans="1:15" ht="76.5" x14ac:dyDescent="0.2">
      <c r="A643" s="21">
        <v>45982</v>
      </c>
      <c r="B643" s="11">
        <f>+MONTH(A643)</f>
        <v>11</v>
      </c>
      <c r="C643" s="11">
        <f>+WEEKNUM(A643)</f>
        <v>47</v>
      </c>
      <c r="D643" s="3" t="s">
        <v>2591</v>
      </c>
      <c r="E643" s="3" t="s">
        <v>2590</v>
      </c>
      <c r="F643" s="3">
        <v>573153400123</v>
      </c>
      <c r="G643" s="3">
        <v>73250</v>
      </c>
      <c r="H643" s="34" t="s">
        <v>22</v>
      </c>
      <c r="I643" s="34" t="s">
        <v>22</v>
      </c>
      <c r="J643" s="3" t="s">
        <v>2589</v>
      </c>
      <c r="K643" s="15" t="s">
        <v>2778</v>
      </c>
      <c r="M643" s="17"/>
      <c r="N643" s="17"/>
      <c r="O643" s="17"/>
    </row>
    <row r="644" spans="1:15" ht="38.25" x14ac:dyDescent="0.2">
      <c r="A644" s="21">
        <v>45982</v>
      </c>
      <c r="B644" s="11">
        <f>+MONTH(A644)</f>
        <v>11</v>
      </c>
      <c r="C644" s="11">
        <f>+WEEKNUM(A644)</f>
        <v>47</v>
      </c>
      <c r="D644" s="3" t="s">
        <v>2588</v>
      </c>
      <c r="E644" s="3" t="s">
        <v>2587</v>
      </c>
      <c r="F644" s="3">
        <v>573002391078</v>
      </c>
      <c r="G644" s="3">
        <v>73896</v>
      </c>
      <c r="H644" s="34" t="s">
        <v>3326</v>
      </c>
      <c r="I644" s="34" t="s">
        <v>3326</v>
      </c>
      <c r="J644" s="3" t="s">
        <v>2586</v>
      </c>
      <c r="K644" s="17"/>
      <c r="M644" s="17"/>
      <c r="N644" s="17"/>
      <c r="O644" s="17"/>
    </row>
    <row r="645" spans="1:15" ht="25.5" x14ac:dyDescent="0.2">
      <c r="A645" s="21">
        <v>45982</v>
      </c>
      <c r="B645" s="11">
        <f>+MONTH(A645)</f>
        <v>11</v>
      </c>
      <c r="C645" s="11">
        <f>+WEEKNUM(A645)</f>
        <v>47</v>
      </c>
      <c r="D645" s="3" t="s">
        <v>1712</v>
      </c>
      <c r="E645" s="3" t="s">
        <v>2584</v>
      </c>
      <c r="F645" s="3">
        <v>573114596080</v>
      </c>
      <c r="G645" s="3">
        <v>73695</v>
      </c>
      <c r="H645" s="34" t="s">
        <v>3326</v>
      </c>
      <c r="I645" s="34" t="s">
        <v>3326</v>
      </c>
      <c r="J645" s="3" t="s">
        <v>2583</v>
      </c>
      <c r="K645" s="17"/>
      <c r="M645" s="17"/>
      <c r="N645" s="17"/>
      <c r="O645" s="17"/>
    </row>
    <row r="646" spans="1:15" ht="25.5" x14ac:dyDescent="0.2">
      <c r="A646" s="21">
        <v>45982</v>
      </c>
      <c r="B646" s="11">
        <f>+MONTH(A646)</f>
        <v>11</v>
      </c>
      <c r="C646" s="11">
        <f>+WEEKNUM(A646)</f>
        <v>47</v>
      </c>
      <c r="D646" s="3" t="s">
        <v>2582</v>
      </c>
      <c r="E646" s="3" t="s">
        <v>2581</v>
      </c>
      <c r="F646" s="3">
        <v>573022264153</v>
      </c>
      <c r="G646" s="3">
        <v>73923</v>
      </c>
      <c r="H646" s="34" t="s">
        <v>3326</v>
      </c>
      <c r="I646" s="34" t="s">
        <v>3326</v>
      </c>
      <c r="J646" s="3" t="s">
        <v>2580</v>
      </c>
      <c r="K646" s="17"/>
      <c r="M646" s="17"/>
      <c r="N646" s="17"/>
      <c r="O646" s="17"/>
    </row>
    <row r="647" spans="1:15" ht="38.25" x14ac:dyDescent="0.2">
      <c r="A647" s="21">
        <v>45982</v>
      </c>
      <c r="B647" s="11">
        <f>+MONTH(A647)</f>
        <v>11</v>
      </c>
      <c r="C647" s="11">
        <f>+WEEKNUM(A647)</f>
        <v>47</v>
      </c>
      <c r="D647" s="3" t="s">
        <v>2579</v>
      </c>
      <c r="E647" s="3" t="s">
        <v>1940</v>
      </c>
      <c r="F647" s="3">
        <v>573123507007</v>
      </c>
      <c r="G647" s="3">
        <v>73726</v>
      </c>
      <c r="H647" s="34" t="s">
        <v>3326</v>
      </c>
      <c r="I647" s="34" t="s">
        <v>3326</v>
      </c>
      <c r="J647" s="3" t="s">
        <v>2578</v>
      </c>
      <c r="K647" s="17"/>
      <c r="M647" s="17"/>
      <c r="N647" s="17"/>
      <c r="O647" s="17"/>
    </row>
    <row r="648" spans="1:15" ht="25.5" x14ac:dyDescent="0.2">
      <c r="A648" s="21">
        <v>45982</v>
      </c>
      <c r="B648" s="11">
        <f>+MONTH(A648)</f>
        <v>11</v>
      </c>
      <c r="C648" s="11">
        <f>+WEEKNUM(A648)</f>
        <v>47</v>
      </c>
      <c r="D648" s="3" t="s">
        <v>2169</v>
      </c>
      <c r="E648" s="3" t="s">
        <v>2577</v>
      </c>
      <c r="F648" s="3">
        <v>573107914325</v>
      </c>
      <c r="G648" s="3">
        <v>73780</v>
      </c>
      <c r="H648" s="34" t="s">
        <v>3326</v>
      </c>
      <c r="I648" s="34" t="s">
        <v>3326</v>
      </c>
      <c r="J648" s="3" t="s">
        <v>2576</v>
      </c>
      <c r="K648" s="17"/>
      <c r="M648" s="17"/>
      <c r="N648" s="17"/>
      <c r="O648" s="17"/>
    </row>
    <row r="649" spans="1:15" ht="63.75" x14ac:dyDescent="0.2">
      <c r="A649" s="21">
        <v>45982</v>
      </c>
      <c r="B649" s="11">
        <f>+MONTH(A649)</f>
        <v>11</v>
      </c>
      <c r="C649" s="11">
        <f>+WEEKNUM(A649)</f>
        <v>47</v>
      </c>
      <c r="D649" s="3" t="s">
        <v>2575</v>
      </c>
      <c r="E649" s="3" t="s">
        <v>2574</v>
      </c>
      <c r="F649" s="3">
        <v>573235831451</v>
      </c>
      <c r="G649" s="3">
        <v>73567</v>
      </c>
      <c r="H649" s="34" t="s">
        <v>3326</v>
      </c>
      <c r="I649" s="34" t="s">
        <v>3326</v>
      </c>
      <c r="J649" s="3" t="s">
        <v>2573</v>
      </c>
      <c r="K649" s="15" t="s">
        <v>2774</v>
      </c>
      <c r="M649" s="17"/>
      <c r="N649" s="17"/>
      <c r="O649" s="17"/>
    </row>
    <row r="650" spans="1:15" ht="51" x14ac:dyDescent="0.2">
      <c r="A650" s="21">
        <v>45981</v>
      </c>
      <c r="B650" s="11">
        <f>+MONTH(A650)</f>
        <v>11</v>
      </c>
      <c r="C650" s="11">
        <f>+WEEKNUM(A650)</f>
        <v>47</v>
      </c>
      <c r="D650" s="4" t="s">
        <v>2258</v>
      </c>
      <c r="E650" s="4" t="s">
        <v>2560</v>
      </c>
      <c r="F650" s="4">
        <v>573005700566</v>
      </c>
      <c r="G650" s="4">
        <v>73489</v>
      </c>
      <c r="H650" s="8" t="s">
        <v>3326</v>
      </c>
      <c r="I650" s="8" t="s">
        <v>3326</v>
      </c>
      <c r="J650" s="4" t="s">
        <v>2561</v>
      </c>
      <c r="K650" s="4"/>
      <c r="M650" s="4"/>
      <c r="N650" s="7"/>
      <c r="O650" s="7"/>
    </row>
    <row r="651" spans="1:15" ht="51" x14ac:dyDescent="0.2">
      <c r="A651" s="21">
        <v>45981</v>
      </c>
      <c r="B651" s="11">
        <f>+MONTH(A651)</f>
        <v>11</v>
      </c>
      <c r="C651" s="11">
        <f>+WEEKNUM(A651)</f>
        <v>47</v>
      </c>
      <c r="D651" s="4" t="s">
        <v>2554</v>
      </c>
      <c r="E651" s="4" t="s">
        <v>2555</v>
      </c>
      <c r="F651" s="4">
        <v>573103414375</v>
      </c>
      <c r="G651" s="4">
        <v>73795</v>
      </c>
      <c r="H651" s="8" t="s">
        <v>3326</v>
      </c>
      <c r="I651" s="8" t="s">
        <v>3326</v>
      </c>
      <c r="J651" s="4" t="s">
        <v>2556</v>
      </c>
      <c r="K651" s="4"/>
      <c r="M651" s="4"/>
      <c r="N651" s="7"/>
      <c r="O651" s="7"/>
    </row>
    <row r="652" spans="1:15" ht="51" x14ac:dyDescent="0.2">
      <c r="A652" s="26">
        <v>45981</v>
      </c>
      <c r="B652" s="27">
        <f>+MONTH(A652)</f>
        <v>11</v>
      </c>
      <c r="C652" s="11">
        <f>+WEEKNUM(A652)</f>
        <v>47</v>
      </c>
      <c r="D652" s="28" t="s">
        <v>2551</v>
      </c>
      <c r="E652" s="28" t="s">
        <v>2552</v>
      </c>
      <c r="F652" s="28">
        <v>573158759555</v>
      </c>
      <c r="G652" s="28">
        <v>73406</v>
      </c>
      <c r="H652" s="28" t="s">
        <v>22</v>
      </c>
      <c r="I652" s="28" t="s">
        <v>3326</v>
      </c>
      <c r="J652" s="4" t="s">
        <v>2553</v>
      </c>
      <c r="K652" s="4"/>
      <c r="M652" s="4"/>
      <c r="N652" s="7"/>
      <c r="O652" s="7"/>
    </row>
    <row r="653" spans="1:15" ht="25.5" x14ac:dyDescent="0.2">
      <c r="A653" s="21">
        <v>45981</v>
      </c>
      <c r="B653" s="11">
        <f>+MONTH(A653)</f>
        <v>11</v>
      </c>
      <c r="C653" s="11">
        <f>+WEEKNUM(A653)</f>
        <v>47</v>
      </c>
      <c r="D653" s="4" t="s">
        <v>2557</v>
      </c>
      <c r="E653" s="4" t="s">
        <v>2558</v>
      </c>
      <c r="F653" s="4">
        <v>573138851936</v>
      </c>
      <c r="G653" s="4">
        <v>73681</v>
      </c>
      <c r="H653" s="8" t="s">
        <v>3326</v>
      </c>
      <c r="I653" s="8" t="s">
        <v>3326</v>
      </c>
      <c r="J653" s="4" t="s">
        <v>2559</v>
      </c>
      <c r="K653" s="4"/>
      <c r="M653" s="4"/>
      <c r="N653" s="7"/>
      <c r="O653" s="7"/>
    </row>
    <row r="654" spans="1:15" ht="12.75" x14ac:dyDescent="0.2">
      <c r="A654" s="21">
        <v>45981</v>
      </c>
      <c r="B654" s="11">
        <f>+MONTH(A654)</f>
        <v>11</v>
      </c>
      <c r="C654" s="11">
        <f>+WEEKNUM(A654)</f>
        <v>47</v>
      </c>
      <c r="D654" s="4" t="s">
        <v>2550</v>
      </c>
      <c r="E654" s="4" t="s">
        <v>2458</v>
      </c>
      <c r="F654" s="4">
        <v>573003053827</v>
      </c>
      <c r="G654" s="4">
        <v>73498</v>
      </c>
      <c r="H654" s="8" t="s">
        <v>3326</v>
      </c>
      <c r="I654" s="8" t="s">
        <v>3326</v>
      </c>
      <c r="J654" s="4" t="s">
        <v>12</v>
      </c>
      <c r="K654" s="4"/>
      <c r="M654" s="4"/>
      <c r="N654" s="7"/>
      <c r="O654" s="7"/>
    </row>
    <row r="655" spans="1:15" ht="25.5" x14ac:dyDescent="0.2">
      <c r="A655" s="21">
        <v>45981</v>
      </c>
      <c r="B655" s="11">
        <f>+MONTH(A655)</f>
        <v>11</v>
      </c>
      <c r="C655" s="11">
        <f>+WEEKNUM(A655)</f>
        <v>47</v>
      </c>
      <c r="D655" s="4" t="s">
        <v>2546</v>
      </c>
      <c r="E655" s="4" t="s">
        <v>2547</v>
      </c>
      <c r="F655" s="4">
        <v>573017347145</v>
      </c>
      <c r="G655" s="4">
        <v>73547</v>
      </c>
      <c r="H655" s="8" t="s">
        <v>3326</v>
      </c>
      <c r="I655" s="8" t="s">
        <v>3326</v>
      </c>
      <c r="J655" s="4"/>
      <c r="K655" s="4"/>
      <c r="M655" s="4"/>
      <c r="N655" s="7"/>
      <c r="O655" s="7"/>
    </row>
    <row r="656" spans="1:15" ht="25.5" x14ac:dyDescent="0.2">
      <c r="A656" s="21">
        <v>45981</v>
      </c>
      <c r="B656" s="11">
        <f>+MONTH(A656)</f>
        <v>11</v>
      </c>
      <c r="C656" s="11">
        <f>+WEEKNUM(A656)</f>
        <v>47</v>
      </c>
      <c r="D656" s="4" t="s">
        <v>2543</v>
      </c>
      <c r="E656" s="4" t="s">
        <v>2544</v>
      </c>
      <c r="F656" s="4">
        <v>573011171956</v>
      </c>
      <c r="G656" s="4">
        <v>73830</v>
      </c>
      <c r="H656" s="8" t="s">
        <v>3326</v>
      </c>
      <c r="I656" s="8" t="s">
        <v>3326</v>
      </c>
      <c r="J656" s="4" t="s">
        <v>2545</v>
      </c>
      <c r="K656" s="4"/>
      <c r="M656" s="4"/>
      <c r="N656" s="7"/>
      <c r="O656" s="7"/>
    </row>
    <row r="657" spans="1:15" ht="38.25" x14ac:dyDescent="0.2">
      <c r="A657" s="26">
        <v>45981</v>
      </c>
      <c r="B657" s="27">
        <f>+MONTH(A657)</f>
        <v>11</v>
      </c>
      <c r="C657" s="11">
        <f>+WEEKNUM(A657)</f>
        <v>47</v>
      </c>
      <c r="D657" s="28" t="s">
        <v>2396</v>
      </c>
      <c r="E657" s="28" t="s">
        <v>2548</v>
      </c>
      <c r="F657" s="28">
        <v>573184167057</v>
      </c>
      <c r="G657" s="28">
        <v>73208</v>
      </c>
      <c r="H657" s="28" t="s">
        <v>3326</v>
      </c>
      <c r="I657" s="28" t="s">
        <v>22</v>
      </c>
      <c r="J657" s="4" t="s">
        <v>2549</v>
      </c>
      <c r="K657" s="4"/>
      <c r="M657" s="4"/>
      <c r="N657" s="7"/>
      <c r="O657" s="7"/>
    </row>
    <row r="658" spans="1:15" ht="38.25" x14ac:dyDescent="0.2">
      <c r="A658" s="21">
        <v>45981</v>
      </c>
      <c r="B658" s="11">
        <f>+MONTH(A658)</f>
        <v>11</v>
      </c>
      <c r="C658" s="11">
        <f>+WEEKNUM(A658)</f>
        <v>47</v>
      </c>
      <c r="D658" s="4" t="s">
        <v>1462</v>
      </c>
      <c r="E658" s="4" t="s">
        <v>2541</v>
      </c>
      <c r="F658" s="4">
        <v>573134301888</v>
      </c>
      <c r="G658" s="4">
        <v>73288</v>
      </c>
      <c r="H658" s="8" t="s">
        <v>3326</v>
      </c>
      <c r="I658" s="8" t="s">
        <v>3326</v>
      </c>
      <c r="J658" s="4" t="s">
        <v>2542</v>
      </c>
      <c r="K658" s="4"/>
      <c r="M658" s="4"/>
      <c r="N658" s="7"/>
      <c r="O658" s="7"/>
    </row>
    <row r="659" spans="1:15" ht="25.5" x14ac:dyDescent="0.2">
      <c r="A659" s="21">
        <v>45981</v>
      </c>
      <c r="B659" s="11">
        <f>+MONTH(A659)</f>
        <v>11</v>
      </c>
      <c r="C659" s="11">
        <f>+WEEKNUM(A659)</f>
        <v>47</v>
      </c>
      <c r="D659" s="4" t="s">
        <v>1610</v>
      </c>
      <c r="E659" s="4" t="s">
        <v>2535</v>
      </c>
      <c r="F659" s="4">
        <v>573027364930</v>
      </c>
      <c r="G659" s="4">
        <v>73751</v>
      </c>
      <c r="H659" s="8" t="s">
        <v>3326</v>
      </c>
      <c r="I659" s="8" t="s">
        <v>3326</v>
      </c>
      <c r="J659" s="4"/>
      <c r="K659" s="4"/>
      <c r="M659" s="4"/>
      <c r="N659" s="7"/>
      <c r="O659" s="7"/>
    </row>
    <row r="660" spans="1:15" ht="25.5" x14ac:dyDescent="0.2">
      <c r="A660" s="21">
        <v>45981</v>
      </c>
      <c r="B660" s="11">
        <f>+MONTH(A660)</f>
        <v>11</v>
      </c>
      <c r="C660" s="11">
        <f>+WEEKNUM(A660)</f>
        <v>47</v>
      </c>
      <c r="D660" s="4" t="s">
        <v>1610</v>
      </c>
      <c r="E660" s="4" t="s">
        <v>2535</v>
      </c>
      <c r="F660" s="4">
        <v>573027364930</v>
      </c>
      <c r="G660" s="4">
        <v>73751</v>
      </c>
      <c r="H660" s="8" t="s">
        <v>3326</v>
      </c>
      <c r="I660" s="8" t="s">
        <v>3326</v>
      </c>
      <c r="J660" s="4"/>
      <c r="K660" s="4"/>
      <c r="M660" s="4"/>
      <c r="N660" s="7"/>
      <c r="O660" s="7"/>
    </row>
    <row r="661" spans="1:15" ht="12.75" x14ac:dyDescent="0.2">
      <c r="A661" s="21">
        <v>45981</v>
      </c>
      <c r="B661" s="11">
        <f>+MONTH(A661)</f>
        <v>11</v>
      </c>
      <c r="C661" s="11">
        <f>+WEEKNUM(A661)</f>
        <v>47</v>
      </c>
      <c r="D661" s="4" t="s">
        <v>1670</v>
      </c>
      <c r="E661" s="4" t="s">
        <v>1591</v>
      </c>
      <c r="F661" s="4">
        <v>573212461962</v>
      </c>
      <c r="G661" s="4">
        <v>73664</v>
      </c>
      <c r="H661" s="8" t="s">
        <v>3326</v>
      </c>
      <c r="I661" s="8" t="s">
        <v>3326</v>
      </c>
      <c r="J661" s="4" t="s">
        <v>2534</v>
      </c>
      <c r="K661" s="4"/>
      <c r="M661" s="4"/>
      <c r="N661" s="7"/>
      <c r="O661" s="7"/>
    </row>
    <row r="662" spans="1:15" ht="25.5" x14ac:dyDescent="0.2">
      <c r="A662" s="21">
        <v>45981</v>
      </c>
      <c r="B662" s="11">
        <f>+MONTH(A662)</f>
        <v>11</v>
      </c>
      <c r="C662" s="11">
        <f>+WEEKNUM(A662)</f>
        <v>47</v>
      </c>
      <c r="D662" s="4" t="s">
        <v>2532</v>
      </c>
      <c r="E662" s="4" t="s">
        <v>2533</v>
      </c>
      <c r="F662" s="4">
        <v>573133290565</v>
      </c>
      <c r="G662" s="4">
        <v>73533</v>
      </c>
      <c r="H662" s="8" t="s">
        <v>3326</v>
      </c>
      <c r="I662" s="8" t="s">
        <v>3326</v>
      </c>
      <c r="J662" s="4" t="s">
        <v>64</v>
      </c>
      <c r="K662" s="4"/>
      <c r="M662" s="4"/>
      <c r="N662" s="7"/>
      <c r="O662" s="7"/>
    </row>
    <row r="663" spans="1:15" ht="51" x14ac:dyDescent="0.2">
      <c r="A663" s="21">
        <v>45981</v>
      </c>
      <c r="B663" s="11">
        <f>+MONTH(A663)</f>
        <v>11</v>
      </c>
      <c r="C663" s="11">
        <f>+WEEKNUM(A663)</f>
        <v>47</v>
      </c>
      <c r="D663" s="4" t="s">
        <v>2151</v>
      </c>
      <c r="E663" s="4" t="s">
        <v>2536</v>
      </c>
      <c r="F663" s="4">
        <v>573017053530</v>
      </c>
      <c r="G663" s="4">
        <v>73442</v>
      </c>
      <c r="H663" s="8" t="s">
        <v>3326</v>
      </c>
      <c r="I663" s="8" t="s">
        <v>3326</v>
      </c>
      <c r="J663" s="4" t="s">
        <v>2537</v>
      </c>
      <c r="K663" s="4"/>
      <c r="M663" s="4"/>
      <c r="N663" s="7"/>
      <c r="O663" s="7"/>
    </row>
    <row r="664" spans="1:15" ht="38.25" x14ac:dyDescent="0.2">
      <c r="A664" s="21">
        <v>45980</v>
      </c>
      <c r="B664" s="11">
        <f>+MONTH(A664)</f>
        <v>11</v>
      </c>
      <c r="C664" s="11">
        <f>+WEEKNUM(A664)</f>
        <v>47</v>
      </c>
      <c r="D664" s="4" t="s">
        <v>2538</v>
      </c>
      <c r="E664" s="4" t="s">
        <v>2539</v>
      </c>
      <c r="F664" s="4">
        <v>573195156120</v>
      </c>
      <c r="G664" s="4">
        <v>73437</v>
      </c>
      <c r="H664" s="8" t="s">
        <v>3326</v>
      </c>
      <c r="I664" s="8" t="s">
        <v>3326</v>
      </c>
      <c r="J664" s="4" t="s">
        <v>2540</v>
      </c>
      <c r="K664" s="4"/>
      <c r="M664" s="4"/>
      <c r="N664" s="7"/>
      <c r="O664" s="7"/>
    </row>
    <row r="665" spans="1:15" ht="102" x14ac:dyDescent="0.2">
      <c r="A665" s="21">
        <v>45980</v>
      </c>
      <c r="B665" s="11">
        <f>+MONTH(A665)</f>
        <v>11</v>
      </c>
      <c r="C665" s="11">
        <f>+WEEKNUM(A665)</f>
        <v>47</v>
      </c>
      <c r="D665" s="4" t="s">
        <v>1670</v>
      </c>
      <c r="E665" s="4" t="s">
        <v>2188</v>
      </c>
      <c r="F665" s="4">
        <v>573004474047</v>
      </c>
      <c r="G665" s="4">
        <v>73021</v>
      </c>
      <c r="H665" s="8" t="s">
        <v>3326</v>
      </c>
      <c r="I665" s="8" t="s">
        <v>3326</v>
      </c>
      <c r="J665" s="4" t="s">
        <v>2531</v>
      </c>
      <c r="K665" s="4"/>
      <c r="M665" s="4"/>
      <c r="N665" s="7"/>
      <c r="O665" s="7"/>
    </row>
    <row r="666" spans="1:15" ht="12.75" x14ac:dyDescent="0.2">
      <c r="A666" s="21">
        <v>45980</v>
      </c>
      <c r="B666" s="11">
        <f>+MONTH(A666)</f>
        <v>11</v>
      </c>
      <c r="C666" s="11">
        <f>+WEEKNUM(A666)</f>
        <v>47</v>
      </c>
      <c r="D666" s="4" t="s">
        <v>1762</v>
      </c>
      <c r="E666" s="4" t="s">
        <v>2529</v>
      </c>
      <c r="F666" s="4">
        <v>573102142537</v>
      </c>
      <c r="G666" s="4">
        <v>73798</v>
      </c>
      <c r="H666" s="8" t="s">
        <v>3326</v>
      </c>
      <c r="I666" s="8" t="s">
        <v>3326</v>
      </c>
      <c r="J666" s="4" t="s">
        <v>2530</v>
      </c>
      <c r="K666" s="4"/>
      <c r="M666" s="4"/>
      <c r="N666" s="7"/>
      <c r="O666" s="7"/>
    </row>
    <row r="667" spans="1:15" ht="12.75" x14ac:dyDescent="0.2">
      <c r="A667" s="21">
        <v>45980</v>
      </c>
      <c r="B667" s="11">
        <f>+MONTH(A667)</f>
        <v>11</v>
      </c>
      <c r="C667" s="11">
        <f>+WEEKNUM(A667)</f>
        <v>47</v>
      </c>
      <c r="D667" s="4" t="s">
        <v>2526</v>
      </c>
      <c r="E667" s="4" t="s">
        <v>2527</v>
      </c>
      <c r="F667" s="4">
        <v>573138999041</v>
      </c>
      <c r="G667" s="4">
        <v>73455</v>
      </c>
      <c r="H667" s="8" t="s">
        <v>3326</v>
      </c>
      <c r="I667" s="8" t="s">
        <v>22</v>
      </c>
      <c r="J667" s="4" t="s">
        <v>2528</v>
      </c>
      <c r="K667" s="4"/>
      <c r="M667" s="4"/>
      <c r="N667" s="7"/>
      <c r="O667" s="7"/>
    </row>
    <row r="668" spans="1:15" ht="89.25" x14ac:dyDescent="0.2">
      <c r="A668" s="29">
        <v>45980</v>
      </c>
      <c r="B668" s="27">
        <f>+MONTH(A668)</f>
        <v>11</v>
      </c>
      <c r="C668" s="11">
        <f>+WEEKNUM(A668)</f>
        <v>47</v>
      </c>
      <c r="D668" s="30" t="s">
        <v>2523</v>
      </c>
      <c r="E668" s="30" t="s">
        <v>2524</v>
      </c>
      <c r="F668" s="30">
        <v>573107481365</v>
      </c>
      <c r="G668" s="30">
        <v>73537</v>
      </c>
      <c r="H668" s="30" t="s">
        <v>22</v>
      </c>
      <c r="I668" s="9" t="s">
        <v>3326</v>
      </c>
      <c r="J668" s="4" t="s">
        <v>2525</v>
      </c>
      <c r="K668" s="4"/>
      <c r="M668" s="4"/>
      <c r="N668" s="7"/>
      <c r="O668" s="7"/>
    </row>
    <row r="669" spans="1:15" ht="25.5" x14ac:dyDescent="0.2">
      <c r="A669" s="21">
        <v>45980</v>
      </c>
      <c r="B669" s="11">
        <f>+MONTH(A669)</f>
        <v>11</v>
      </c>
      <c r="C669" s="11">
        <f>+WEEKNUM(A669)</f>
        <v>47</v>
      </c>
      <c r="D669" s="4" t="s">
        <v>1640</v>
      </c>
      <c r="E669" s="4" t="s">
        <v>2521</v>
      </c>
      <c r="F669" s="4">
        <v>573178717090</v>
      </c>
      <c r="G669" s="4">
        <v>73770</v>
      </c>
      <c r="H669" s="8" t="s">
        <v>3326</v>
      </c>
      <c r="I669" s="8" t="s">
        <v>3326</v>
      </c>
      <c r="J669" s="4" t="s">
        <v>2522</v>
      </c>
      <c r="K669" s="4"/>
      <c r="M669" s="4"/>
      <c r="N669" s="7"/>
      <c r="O669" s="7"/>
    </row>
    <row r="670" spans="1:15" ht="12.75" x14ac:dyDescent="0.2">
      <c r="A670" s="21">
        <v>45980</v>
      </c>
      <c r="B670" s="11">
        <f>+MONTH(A670)</f>
        <v>11</v>
      </c>
      <c r="C670" s="11">
        <f>+WEEKNUM(A670)</f>
        <v>47</v>
      </c>
      <c r="D670" s="4" t="s">
        <v>2518</v>
      </c>
      <c r="E670" s="4" t="s">
        <v>2519</v>
      </c>
      <c r="F670" s="4">
        <v>573108646077</v>
      </c>
      <c r="G670" s="4">
        <v>73730</v>
      </c>
      <c r="H670" s="8" t="s">
        <v>3326</v>
      </c>
      <c r="I670" s="8" t="s">
        <v>3326</v>
      </c>
      <c r="J670" s="4" t="s">
        <v>2520</v>
      </c>
      <c r="K670" s="4"/>
      <c r="M670" s="4"/>
      <c r="N670" s="7"/>
      <c r="O670" s="7"/>
    </row>
    <row r="671" spans="1:15" ht="25.5" x14ac:dyDescent="0.2">
      <c r="A671" s="21">
        <v>45980</v>
      </c>
      <c r="B671" s="11">
        <f>+MONTH(A671)</f>
        <v>11</v>
      </c>
      <c r="C671" s="11">
        <f>+WEEKNUM(A671)</f>
        <v>47</v>
      </c>
      <c r="D671" s="4" t="s">
        <v>2515</v>
      </c>
      <c r="E671" s="4" t="s">
        <v>2516</v>
      </c>
      <c r="F671" s="4">
        <v>573195053746</v>
      </c>
      <c r="G671" s="4">
        <v>73745</v>
      </c>
      <c r="H671" s="8" t="s">
        <v>3326</v>
      </c>
      <c r="I671" s="8" t="s">
        <v>3326</v>
      </c>
      <c r="J671" s="4" t="s">
        <v>2517</v>
      </c>
      <c r="K671" s="4"/>
      <c r="M671" s="4"/>
      <c r="N671" s="7"/>
      <c r="O671" s="7"/>
    </row>
    <row r="672" spans="1:15" ht="25.5" x14ac:dyDescent="0.2">
      <c r="A672" s="21">
        <v>45980</v>
      </c>
      <c r="B672" s="11">
        <f>+MONTH(A672)</f>
        <v>11</v>
      </c>
      <c r="C672" s="11">
        <f>+WEEKNUM(A672)</f>
        <v>47</v>
      </c>
      <c r="D672" s="4" t="s">
        <v>2513</v>
      </c>
      <c r="E672" s="4" t="s">
        <v>2514</v>
      </c>
      <c r="F672" s="4">
        <v>573012562150</v>
      </c>
      <c r="G672" s="4">
        <v>73469</v>
      </c>
      <c r="H672" s="8" t="s">
        <v>3326</v>
      </c>
      <c r="I672" s="8" t="s">
        <v>3326</v>
      </c>
      <c r="J672" s="4" t="s">
        <v>64</v>
      </c>
      <c r="K672" s="4"/>
      <c r="M672" s="4"/>
      <c r="N672" s="7"/>
      <c r="O672" s="7"/>
    </row>
    <row r="673" spans="1:15" ht="25.5" x14ac:dyDescent="0.2">
      <c r="A673" s="21">
        <v>45980</v>
      </c>
      <c r="B673" s="11">
        <f>+MONTH(A673)</f>
        <v>11</v>
      </c>
      <c r="C673" s="11">
        <f>+WEEKNUM(A673)</f>
        <v>47</v>
      </c>
      <c r="D673" s="4" t="s">
        <v>2507</v>
      </c>
      <c r="E673" s="4" t="s">
        <v>2508</v>
      </c>
      <c r="F673" s="4">
        <v>573209836775</v>
      </c>
      <c r="G673" s="4">
        <v>73220</v>
      </c>
      <c r="H673" s="8" t="s">
        <v>3326</v>
      </c>
      <c r="I673" s="8" t="s">
        <v>3326</v>
      </c>
      <c r="J673" s="4"/>
      <c r="K673" s="4"/>
      <c r="M673" s="4"/>
      <c r="N673" s="7"/>
      <c r="O673" s="7"/>
    </row>
    <row r="674" spans="1:15" ht="25.5" x14ac:dyDescent="0.2">
      <c r="A674" s="21">
        <v>45980</v>
      </c>
      <c r="B674" s="11">
        <f>+MONTH(A674)</f>
        <v>11</v>
      </c>
      <c r="C674" s="11">
        <f>+WEEKNUM(A674)</f>
        <v>47</v>
      </c>
      <c r="D674" s="4" t="s">
        <v>2504</v>
      </c>
      <c r="E674" s="4" t="s">
        <v>2505</v>
      </c>
      <c r="F674" s="4">
        <v>573133538234</v>
      </c>
      <c r="G674" s="4">
        <v>73349</v>
      </c>
      <c r="H674" s="8" t="s">
        <v>3326</v>
      </c>
      <c r="I674" s="8" t="s">
        <v>3326</v>
      </c>
      <c r="J674" s="4" t="s">
        <v>2506</v>
      </c>
      <c r="K674" s="4"/>
      <c r="M674" s="4"/>
      <c r="N674" s="7"/>
      <c r="O674" s="7"/>
    </row>
    <row r="675" spans="1:15" ht="25.5" x14ac:dyDescent="0.2">
      <c r="A675" s="21">
        <v>45980</v>
      </c>
      <c r="B675" s="11">
        <f>+MONTH(A675)</f>
        <v>11</v>
      </c>
      <c r="C675" s="11">
        <f>+WEEKNUM(A675)</f>
        <v>47</v>
      </c>
      <c r="D675" s="4" t="s">
        <v>1447</v>
      </c>
      <c r="E675" s="4" t="s">
        <v>2509</v>
      </c>
      <c r="F675" s="4">
        <v>573124583270</v>
      </c>
      <c r="G675" s="4">
        <v>73580</v>
      </c>
      <c r="H675" s="8" t="s">
        <v>3326</v>
      </c>
      <c r="I675" s="8" t="s">
        <v>3326</v>
      </c>
      <c r="J675" s="4" t="s">
        <v>2510</v>
      </c>
      <c r="K675" s="4"/>
      <c r="M675" s="4"/>
      <c r="N675" s="7"/>
      <c r="O675" s="7"/>
    </row>
    <row r="676" spans="1:15" ht="25.5" x14ac:dyDescent="0.2">
      <c r="A676" s="29">
        <v>45980</v>
      </c>
      <c r="B676" s="27">
        <f>+MONTH(A676)</f>
        <v>11</v>
      </c>
      <c r="C676" s="11">
        <f>+WEEKNUM(A676)</f>
        <v>47</v>
      </c>
      <c r="D676" s="30" t="s">
        <v>2501</v>
      </c>
      <c r="E676" s="30" t="s">
        <v>2502</v>
      </c>
      <c r="F676" s="30">
        <v>573125394284</v>
      </c>
      <c r="G676" s="30">
        <v>72516</v>
      </c>
      <c r="H676" s="30" t="s">
        <v>22</v>
      </c>
      <c r="I676" s="30" t="s">
        <v>3325</v>
      </c>
      <c r="J676" s="4" t="s">
        <v>2503</v>
      </c>
      <c r="K676" s="4"/>
      <c r="M676" s="4"/>
      <c r="N676" s="7"/>
      <c r="O676" s="7"/>
    </row>
    <row r="677" spans="1:15" ht="25.5" x14ac:dyDescent="0.2">
      <c r="A677" s="21">
        <v>45980</v>
      </c>
      <c r="B677" s="11">
        <f>+MONTH(A677)</f>
        <v>11</v>
      </c>
      <c r="C677" s="11">
        <f>+WEEKNUM(A677)</f>
        <v>47</v>
      </c>
      <c r="D677" s="4" t="s">
        <v>1760</v>
      </c>
      <c r="E677" s="4" t="s">
        <v>2511</v>
      </c>
      <c r="F677" s="4">
        <v>573124820685</v>
      </c>
      <c r="G677" s="4">
        <v>73774</v>
      </c>
      <c r="H677" s="8" t="s">
        <v>3326</v>
      </c>
      <c r="I677" s="8" t="s">
        <v>3326</v>
      </c>
      <c r="J677" s="4" t="s">
        <v>2512</v>
      </c>
      <c r="K677" s="4"/>
      <c r="M677" s="4"/>
      <c r="N677" s="7"/>
      <c r="O677" s="7"/>
    </row>
    <row r="678" spans="1:15" ht="25.5" x14ac:dyDescent="0.2">
      <c r="A678" s="21">
        <v>45980</v>
      </c>
      <c r="B678" s="11">
        <f>+MONTH(A678)</f>
        <v>11</v>
      </c>
      <c r="C678" s="11">
        <f>+WEEKNUM(A678)</f>
        <v>47</v>
      </c>
      <c r="D678" s="4" t="s">
        <v>2162</v>
      </c>
      <c r="E678" s="4" t="s">
        <v>2500</v>
      </c>
      <c r="F678" s="4">
        <v>573103163301</v>
      </c>
      <c r="G678" s="4">
        <v>73506</v>
      </c>
      <c r="H678" s="8" t="s">
        <v>3326</v>
      </c>
      <c r="I678" s="8" t="s">
        <v>3326</v>
      </c>
      <c r="J678" s="4"/>
      <c r="K678" s="4"/>
      <c r="M678" s="4"/>
      <c r="N678" s="7"/>
      <c r="O678" s="7"/>
    </row>
    <row r="679" spans="1:15" ht="25.5" x14ac:dyDescent="0.2">
      <c r="A679" s="21">
        <v>45980</v>
      </c>
      <c r="B679" s="11">
        <f>+MONTH(A679)</f>
        <v>11</v>
      </c>
      <c r="C679" s="11">
        <f>+WEEKNUM(A679)</f>
        <v>47</v>
      </c>
      <c r="D679" s="4" t="s">
        <v>1470</v>
      </c>
      <c r="E679" s="4" t="s">
        <v>2498</v>
      </c>
      <c r="F679" s="4">
        <v>573108174687</v>
      </c>
      <c r="G679" s="4">
        <v>73445</v>
      </c>
      <c r="H679" s="8" t="s">
        <v>3326</v>
      </c>
      <c r="I679" s="8" t="s">
        <v>3326</v>
      </c>
      <c r="J679" s="4" t="s">
        <v>2499</v>
      </c>
      <c r="K679" s="4"/>
      <c r="M679" s="4"/>
      <c r="N679" s="7"/>
      <c r="O679" s="7"/>
    </row>
    <row r="680" spans="1:15" ht="12.75" x14ac:dyDescent="0.2">
      <c r="A680" s="21">
        <v>45979</v>
      </c>
      <c r="B680" s="11">
        <f>+MONTH(A680)</f>
        <v>11</v>
      </c>
      <c r="C680" s="11">
        <f>+WEEKNUM(A680)</f>
        <v>47</v>
      </c>
      <c r="D680" s="4" t="s">
        <v>2492</v>
      </c>
      <c r="E680" s="4" t="s">
        <v>2493</v>
      </c>
      <c r="F680" s="4">
        <v>573204299458</v>
      </c>
      <c r="G680" s="4">
        <v>73089</v>
      </c>
      <c r="H680" s="8" t="s">
        <v>3326</v>
      </c>
      <c r="I680" s="8" t="s">
        <v>3326</v>
      </c>
      <c r="J680" s="4" t="s">
        <v>2494</v>
      </c>
      <c r="K680" s="4"/>
      <c r="M680" s="4"/>
      <c r="N680" s="7"/>
      <c r="O680" s="7"/>
    </row>
    <row r="681" spans="1:15" ht="25.5" x14ac:dyDescent="0.2">
      <c r="A681" s="21">
        <v>45979</v>
      </c>
      <c r="B681" s="11">
        <f>+MONTH(A681)</f>
        <v>11</v>
      </c>
      <c r="C681" s="11">
        <f>+WEEKNUM(A681)</f>
        <v>47</v>
      </c>
      <c r="D681" s="4" t="s">
        <v>2495</v>
      </c>
      <c r="E681" s="4" t="s">
        <v>2496</v>
      </c>
      <c r="F681" s="4">
        <v>573144731821</v>
      </c>
      <c r="G681" s="4">
        <v>73038</v>
      </c>
      <c r="H681" s="8" t="s">
        <v>3326</v>
      </c>
      <c r="I681" s="8" t="s">
        <v>3326</v>
      </c>
      <c r="J681" s="4" t="s">
        <v>2497</v>
      </c>
      <c r="K681" s="4"/>
      <c r="M681" s="4"/>
      <c r="N681" s="7"/>
      <c r="O681" s="7"/>
    </row>
    <row r="682" spans="1:15" ht="12.75" x14ac:dyDescent="0.2">
      <c r="A682" s="21">
        <v>45979</v>
      </c>
      <c r="B682" s="11">
        <f>+MONTH(A682)</f>
        <v>11</v>
      </c>
      <c r="C682" s="11">
        <f>+WEEKNUM(A682)</f>
        <v>47</v>
      </c>
      <c r="D682" s="4" t="s">
        <v>2337</v>
      </c>
      <c r="E682" s="4" t="s">
        <v>2490</v>
      </c>
      <c r="F682" s="4">
        <v>573103414355</v>
      </c>
      <c r="G682" s="4">
        <v>73653</v>
      </c>
      <c r="H682" s="8" t="s">
        <v>3326</v>
      </c>
      <c r="I682" s="8" t="s">
        <v>3326</v>
      </c>
      <c r="J682" s="4" t="s">
        <v>2491</v>
      </c>
      <c r="K682" s="4"/>
      <c r="M682" s="4"/>
      <c r="N682" s="7"/>
      <c r="O682" s="7"/>
    </row>
    <row r="683" spans="1:15" ht="25.5" x14ac:dyDescent="0.2">
      <c r="A683" s="21">
        <v>45979</v>
      </c>
      <c r="B683" s="11">
        <f>+MONTH(A683)</f>
        <v>11</v>
      </c>
      <c r="C683" s="11">
        <f>+WEEKNUM(A683)</f>
        <v>47</v>
      </c>
      <c r="D683" s="4" t="s">
        <v>2484</v>
      </c>
      <c r="E683" s="4" t="s">
        <v>2485</v>
      </c>
      <c r="F683" s="4">
        <v>573213710406</v>
      </c>
      <c r="G683" s="4">
        <v>73484</v>
      </c>
      <c r="H683" s="8" t="s">
        <v>3326</v>
      </c>
      <c r="I683" s="8" t="s">
        <v>3326</v>
      </c>
      <c r="J683" s="4" t="s">
        <v>2486</v>
      </c>
      <c r="K683" s="4"/>
      <c r="M683" s="4"/>
      <c r="N683" s="7"/>
      <c r="O683" s="7"/>
    </row>
    <row r="684" spans="1:15" ht="25.5" x14ac:dyDescent="0.2">
      <c r="A684" s="26">
        <v>45979</v>
      </c>
      <c r="B684" s="27">
        <f>+MONTH(A684)</f>
        <v>11</v>
      </c>
      <c r="C684" s="11">
        <f>+WEEKNUM(A684)</f>
        <v>47</v>
      </c>
      <c r="D684" s="28" t="s">
        <v>1640</v>
      </c>
      <c r="E684" s="28" t="s">
        <v>2482</v>
      </c>
      <c r="F684" s="28">
        <v>573168859112</v>
      </c>
      <c r="G684" s="28">
        <v>73711</v>
      </c>
      <c r="H684" s="28" t="s">
        <v>22</v>
      </c>
      <c r="I684" s="28" t="s">
        <v>3326</v>
      </c>
      <c r="J684" s="4" t="s">
        <v>2483</v>
      </c>
      <c r="K684" s="4"/>
      <c r="M684" s="4"/>
      <c r="N684" s="7"/>
      <c r="O684" s="7"/>
    </row>
    <row r="685" spans="1:15" ht="63.75" x14ac:dyDescent="0.2">
      <c r="A685" s="21">
        <v>45979</v>
      </c>
      <c r="B685" s="11">
        <f>+MONTH(A685)</f>
        <v>11</v>
      </c>
      <c r="C685" s="11">
        <f>+WEEKNUM(A685)</f>
        <v>47</v>
      </c>
      <c r="D685" s="4" t="s">
        <v>2479</v>
      </c>
      <c r="E685" s="4" t="s">
        <v>2480</v>
      </c>
      <c r="F685" s="4">
        <v>573194668858</v>
      </c>
      <c r="G685" s="4">
        <v>73394</v>
      </c>
      <c r="H685" s="8" t="s">
        <v>3326</v>
      </c>
      <c r="I685" s="8" t="s">
        <v>3326</v>
      </c>
      <c r="J685" s="4" t="s">
        <v>2481</v>
      </c>
      <c r="K685" s="4"/>
      <c r="M685" s="4"/>
      <c r="N685" s="7"/>
      <c r="O685" s="7"/>
    </row>
    <row r="686" spans="1:15" ht="25.5" x14ac:dyDescent="0.2">
      <c r="A686" s="21">
        <v>45979</v>
      </c>
      <c r="B686" s="11">
        <f>+MONTH(A686)</f>
        <v>11</v>
      </c>
      <c r="C686" s="11">
        <f>+WEEKNUM(A686)</f>
        <v>47</v>
      </c>
      <c r="D686" s="4" t="s">
        <v>2487</v>
      </c>
      <c r="E686" s="4" t="s">
        <v>2488</v>
      </c>
      <c r="F686" s="4">
        <v>573202286257</v>
      </c>
      <c r="G686" s="4">
        <v>56483</v>
      </c>
      <c r="H686" s="8" t="s">
        <v>3326</v>
      </c>
      <c r="I686" s="8" t="s">
        <v>3326</v>
      </c>
      <c r="J686" s="4" t="s">
        <v>2489</v>
      </c>
      <c r="K686" s="4"/>
      <c r="M686" s="4"/>
      <c r="N686" s="7"/>
      <c r="O686" s="7"/>
    </row>
    <row r="687" spans="1:15" ht="25.5" x14ac:dyDescent="0.2">
      <c r="A687" s="21">
        <v>45979</v>
      </c>
      <c r="B687" s="11">
        <f>+MONTH(A687)</f>
        <v>11</v>
      </c>
      <c r="C687" s="11">
        <f>+WEEKNUM(A687)</f>
        <v>47</v>
      </c>
      <c r="D687" s="4" t="s">
        <v>2476</v>
      </c>
      <c r="E687" s="4" t="s">
        <v>2477</v>
      </c>
      <c r="F687" s="4">
        <v>573115517391</v>
      </c>
      <c r="G687" s="4">
        <v>73565</v>
      </c>
      <c r="H687" s="8" t="s">
        <v>3326</v>
      </c>
      <c r="I687" s="8" t="s">
        <v>3326</v>
      </c>
      <c r="J687" s="4" t="s">
        <v>2478</v>
      </c>
      <c r="K687" s="4"/>
      <c r="M687" s="4"/>
      <c r="N687" s="7"/>
      <c r="O687" s="7"/>
    </row>
    <row r="688" spans="1:15" ht="25.5" x14ac:dyDescent="0.2">
      <c r="A688" s="21">
        <v>45979</v>
      </c>
      <c r="B688" s="11">
        <f>+MONTH(A688)</f>
        <v>11</v>
      </c>
      <c r="C688" s="11">
        <f>+WEEKNUM(A688)</f>
        <v>47</v>
      </c>
      <c r="D688" s="4" t="s">
        <v>1499</v>
      </c>
      <c r="E688" s="4" t="s">
        <v>2475</v>
      </c>
      <c r="F688" s="4">
        <v>573168466800</v>
      </c>
      <c r="G688" s="4">
        <v>73129</v>
      </c>
      <c r="H688" s="8" t="s">
        <v>3326</v>
      </c>
      <c r="I688" s="8" t="s">
        <v>3326</v>
      </c>
      <c r="J688" s="4" t="s">
        <v>228</v>
      </c>
      <c r="K688" s="4"/>
      <c r="M688" s="4"/>
      <c r="N688" s="7"/>
      <c r="O688" s="7"/>
    </row>
    <row r="689" spans="1:15" ht="25.5" x14ac:dyDescent="0.2">
      <c r="A689" s="21">
        <v>45979</v>
      </c>
      <c r="B689" s="11">
        <f>+MONTH(A689)</f>
        <v>11</v>
      </c>
      <c r="C689" s="11">
        <f>+WEEKNUM(A689)</f>
        <v>47</v>
      </c>
      <c r="D689" s="4" t="s">
        <v>2472</v>
      </c>
      <c r="E689" s="4" t="s">
        <v>2473</v>
      </c>
      <c r="F689" s="4">
        <v>573017089412</v>
      </c>
      <c r="G689" s="4">
        <v>73253</v>
      </c>
      <c r="H689" s="8" t="s">
        <v>3326</v>
      </c>
      <c r="I689" s="8" t="s">
        <v>3326</v>
      </c>
      <c r="J689" s="4"/>
      <c r="K689" s="4"/>
      <c r="M689" s="4"/>
      <c r="N689" s="7"/>
      <c r="O689" s="7"/>
    </row>
    <row r="690" spans="1:15" ht="25.5" x14ac:dyDescent="0.2">
      <c r="A690" s="21">
        <v>45979</v>
      </c>
      <c r="B690" s="11">
        <f>+MONTH(A690)</f>
        <v>11</v>
      </c>
      <c r="C690" s="11">
        <f>+WEEKNUM(A690)</f>
        <v>47</v>
      </c>
      <c r="D690" s="4" t="s">
        <v>2472</v>
      </c>
      <c r="E690" s="4" t="s">
        <v>2473</v>
      </c>
      <c r="F690" s="4">
        <v>573017089412</v>
      </c>
      <c r="G690" s="4">
        <v>73253</v>
      </c>
      <c r="H690" s="8" t="s">
        <v>3326</v>
      </c>
      <c r="I690" s="8" t="s">
        <v>3326</v>
      </c>
      <c r="J690" s="4" t="s">
        <v>2474</v>
      </c>
      <c r="K690" s="4"/>
      <c r="M690" s="4"/>
      <c r="N690" s="7"/>
      <c r="O690" s="7"/>
    </row>
    <row r="691" spans="1:15" ht="25.5" x14ac:dyDescent="0.2">
      <c r="A691" s="21">
        <v>45979</v>
      </c>
      <c r="B691" s="11">
        <f>+MONTH(A691)</f>
        <v>11</v>
      </c>
      <c r="C691" s="11">
        <f>+WEEKNUM(A691)</f>
        <v>47</v>
      </c>
      <c r="D691" s="4" t="s">
        <v>1758</v>
      </c>
      <c r="E691" s="4" t="s">
        <v>2470</v>
      </c>
      <c r="F691" s="4">
        <v>573107948209</v>
      </c>
      <c r="G691" s="4">
        <v>73168</v>
      </c>
      <c r="H691" s="8" t="s">
        <v>3326</v>
      </c>
      <c r="I691" s="8" t="s">
        <v>3326</v>
      </c>
      <c r="J691" s="4" t="s">
        <v>2471</v>
      </c>
      <c r="K691" s="4"/>
      <c r="M691" s="4"/>
      <c r="N691" s="7"/>
      <c r="O691" s="7"/>
    </row>
    <row r="692" spans="1:15" ht="12.75" x14ac:dyDescent="0.2">
      <c r="A692" s="21">
        <v>45976</v>
      </c>
      <c r="B692" s="11">
        <f>+MONTH(A692)</f>
        <v>11</v>
      </c>
      <c r="C692" s="11">
        <f>+WEEKNUM(A692)</f>
        <v>46</v>
      </c>
      <c r="D692" s="4" t="s">
        <v>2463</v>
      </c>
      <c r="E692" s="4" t="s">
        <v>2464</v>
      </c>
      <c r="F692" s="4">
        <v>573132707814</v>
      </c>
      <c r="G692" s="4">
        <v>71890</v>
      </c>
      <c r="H692" s="8" t="s">
        <v>3326</v>
      </c>
      <c r="I692" s="8" t="s">
        <v>3326</v>
      </c>
      <c r="J692" s="4" t="s">
        <v>2465</v>
      </c>
      <c r="K692" s="4"/>
      <c r="M692" s="4"/>
      <c r="N692" s="7"/>
      <c r="O692" s="7"/>
    </row>
    <row r="693" spans="1:15" ht="12.75" x14ac:dyDescent="0.2">
      <c r="A693" s="21">
        <v>45976</v>
      </c>
      <c r="B693" s="11">
        <f>+MONTH(A693)</f>
        <v>11</v>
      </c>
      <c r="C693" s="11">
        <f>+WEEKNUM(A693)</f>
        <v>46</v>
      </c>
      <c r="D693" s="4" t="s">
        <v>1501</v>
      </c>
      <c r="E693" s="4" t="s">
        <v>2466</v>
      </c>
      <c r="F693" s="4">
        <v>573143705709</v>
      </c>
      <c r="G693" s="4">
        <v>72020</v>
      </c>
      <c r="H693" s="8" t="s">
        <v>3326</v>
      </c>
      <c r="I693" s="8" t="s">
        <v>3326</v>
      </c>
      <c r="J693" s="4" t="s">
        <v>2467</v>
      </c>
      <c r="K693" s="4"/>
      <c r="M693" s="4"/>
      <c r="N693" s="7"/>
      <c r="O693" s="7"/>
    </row>
    <row r="694" spans="1:15" ht="12.75" x14ac:dyDescent="0.2">
      <c r="A694" s="21">
        <v>45976</v>
      </c>
      <c r="B694" s="11">
        <f>+MONTH(A694)</f>
        <v>11</v>
      </c>
      <c r="C694" s="11">
        <f>+WEEKNUM(A694)</f>
        <v>46</v>
      </c>
      <c r="D694" s="4" t="s">
        <v>1479</v>
      </c>
      <c r="E694" s="4" t="s">
        <v>2458</v>
      </c>
      <c r="F694" s="4">
        <v>573004693082</v>
      </c>
      <c r="G694" s="4">
        <v>73451</v>
      </c>
      <c r="H694" s="8" t="s">
        <v>3326</v>
      </c>
      <c r="I694" s="8" t="s">
        <v>3326</v>
      </c>
      <c r="J694" s="4" t="s">
        <v>2459</v>
      </c>
      <c r="K694" s="4"/>
      <c r="M694" s="4"/>
      <c r="N694" s="7"/>
      <c r="O694" s="7"/>
    </row>
    <row r="695" spans="1:15" ht="25.5" x14ac:dyDescent="0.2">
      <c r="A695" s="21">
        <v>45976</v>
      </c>
      <c r="B695" s="11">
        <f>+MONTH(A695)</f>
        <v>11</v>
      </c>
      <c r="C695" s="11">
        <f>+WEEKNUM(A695)</f>
        <v>46</v>
      </c>
      <c r="D695" s="4" t="s">
        <v>2456</v>
      </c>
      <c r="E695" s="4" t="s">
        <v>2457</v>
      </c>
      <c r="F695" s="4">
        <v>573155169327</v>
      </c>
      <c r="G695" s="4">
        <v>73098</v>
      </c>
      <c r="H695" s="8" t="s">
        <v>3326</v>
      </c>
      <c r="I695" s="8" t="s">
        <v>3326</v>
      </c>
      <c r="J695" s="4" t="s">
        <v>129</v>
      </c>
      <c r="K695" s="4"/>
      <c r="M695" s="4"/>
      <c r="N695" s="7"/>
      <c r="O695" s="7"/>
    </row>
    <row r="696" spans="1:15" ht="51" x14ac:dyDescent="0.2">
      <c r="A696" s="31">
        <v>45976</v>
      </c>
      <c r="B696" s="27">
        <f>+MONTH(A696)</f>
        <v>11</v>
      </c>
      <c r="C696" s="11">
        <f>+WEEKNUM(A696)</f>
        <v>46</v>
      </c>
      <c r="D696" s="28" t="s">
        <v>2275</v>
      </c>
      <c r="E696" s="28" t="s">
        <v>2468</v>
      </c>
      <c r="F696" s="28">
        <v>573176449677</v>
      </c>
      <c r="G696" s="28">
        <v>73342</v>
      </c>
      <c r="H696" s="28" t="s">
        <v>3326</v>
      </c>
      <c r="I696" s="28" t="s">
        <v>3326</v>
      </c>
      <c r="J696" s="4" t="s">
        <v>2469</v>
      </c>
      <c r="K696" s="4"/>
      <c r="M696" s="4"/>
      <c r="N696" s="7"/>
      <c r="O696" s="7"/>
    </row>
    <row r="697" spans="1:15" ht="25.5" x14ac:dyDescent="0.2">
      <c r="A697" s="21">
        <v>45976</v>
      </c>
      <c r="B697" s="11">
        <f>+MONTH(A697)</f>
        <v>11</v>
      </c>
      <c r="C697" s="11">
        <f>+WEEKNUM(A697)</f>
        <v>46</v>
      </c>
      <c r="D697" s="4" t="s">
        <v>2454</v>
      </c>
      <c r="E697" s="4" t="s">
        <v>2455</v>
      </c>
      <c r="F697" s="4">
        <v>573046380680</v>
      </c>
      <c r="G697" s="4">
        <v>73409</v>
      </c>
      <c r="H697" s="8" t="s">
        <v>3326</v>
      </c>
      <c r="I697" s="8" t="s">
        <v>3326</v>
      </c>
      <c r="J697" s="4"/>
      <c r="K697" s="4"/>
      <c r="M697" s="4"/>
      <c r="N697" s="7"/>
      <c r="O697" s="7"/>
    </row>
    <row r="698" spans="1:15" ht="25.5" x14ac:dyDescent="0.2">
      <c r="A698" s="21">
        <v>45976</v>
      </c>
      <c r="B698" s="11">
        <f>+MONTH(A698)</f>
        <v>11</v>
      </c>
      <c r="C698" s="11">
        <f>+WEEKNUM(A698)</f>
        <v>46</v>
      </c>
      <c r="D698" s="4" t="s">
        <v>2460</v>
      </c>
      <c r="E698" s="4" t="s">
        <v>2461</v>
      </c>
      <c r="F698" s="4">
        <v>573132865520</v>
      </c>
      <c r="G698" s="4">
        <v>73578</v>
      </c>
      <c r="H698" s="8" t="s">
        <v>3326</v>
      </c>
      <c r="I698" s="8" t="s">
        <v>3326</v>
      </c>
      <c r="J698" s="4" t="s">
        <v>2462</v>
      </c>
      <c r="K698" s="4"/>
      <c r="M698" s="4"/>
      <c r="N698" s="7"/>
      <c r="O698" s="7"/>
    </row>
    <row r="699" spans="1:15" ht="25.5" x14ac:dyDescent="0.2">
      <c r="A699" s="21">
        <v>45976</v>
      </c>
      <c r="B699" s="11">
        <f>+MONTH(A699)</f>
        <v>11</v>
      </c>
      <c r="C699" s="11">
        <f>+WEEKNUM(A699)</f>
        <v>46</v>
      </c>
      <c r="D699" s="4" t="s">
        <v>2448</v>
      </c>
      <c r="E699" s="4" t="s">
        <v>2449</v>
      </c>
      <c r="F699" s="4">
        <v>573214179797</v>
      </c>
      <c r="G699" s="4">
        <v>73094</v>
      </c>
      <c r="H699" s="8" t="s">
        <v>3326</v>
      </c>
      <c r="I699" s="8" t="s">
        <v>3326</v>
      </c>
      <c r="J699" s="4" t="s">
        <v>2450</v>
      </c>
      <c r="K699" s="4"/>
      <c r="M699" s="4"/>
      <c r="N699" s="7"/>
      <c r="O699" s="7"/>
    </row>
    <row r="700" spans="1:15" ht="25.5" x14ac:dyDescent="0.2">
      <c r="A700" s="21">
        <v>45976</v>
      </c>
      <c r="B700" s="11">
        <f>+MONTH(A700)</f>
        <v>11</v>
      </c>
      <c r="C700" s="11">
        <f>+WEEKNUM(A700)</f>
        <v>46</v>
      </c>
      <c r="D700" s="4" t="s">
        <v>1709</v>
      </c>
      <c r="E700" s="4" t="s">
        <v>1710</v>
      </c>
      <c r="F700" s="4">
        <v>573142819694</v>
      </c>
      <c r="G700" s="4">
        <v>72598</v>
      </c>
      <c r="H700" s="8" t="s">
        <v>3326</v>
      </c>
      <c r="I700" s="8" t="s">
        <v>3326</v>
      </c>
      <c r="J700" s="4"/>
      <c r="K700" s="4"/>
      <c r="M700" s="4"/>
      <c r="N700" s="7"/>
      <c r="O700" s="7"/>
    </row>
    <row r="701" spans="1:15" ht="12.75" x14ac:dyDescent="0.2">
      <c r="A701" s="21">
        <v>45976</v>
      </c>
      <c r="B701" s="11">
        <f>+MONTH(A701)</f>
        <v>11</v>
      </c>
      <c r="C701" s="11">
        <f>+WEEKNUM(A701)</f>
        <v>46</v>
      </c>
      <c r="D701" s="4" t="s">
        <v>1985</v>
      </c>
      <c r="E701" s="4" t="s">
        <v>2445</v>
      </c>
      <c r="F701" s="4">
        <v>573103212739</v>
      </c>
      <c r="G701" s="4">
        <v>72327</v>
      </c>
      <c r="H701" s="8" t="s">
        <v>3326</v>
      </c>
      <c r="I701" s="8" t="s">
        <v>3326</v>
      </c>
      <c r="J701" s="4"/>
      <c r="K701" s="4"/>
      <c r="M701" s="4"/>
      <c r="N701" s="7"/>
      <c r="O701" s="7"/>
    </row>
    <row r="702" spans="1:15" ht="25.5" x14ac:dyDescent="0.2">
      <c r="A702" s="21">
        <v>45976</v>
      </c>
      <c r="B702" s="11">
        <f>+MONTH(A702)</f>
        <v>11</v>
      </c>
      <c r="C702" s="11">
        <f>+WEEKNUM(A702)</f>
        <v>46</v>
      </c>
      <c r="D702" s="4" t="s">
        <v>1985</v>
      </c>
      <c r="E702" s="4" t="s">
        <v>2445</v>
      </c>
      <c r="F702" s="4">
        <v>573103212739</v>
      </c>
      <c r="G702" s="4">
        <v>72327</v>
      </c>
      <c r="H702" s="8" t="s">
        <v>3326</v>
      </c>
      <c r="I702" s="8" t="s">
        <v>3326</v>
      </c>
      <c r="J702" s="4" t="s">
        <v>2446</v>
      </c>
      <c r="K702" s="4"/>
      <c r="M702" s="4"/>
      <c r="N702" s="7"/>
      <c r="O702" s="7"/>
    </row>
    <row r="703" spans="1:15" ht="25.5" x14ac:dyDescent="0.2">
      <c r="A703" s="31">
        <v>45976</v>
      </c>
      <c r="B703" s="27">
        <f>+MONTH(A703)</f>
        <v>11</v>
      </c>
      <c r="C703" s="11">
        <f>+WEEKNUM(A703)</f>
        <v>46</v>
      </c>
      <c r="D703" s="28" t="s">
        <v>2442</v>
      </c>
      <c r="E703" s="28" t="s">
        <v>2443</v>
      </c>
      <c r="F703" s="28">
        <v>573017008553</v>
      </c>
      <c r="G703" s="28">
        <v>73162</v>
      </c>
      <c r="H703" s="28" t="s">
        <v>3326</v>
      </c>
      <c r="I703" s="28" t="s">
        <v>3326</v>
      </c>
      <c r="J703" s="4" t="s">
        <v>2444</v>
      </c>
      <c r="K703" s="4"/>
      <c r="M703" s="4"/>
      <c r="N703" s="7"/>
      <c r="O703" s="7"/>
    </row>
    <row r="704" spans="1:15" ht="25.5" x14ac:dyDescent="0.2">
      <c r="A704" s="21">
        <v>45976</v>
      </c>
      <c r="B704" s="11">
        <f>+MONTH(A704)</f>
        <v>11</v>
      </c>
      <c r="C704" s="11">
        <f>+WEEKNUM(A704)</f>
        <v>46</v>
      </c>
      <c r="D704" s="4" t="s">
        <v>1516</v>
      </c>
      <c r="E704" s="4" t="s">
        <v>1517</v>
      </c>
      <c r="F704" s="4">
        <v>573138624997</v>
      </c>
      <c r="G704" s="4">
        <v>73390</v>
      </c>
      <c r="H704" s="8" t="s">
        <v>3326</v>
      </c>
      <c r="I704" s="8" t="s">
        <v>3326</v>
      </c>
      <c r="J704" s="4" t="s">
        <v>2447</v>
      </c>
      <c r="K704" s="4"/>
      <c r="M704" s="4"/>
      <c r="N704" s="7"/>
      <c r="O704" s="7"/>
    </row>
    <row r="705" spans="1:15" ht="38.25" x14ac:dyDescent="0.2">
      <c r="A705" s="21">
        <v>45976</v>
      </c>
      <c r="B705" s="11">
        <f>+MONTH(A705)</f>
        <v>11</v>
      </c>
      <c r="C705" s="11">
        <f>+WEEKNUM(A705)</f>
        <v>46</v>
      </c>
      <c r="D705" s="4" t="s">
        <v>2437</v>
      </c>
      <c r="E705" s="4" t="s">
        <v>2438</v>
      </c>
      <c r="F705" s="4">
        <v>573014194752</v>
      </c>
      <c r="G705" s="4">
        <v>73175</v>
      </c>
      <c r="H705" s="8" t="s">
        <v>22</v>
      </c>
      <c r="I705" s="8" t="s">
        <v>3326</v>
      </c>
      <c r="J705" s="4" t="s">
        <v>2439</v>
      </c>
      <c r="K705" s="4"/>
      <c r="M705" s="4"/>
      <c r="N705" s="7"/>
      <c r="O705" s="7"/>
    </row>
    <row r="706" spans="1:15" ht="25.5" x14ac:dyDescent="0.2">
      <c r="A706" s="21">
        <v>45976</v>
      </c>
      <c r="B706" s="11">
        <f>+MONTH(A706)</f>
        <v>11</v>
      </c>
      <c r="C706" s="11">
        <f>+WEEKNUM(A706)</f>
        <v>46</v>
      </c>
      <c r="D706" s="4" t="s">
        <v>2440</v>
      </c>
      <c r="E706" s="4" t="s">
        <v>2441</v>
      </c>
      <c r="F706" s="4">
        <v>573157941692</v>
      </c>
      <c r="G706" s="4">
        <v>73378</v>
      </c>
      <c r="H706" s="8" t="s">
        <v>3326</v>
      </c>
      <c r="I706" s="8" t="s">
        <v>3326</v>
      </c>
      <c r="J706" s="4"/>
      <c r="K706" s="4"/>
      <c r="M706" s="4"/>
      <c r="N706" s="7"/>
      <c r="O706" s="7"/>
    </row>
    <row r="707" spans="1:15" ht="25.5" x14ac:dyDescent="0.2">
      <c r="A707" s="21">
        <v>45976</v>
      </c>
      <c r="B707" s="11">
        <f>+MONTH(A707)</f>
        <v>11</v>
      </c>
      <c r="C707" s="11">
        <f>+WEEKNUM(A707)</f>
        <v>46</v>
      </c>
      <c r="D707" s="4" t="s">
        <v>2440</v>
      </c>
      <c r="E707" s="4" t="s">
        <v>2441</v>
      </c>
      <c r="F707" s="4">
        <v>573157941692</v>
      </c>
      <c r="G707" s="4">
        <v>73378</v>
      </c>
      <c r="H707" s="8" t="s">
        <v>3326</v>
      </c>
      <c r="I707" s="8" t="s">
        <v>3326</v>
      </c>
      <c r="J707" s="4" t="s">
        <v>217</v>
      </c>
      <c r="K707" s="4"/>
      <c r="M707" s="4"/>
      <c r="N707" s="7"/>
      <c r="O707" s="7"/>
    </row>
    <row r="708" spans="1:15" ht="63.75" x14ac:dyDescent="0.2">
      <c r="A708" s="31">
        <v>45975</v>
      </c>
      <c r="B708" s="27">
        <f>+MONTH(A708)</f>
        <v>11</v>
      </c>
      <c r="C708" s="11">
        <f>+WEEKNUM(A708)</f>
        <v>46</v>
      </c>
      <c r="D708" s="30" t="s">
        <v>2432</v>
      </c>
      <c r="E708" s="30" t="s">
        <v>2433</v>
      </c>
      <c r="F708" s="30">
        <v>573116097270</v>
      </c>
      <c r="G708" s="30">
        <v>73020</v>
      </c>
      <c r="H708" s="30" t="s">
        <v>3326</v>
      </c>
      <c r="I708" s="30" t="s">
        <v>3326</v>
      </c>
      <c r="J708" s="4" t="s">
        <v>2434</v>
      </c>
      <c r="K708" s="4" t="s">
        <v>2435</v>
      </c>
      <c r="M708" s="4"/>
      <c r="N708" s="7"/>
      <c r="O708" s="7"/>
    </row>
    <row r="709" spans="1:15" ht="25.5" x14ac:dyDescent="0.2">
      <c r="A709" s="21">
        <v>45975</v>
      </c>
      <c r="B709" s="11">
        <f>+MONTH(A709)</f>
        <v>11</v>
      </c>
      <c r="C709" s="11">
        <f>+WEEKNUM(A709)</f>
        <v>46</v>
      </c>
      <c r="D709" s="4" t="s">
        <v>2425</v>
      </c>
      <c r="E709" s="4" t="s">
        <v>2426</v>
      </c>
      <c r="F709" s="4">
        <v>573195046238</v>
      </c>
      <c r="G709" s="4">
        <v>73244</v>
      </c>
      <c r="H709" s="8" t="s">
        <v>22</v>
      </c>
      <c r="I709" s="8" t="s">
        <v>3326</v>
      </c>
      <c r="J709" s="4" t="s">
        <v>2427</v>
      </c>
      <c r="K709" s="4"/>
      <c r="M709" s="4" t="s">
        <v>2428</v>
      </c>
      <c r="N709" s="7"/>
      <c r="O709" s="7"/>
    </row>
    <row r="710" spans="1:15" ht="25.5" x14ac:dyDescent="0.2">
      <c r="A710" s="21">
        <v>45975</v>
      </c>
      <c r="B710" s="11">
        <f>+MONTH(A710)</f>
        <v>11</v>
      </c>
      <c r="C710" s="11">
        <f>+WEEKNUM(A710)</f>
        <v>46</v>
      </c>
      <c r="D710" s="4" t="s">
        <v>2429</v>
      </c>
      <c r="E710" s="4" t="s">
        <v>2430</v>
      </c>
      <c r="F710" s="4">
        <v>573227058397</v>
      </c>
      <c r="G710" s="4">
        <v>73196</v>
      </c>
      <c r="H710" s="8" t="s">
        <v>22</v>
      </c>
      <c r="I710" s="8" t="s">
        <v>3326</v>
      </c>
      <c r="J710" s="4"/>
      <c r="K710" s="4"/>
      <c r="M710" s="4"/>
      <c r="N710" s="7"/>
      <c r="O710" s="7"/>
    </row>
    <row r="711" spans="1:15" ht="38.25" x14ac:dyDescent="0.2">
      <c r="A711" s="31">
        <v>45975</v>
      </c>
      <c r="B711" s="27">
        <f>+MONTH(A711)</f>
        <v>11</v>
      </c>
      <c r="C711" s="11">
        <f>+WEEKNUM(A711)</f>
        <v>46</v>
      </c>
      <c r="D711" s="28" t="s">
        <v>2429</v>
      </c>
      <c r="E711" s="28" t="s">
        <v>2430</v>
      </c>
      <c r="F711" s="28">
        <v>573227058397</v>
      </c>
      <c r="G711" s="28">
        <v>73196</v>
      </c>
      <c r="H711" s="28" t="s">
        <v>22</v>
      </c>
      <c r="I711" s="28" t="s">
        <v>3326</v>
      </c>
      <c r="J711" s="4" t="s">
        <v>2431</v>
      </c>
      <c r="K711" s="4"/>
      <c r="M711" s="4"/>
      <c r="N711" s="7"/>
      <c r="O711" s="7"/>
    </row>
    <row r="712" spans="1:15" ht="140.25" x14ac:dyDescent="0.2">
      <c r="A712" s="31">
        <v>45975</v>
      </c>
      <c r="B712" s="27">
        <f>+MONTH(A712)</f>
        <v>11</v>
      </c>
      <c r="C712" s="11">
        <f>+WEEKNUM(A712)</f>
        <v>46</v>
      </c>
      <c r="D712" s="28" t="s">
        <v>1539</v>
      </c>
      <c r="E712" s="28" t="s">
        <v>2418</v>
      </c>
      <c r="F712" s="28">
        <v>573143710157</v>
      </c>
      <c r="G712" s="28">
        <v>73373</v>
      </c>
      <c r="H712" s="28" t="s">
        <v>3326</v>
      </c>
      <c r="I712" s="28" t="s">
        <v>3326</v>
      </c>
      <c r="J712" s="4" t="s">
        <v>2419</v>
      </c>
      <c r="K712" s="3" t="s">
        <v>2568</v>
      </c>
      <c r="M712" s="4"/>
      <c r="N712" s="7"/>
      <c r="O712" s="7"/>
    </row>
    <row r="713" spans="1:15" ht="25.5" x14ac:dyDescent="0.2">
      <c r="A713" s="21">
        <v>45975</v>
      </c>
      <c r="B713" s="11">
        <f>+MONTH(A713)</f>
        <v>11</v>
      </c>
      <c r="C713" s="11">
        <f>+WEEKNUM(A713)</f>
        <v>46</v>
      </c>
      <c r="D713" s="4" t="s">
        <v>2423</v>
      </c>
      <c r="E713" s="4" t="s">
        <v>2424</v>
      </c>
      <c r="F713" s="4">
        <v>573103099580</v>
      </c>
      <c r="G713" s="4">
        <v>73255</v>
      </c>
      <c r="H713" s="8" t="s">
        <v>3326</v>
      </c>
      <c r="I713" s="8" t="s">
        <v>3326</v>
      </c>
      <c r="J713" s="4" t="s">
        <v>174</v>
      </c>
      <c r="K713" s="4"/>
      <c r="M713" s="4"/>
      <c r="N713" s="7"/>
      <c r="O713" s="7"/>
    </row>
    <row r="714" spans="1:15" ht="25.5" x14ac:dyDescent="0.2">
      <c r="A714" s="21">
        <v>45975</v>
      </c>
      <c r="B714" s="11">
        <f>+MONTH(A714)</f>
        <v>11</v>
      </c>
      <c r="C714" s="11">
        <f>+WEEKNUM(A714)</f>
        <v>46</v>
      </c>
      <c r="D714" s="4" t="s">
        <v>2416</v>
      </c>
      <c r="E714" s="4" t="s">
        <v>2417</v>
      </c>
      <c r="F714" s="4">
        <v>573115460888</v>
      </c>
      <c r="G714" s="4">
        <v>73259</v>
      </c>
      <c r="H714" s="8" t="s">
        <v>3326</v>
      </c>
      <c r="I714" s="8" t="s">
        <v>3326</v>
      </c>
      <c r="J714" s="4" t="s">
        <v>243</v>
      </c>
      <c r="K714" s="4"/>
      <c r="M714" s="4"/>
      <c r="N714" s="7"/>
      <c r="O714" s="7"/>
    </row>
    <row r="715" spans="1:15" ht="25.5" x14ac:dyDescent="0.2">
      <c r="A715" s="21">
        <v>45975</v>
      </c>
      <c r="B715" s="11">
        <f>+MONTH(A715)</f>
        <v>11</v>
      </c>
      <c r="C715" s="11">
        <f>+WEEKNUM(A715)</f>
        <v>46</v>
      </c>
      <c r="D715" s="4" t="s">
        <v>2420</v>
      </c>
      <c r="E715" s="4" t="s">
        <v>2421</v>
      </c>
      <c r="F715" s="4">
        <v>573138811217</v>
      </c>
      <c r="G715" s="4">
        <v>72740</v>
      </c>
      <c r="H715" s="8" t="s">
        <v>3326</v>
      </c>
      <c r="I715" s="8" t="s">
        <v>3326</v>
      </c>
      <c r="J715" s="4" t="s">
        <v>2422</v>
      </c>
      <c r="K715" s="4"/>
      <c r="M715" s="4"/>
      <c r="N715" s="7"/>
      <c r="O715" s="7"/>
    </row>
    <row r="716" spans="1:15" ht="25.5" x14ac:dyDescent="0.2">
      <c r="A716" s="21">
        <v>45975</v>
      </c>
      <c r="B716" s="11">
        <f>+MONTH(A716)</f>
        <v>11</v>
      </c>
      <c r="C716" s="11">
        <f>+WEEKNUM(A716)</f>
        <v>46</v>
      </c>
      <c r="D716" s="4" t="s">
        <v>2413</v>
      </c>
      <c r="E716" s="4" t="s">
        <v>2414</v>
      </c>
      <c r="F716" s="4">
        <v>573115930926</v>
      </c>
      <c r="G716" s="4">
        <v>73314</v>
      </c>
      <c r="H716" s="8" t="s">
        <v>3326</v>
      </c>
      <c r="I716" s="8" t="s">
        <v>3326</v>
      </c>
      <c r="J716" s="4" t="s">
        <v>2415</v>
      </c>
      <c r="K716" s="4"/>
      <c r="M716" s="4"/>
      <c r="N716" s="7"/>
      <c r="O716" s="7"/>
    </row>
    <row r="717" spans="1:15" ht="25.5" x14ac:dyDescent="0.2">
      <c r="A717" s="31">
        <v>45975</v>
      </c>
      <c r="B717" s="27">
        <f>+MONTH(A717)</f>
        <v>11</v>
      </c>
      <c r="C717" s="11">
        <f>+WEEKNUM(A717)</f>
        <v>46</v>
      </c>
      <c r="D717" s="32" t="s">
        <v>2407</v>
      </c>
      <c r="E717" s="32" t="s">
        <v>2408</v>
      </c>
      <c r="F717" s="32">
        <v>573102224451</v>
      </c>
      <c r="G717" s="32">
        <v>73018</v>
      </c>
      <c r="H717" s="33" t="s">
        <v>22</v>
      </c>
      <c r="I717" s="33" t="s">
        <v>3326</v>
      </c>
      <c r="J717" s="32" t="s">
        <v>2409</v>
      </c>
      <c r="K717" s="4"/>
      <c r="M717" s="4"/>
      <c r="N717" s="7"/>
      <c r="O717" s="7"/>
    </row>
    <row r="718" spans="1:15" ht="25.5" x14ac:dyDescent="0.2">
      <c r="A718" s="21">
        <v>45975</v>
      </c>
      <c r="B718" s="11">
        <f>+MONTH(A718)</f>
        <v>11</v>
      </c>
      <c r="C718" s="11">
        <f>+WEEKNUM(A718)</f>
        <v>46</v>
      </c>
      <c r="D718" s="4" t="s">
        <v>2402</v>
      </c>
      <c r="E718" s="4" t="s">
        <v>2403</v>
      </c>
      <c r="F718" s="4">
        <v>573004706265</v>
      </c>
      <c r="G718" s="4">
        <v>73069</v>
      </c>
      <c r="H718" s="8" t="s">
        <v>3326</v>
      </c>
      <c r="I718" s="8" t="s">
        <v>3326</v>
      </c>
      <c r="J718" s="4"/>
      <c r="K718" s="4"/>
      <c r="M718" s="4"/>
      <c r="N718" s="7"/>
      <c r="O718" s="7"/>
    </row>
    <row r="719" spans="1:15" ht="38.25" x14ac:dyDescent="0.2">
      <c r="A719" s="21">
        <v>45975</v>
      </c>
      <c r="B719" s="11">
        <f>+MONTH(A719)</f>
        <v>11</v>
      </c>
      <c r="C719" s="11">
        <f>+WEEKNUM(A719)</f>
        <v>46</v>
      </c>
      <c r="D719" s="4" t="s">
        <v>2410</v>
      </c>
      <c r="E719" s="4" t="s">
        <v>2411</v>
      </c>
      <c r="F719" s="4">
        <v>573006145534</v>
      </c>
      <c r="G719" s="4">
        <v>73154</v>
      </c>
      <c r="H719" s="8" t="s">
        <v>3326</v>
      </c>
      <c r="I719" s="8" t="s">
        <v>3326</v>
      </c>
      <c r="J719" s="4" t="s">
        <v>2412</v>
      </c>
      <c r="K719" s="4"/>
      <c r="M719" s="4"/>
      <c r="N719" s="7"/>
      <c r="O719" s="7"/>
    </row>
    <row r="720" spans="1:15" ht="51" x14ac:dyDescent="0.2">
      <c r="A720" s="21">
        <v>45975</v>
      </c>
      <c r="B720" s="11">
        <f>+MONTH(A720)</f>
        <v>11</v>
      </c>
      <c r="C720" s="11">
        <f>+WEEKNUM(A720)</f>
        <v>46</v>
      </c>
      <c r="D720" s="4" t="s">
        <v>1994</v>
      </c>
      <c r="E720" s="4" t="s">
        <v>2399</v>
      </c>
      <c r="F720" s="4">
        <v>573004754605</v>
      </c>
      <c r="G720" s="4">
        <v>73371</v>
      </c>
      <c r="H720" s="8" t="s">
        <v>3326</v>
      </c>
      <c r="I720" s="8" t="s">
        <v>3326</v>
      </c>
      <c r="J720" s="4" t="s">
        <v>2400</v>
      </c>
      <c r="K720" s="4" t="s">
        <v>2401</v>
      </c>
      <c r="M720" s="4"/>
      <c r="N720" s="7"/>
      <c r="O720" s="7"/>
    </row>
    <row r="721" spans="1:15" ht="51" x14ac:dyDescent="0.2">
      <c r="A721" s="21">
        <v>45975</v>
      </c>
      <c r="B721" s="11">
        <f>+MONTH(A721)</f>
        <v>11</v>
      </c>
      <c r="C721" s="11">
        <f>+WEEKNUM(A721)</f>
        <v>46</v>
      </c>
      <c r="D721" s="4" t="s">
        <v>2396</v>
      </c>
      <c r="E721" s="4" t="s">
        <v>2397</v>
      </c>
      <c r="F721" s="4">
        <v>573113844013</v>
      </c>
      <c r="G721" s="4">
        <v>73135</v>
      </c>
      <c r="H721" s="8" t="s">
        <v>3326</v>
      </c>
      <c r="I721" s="8" t="s">
        <v>3326</v>
      </c>
      <c r="J721" s="4" t="s">
        <v>2398</v>
      </c>
      <c r="K721" s="4"/>
      <c r="M721" s="4"/>
      <c r="N721" s="7"/>
      <c r="O721" s="7"/>
    </row>
    <row r="722" spans="1:15" ht="51" x14ac:dyDescent="0.2">
      <c r="A722" s="21">
        <v>45974</v>
      </c>
      <c r="B722" s="11">
        <f>+MONTH(A722)</f>
        <v>11</v>
      </c>
      <c r="C722" s="11">
        <f>+WEEKNUM(A722)</f>
        <v>46</v>
      </c>
      <c r="D722" s="4" t="s">
        <v>1640</v>
      </c>
      <c r="E722" s="4" t="s">
        <v>2394</v>
      </c>
      <c r="F722" s="4">
        <v>573004608455</v>
      </c>
      <c r="G722" s="4">
        <v>73222</v>
      </c>
      <c r="H722" s="8" t="s">
        <v>3326</v>
      </c>
      <c r="I722" s="8" t="s">
        <v>3326</v>
      </c>
      <c r="J722" s="4" t="s">
        <v>2395</v>
      </c>
      <c r="K722" s="4"/>
      <c r="M722" s="4"/>
      <c r="N722" s="7"/>
      <c r="O722" s="7"/>
    </row>
    <row r="723" spans="1:15" ht="25.5" x14ac:dyDescent="0.2">
      <c r="A723" s="21">
        <v>45974</v>
      </c>
      <c r="B723" s="11">
        <f>+MONTH(A723)</f>
        <v>11</v>
      </c>
      <c r="C723" s="11">
        <f>+WEEKNUM(A723)</f>
        <v>46</v>
      </c>
      <c r="D723" s="4" t="s">
        <v>2391</v>
      </c>
      <c r="E723" s="4" t="s">
        <v>2392</v>
      </c>
      <c r="F723" s="4">
        <v>573235128057</v>
      </c>
      <c r="G723" s="4">
        <v>72993</v>
      </c>
      <c r="H723" s="8" t="s">
        <v>3326</v>
      </c>
      <c r="I723" s="8" t="s">
        <v>3326</v>
      </c>
      <c r="J723" s="4" t="s">
        <v>2393</v>
      </c>
      <c r="K723" s="4"/>
      <c r="M723" s="4"/>
      <c r="N723" s="7"/>
      <c r="O723" s="7"/>
    </row>
    <row r="724" spans="1:15" ht="51" x14ac:dyDescent="0.2">
      <c r="A724" s="21">
        <v>45974</v>
      </c>
      <c r="B724" s="11">
        <f>+MONTH(A724)</f>
        <v>11</v>
      </c>
      <c r="C724" s="11">
        <f>+WEEKNUM(A724)</f>
        <v>46</v>
      </c>
      <c r="D724" s="4" t="s">
        <v>1579</v>
      </c>
      <c r="E724" s="4" t="s">
        <v>2389</v>
      </c>
      <c r="F724" s="4">
        <v>573006602625</v>
      </c>
      <c r="G724" s="4">
        <v>73190</v>
      </c>
      <c r="H724" s="8" t="s">
        <v>3326</v>
      </c>
      <c r="I724" s="8" t="s">
        <v>22</v>
      </c>
      <c r="J724" s="4" t="s">
        <v>2390</v>
      </c>
      <c r="K724" s="4"/>
      <c r="M724" s="4"/>
      <c r="N724" s="7"/>
      <c r="O724" s="7"/>
    </row>
    <row r="725" spans="1:15" ht="25.5" x14ac:dyDescent="0.2">
      <c r="A725" s="21">
        <v>45974</v>
      </c>
      <c r="B725" s="11">
        <f>+MONTH(A725)</f>
        <v>11</v>
      </c>
      <c r="C725" s="11">
        <f>+WEEKNUM(A725)</f>
        <v>46</v>
      </c>
      <c r="D725" s="4" t="s">
        <v>2386</v>
      </c>
      <c r="E725" s="4" t="s">
        <v>2387</v>
      </c>
      <c r="F725" s="4">
        <v>573203013083</v>
      </c>
      <c r="G725" s="4">
        <v>73262</v>
      </c>
      <c r="H725" s="8" t="s">
        <v>3326</v>
      </c>
      <c r="I725" s="8" t="s">
        <v>3326</v>
      </c>
      <c r="J725" s="4" t="s">
        <v>2388</v>
      </c>
      <c r="K725" s="4"/>
      <c r="M725" s="4"/>
      <c r="N725" s="7"/>
      <c r="O725" s="7"/>
    </row>
    <row r="726" spans="1:15" ht="12.75" x14ac:dyDescent="0.2">
      <c r="A726" s="31">
        <v>45974</v>
      </c>
      <c r="B726" s="27">
        <f>+MONTH(A726)</f>
        <v>11</v>
      </c>
      <c r="C726" s="11">
        <f>+WEEKNUM(A726)</f>
        <v>46</v>
      </c>
      <c r="D726" s="32" t="s">
        <v>2383</v>
      </c>
      <c r="E726" s="32" t="s">
        <v>2384</v>
      </c>
      <c r="F726" s="32">
        <v>573204496365</v>
      </c>
      <c r="G726" s="32">
        <v>73392</v>
      </c>
      <c r="H726" s="33" t="s">
        <v>22</v>
      </c>
      <c r="I726" s="33" t="s">
        <v>3326</v>
      </c>
      <c r="J726" s="32" t="s">
        <v>2385</v>
      </c>
      <c r="K726" s="4"/>
      <c r="M726" s="4"/>
      <c r="N726" s="7"/>
      <c r="O726" s="7"/>
    </row>
    <row r="727" spans="1:15" ht="25.5" x14ac:dyDescent="0.2">
      <c r="A727" s="31">
        <v>45974</v>
      </c>
      <c r="B727" s="27">
        <f>+MONTH(A727)</f>
        <v>11</v>
      </c>
      <c r="C727" s="11">
        <f>+WEEKNUM(A727)</f>
        <v>46</v>
      </c>
      <c r="D727" s="32" t="s">
        <v>1762</v>
      </c>
      <c r="E727" s="32" t="s">
        <v>2381</v>
      </c>
      <c r="F727" s="32">
        <v>573118442583</v>
      </c>
      <c r="G727" s="32">
        <v>70218</v>
      </c>
      <c r="H727" s="33" t="s">
        <v>3325</v>
      </c>
      <c r="I727" s="33" t="s">
        <v>3325</v>
      </c>
      <c r="J727" s="32" t="s">
        <v>2382</v>
      </c>
      <c r="K727" s="3" t="s">
        <v>2569</v>
      </c>
      <c r="M727" s="4"/>
      <c r="N727" s="7"/>
      <c r="O727" s="7"/>
    </row>
    <row r="728" spans="1:15" ht="25.5" x14ac:dyDescent="0.2">
      <c r="A728" s="21">
        <v>45974</v>
      </c>
      <c r="B728" s="11">
        <f>+MONTH(A728)</f>
        <v>11</v>
      </c>
      <c r="C728" s="11">
        <f>+WEEKNUM(A728)</f>
        <v>46</v>
      </c>
      <c r="D728" s="4" t="s">
        <v>2378</v>
      </c>
      <c r="E728" s="4" t="s">
        <v>2379</v>
      </c>
      <c r="F728" s="4">
        <v>573053500381</v>
      </c>
      <c r="G728" s="4">
        <v>72421</v>
      </c>
      <c r="H728" s="8" t="s">
        <v>3326</v>
      </c>
      <c r="I728" s="8" t="s">
        <v>3326</v>
      </c>
      <c r="J728" s="4" t="s">
        <v>2380</v>
      </c>
      <c r="K728" s="4"/>
      <c r="M728" s="4"/>
      <c r="N728" s="7"/>
      <c r="O728" s="7"/>
    </row>
    <row r="729" spans="1:15" ht="38.25" x14ac:dyDescent="0.2">
      <c r="A729" s="31">
        <v>45974</v>
      </c>
      <c r="B729" s="27">
        <f>+MONTH(A729)</f>
        <v>11</v>
      </c>
      <c r="C729" s="11">
        <f>+WEEKNUM(A729)</f>
        <v>46</v>
      </c>
      <c r="D729" s="32" t="s">
        <v>2375</v>
      </c>
      <c r="E729" s="32" t="s">
        <v>2376</v>
      </c>
      <c r="F729" s="32">
        <v>573125808158</v>
      </c>
      <c r="G729" s="32">
        <v>72696</v>
      </c>
      <c r="H729" s="33" t="s">
        <v>22</v>
      </c>
      <c r="I729" s="33" t="s">
        <v>3326</v>
      </c>
      <c r="J729" s="32" t="s">
        <v>2377</v>
      </c>
      <c r="K729" s="3" t="s">
        <v>2570</v>
      </c>
      <c r="M729" s="4"/>
      <c r="N729" s="7"/>
      <c r="O729" s="7"/>
    </row>
    <row r="730" spans="1:15" ht="25.5" x14ac:dyDescent="0.2">
      <c r="A730" s="21">
        <v>45974</v>
      </c>
      <c r="B730" s="11">
        <f>+MONTH(A730)</f>
        <v>11</v>
      </c>
      <c r="C730" s="11">
        <f>+WEEKNUM(A730)</f>
        <v>46</v>
      </c>
      <c r="D730" s="4" t="s">
        <v>1834</v>
      </c>
      <c r="E730" s="4" t="s">
        <v>2374</v>
      </c>
      <c r="F730" s="4">
        <v>573202064258</v>
      </c>
      <c r="G730" s="4">
        <v>72571</v>
      </c>
      <c r="H730" s="8" t="s">
        <v>3326</v>
      </c>
      <c r="I730" s="8" t="s">
        <v>3326</v>
      </c>
      <c r="J730" s="4" t="s">
        <v>61</v>
      </c>
      <c r="K730" s="4"/>
      <c r="M730" s="4"/>
      <c r="N730" s="7"/>
      <c r="O730" s="7"/>
    </row>
    <row r="731" spans="1:15" ht="51" x14ac:dyDescent="0.2">
      <c r="A731" s="21">
        <v>45974</v>
      </c>
      <c r="B731" s="11">
        <f>+MONTH(A731)</f>
        <v>11</v>
      </c>
      <c r="C731" s="11">
        <f>+WEEKNUM(A731)</f>
        <v>46</v>
      </c>
      <c r="D731" s="4" t="s">
        <v>2371</v>
      </c>
      <c r="E731" s="4" t="s">
        <v>2372</v>
      </c>
      <c r="F731" s="4">
        <v>573013178267</v>
      </c>
      <c r="G731" s="4">
        <v>73078</v>
      </c>
      <c r="H731" s="8" t="s">
        <v>3326</v>
      </c>
      <c r="I731" s="8" t="s">
        <v>3326</v>
      </c>
      <c r="J731" s="4" t="s">
        <v>2373</v>
      </c>
      <c r="K731" s="4"/>
      <c r="M731" s="4"/>
      <c r="N731" s="7"/>
      <c r="O731" s="7"/>
    </row>
    <row r="732" spans="1:15" ht="12.75" x14ac:dyDescent="0.2">
      <c r="A732" s="21">
        <v>45974</v>
      </c>
      <c r="B732" s="11">
        <f>+MONTH(A732)</f>
        <v>11</v>
      </c>
      <c r="C732" s="11">
        <f>+WEEKNUM(A732)</f>
        <v>46</v>
      </c>
      <c r="D732" s="4" t="s">
        <v>1670</v>
      </c>
      <c r="E732" s="4" t="s">
        <v>2370</v>
      </c>
      <c r="F732" s="4">
        <v>573004234742</v>
      </c>
      <c r="G732" s="4">
        <v>72944</v>
      </c>
      <c r="H732" s="8" t="s">
        <v>3326</v>
      </c>
      <c r="I732" s="8" t="s">
        <v>3326</v>
      </c>
      <c r="J732" s="4"/>
      <c r="K732" s="4"/>
      <c r="M732" s="4"/>
      <c r="N732" s="7"/>
      <c r="O732" s="7"/>
    </row>
    <row r="733" spans="1:15" ht="25.5" x14ac:dyDescent="0.2">
      <c r="A733" s="21">
        <v>45973</v>
      </c>
      <c r="B733" s="11">
        <f>+MONTH(A733)</f>
        <v>11</v>
      </c>
      <c r="C733" s="11">
        <f>+WEEKNUM(A733)</f>
        <v>46</v>
      </c>
      <c r="D733" s="4" t="s">
        <v>1408</v>
      </c>
      <c r="E733" s="4" t="s">
        <v>2436</v>
      </c>
      <c r="F733" s="4">
        <v>573133701238</v>
      </c>
      <c r="G733" s="4">
        <v>71910</v>
      </c>
      <c r="H733" s="8" t="s">
        <v>3326</v>
      </c>
      <c r="I733" s="8" t="s">
        <v>3326</v>
      </c>
      <c r="J733" s="4"/>
      <c r="K733" s="4"/>
      <c r="M733" s="4"/>
      <c r="N733" s="7"/>
      <c r="O733" s="7"/>
    </row>
    <row r="734" spans="1:15" ht="25.5" x14ac:dyDescent="0.2">
      <c r="A734" s="21">
        <v>45973</v>
      </c>
      <c r="B734" s="11">
        <f>+MONTH(A734)</f>
        <v>11</v>
      </c>
      <c r="C734" s="11">
        <f>+WEEKNUM(A734)</f>
        <v>46</v>
      </c>
      <c r="D734" s="4" t="s">
        <v>2362</v>
      </c>
      <c r="E734" s="4" t="s">
        <v>2363</v>
      </c>
      <c r="F734" s="4">
        <v>573007087834</v>
      </c>
      <c r="G734" s="4">
        <v>72720</v>
      </c>
      <c r="H734" s="8" t="s">
        <v>3326</v>
      </c>
      <c r="I734" s="8" t="s">
        <v>3326</v>
      </c>
      <c r="J734" s="4"/>
      <c r="K734" s="4"/>
      <c r="M734" s="4"/>
      <c r="N734" s="7"/>
      <c r="O734" s="7"/>
    </row>
    <row r="735" spans="1:15" ht="25.5" x14ac:dyDescent="0.2">
      <c r="A735" s="21">
        <v>45973</v>
      </c>
      <c r="B735" s="11">
        <f>+MONTH(A735)</f>
        <v>11</v>
      </c>
      <c r="C735" s="11">
        <f>+WEEKNUM(A735)</f>
        <v>46</v>
      </c>
      <c r="D735" s="4" t="s">
        <v>2364</v>
      </c>
      <c r="E735" s="4" t="s">
        <v>2365</v>
      </c>
      <c r="F735" s="4">
        <v>573214423714</v>
      </c>
      <c r="G735" s="4">
        <v>72850</v>
      </c>
      <c r="H735" s="8" t="s">
        <v>3326</v>
      </c>
      <c r="I735" s="8" t="s">
        <v>3326</v>
      </c>
      <c r="J735" s="4" t="s">
        <v>2366</v>
      </c>
      <c r="K735" s="4"/>
      <c r="M735" s="4"/>
      <c r="N735" s="7"/>
      <c r="O735" s="7"/>
    </row>
    <row r="736" spans="1:15" ht="25.5" x14ac:dyDescent="0.2">
      <c r="A736" s="21">
        <v>45973</v>
      </c>
      <c r="B736" s="11">
        <f>+MONTH(A736)</f>
        <v>11</v>
      </c>
      <c r="C736" s="11">
        <f>+WEEKNUM(A736)</f>
        <v>46</v>
      </c>
      <c r="D736" s="4" t="s">
        <v>2367</v>
      </c>
      <c r="E736" s="4" t="s">
        <v>2368</v>
      </c>
      <c r="F736" s="4">
        <v>573133549946</v>
      </c>
      <c r="G736" s="4">
        <v>73072</v>
      </c>
      <c r="H736" s="8" t="s">
        <v>3326</v>
      </c>
      <c r="I736" s="8" t="s">
        <v>3326</v>
      </c>
      <c r="J736" s="4" t="s">
        <v>2369</v>
      </c>
      <c r="K736" s="4"/>
      <c r="M736" s="4"/>
      <c r="N736" s="7"/>
      <c r="O736" s="7"/>
    </row>
    <row r="737" spans="1:15" ht="25.5" x14ac:dyDescent="0.2">
      <c r="A737" s="21">
        <v>45973</v>
      </c>
      <c r="B737" s="11">
        <f>+MONTH(A737)</f>
        <v>11</v>
      </c>
      <c r="C737" s="11">
        <f>+WEEKNUM(A737)</f>
        <v>46</v>
      </c>
      <c r="D737" s="4" t="s">
        <v>2360</v>
      </c>
      <c r="E737" s="4" t="s">
        <v>2361</v>
      </c>
      <c r="F737" s="4">
        <v>573208257151</v>
      </c>
      <c r="G737" s="4">
        <v>73188</v>
      </c>
      <c r="H737" s="8" t="s">
        <v>3326</v>
      </c>
      <c r="I737" s="8" t="s">
        <v>3326</v>
      </c>
      <c r="J737" s="4"/>
      <c r="K737" s="4"/>
      <c r="M737" s="4"/>
      <c r="N737" s="7"/>
      <c r="O737" s="7"/>
    </row>
    <row r="738" spans="1:15" ht="25.5" x14ac:dyDescent="0.2">
      <c r="A738" s="31">
        <v>45973</v>
      </c>
      <c r="B738" s="27">
        <f>+MONTH(A738)</f>
        <v>11</v>
      </c>
      <c r="C738" s="11">
        <f>+WEEKNUM(A738)</f>
        <v>46</v>
      </c>
      <c r="D738" s="32" t="s">
        <v>2128</v>
      </c>
      <c r="E738" s="32" t="s">
        <v>2358</v>
      </c>
      <c r="F738" s="32">
        <v>573186422409</v>
      </c>
      <c r="G738" s="32">
        <v>70674</v>
      </c>
      <c r="H738" s="33" t="s">
        <v>22</v>
      </c>
      <c r="I738" s="33" t="s">
        <v>22</v>
      </c>
      <c r="J738" s="32" t="s">
        <v>2359</v>
      </c>
      <c r="K738" s="3" t="s">
        <v>2571</v>
      </c>
      <c r="M738" s="4"/>
      <c r="N738" s="7"/>
      <c r="O738" s="7"/>
    </row>
    <row r="739" spans="1:15" ht="25.5" x14ac:dyDescent="0.2">
      <c r="A739" s="21">
        <v>45973</v>
      </c>
      <c r="B739" s="11">
        <f>+MONTH(A739)</f>
        <v>11</v>
      </c>
      <c r="C739" s="11">
        <f>+WEEKNUM(A739)</f>
        <v>46</v>
      </c>
      <c r="D739" s="4" t="s">
        <v>1747</v>
      </c>
      <c r="E739" s="4" t="s">
        <v>2357</v>
      </c>
      <c r="F739" s="4">
        <v>573167413604</v>
      </c>
      <c r="G739" s="4">
        <v>72404</v>
      </c>
      <c r="H739" s="8" t="s">
        <v>3326</v>
      </c>
      <c r="I739" s="8" t="s">
        <v>3326</v>
      </c>
      <c r="J739" s="4" t="s">
        <v>261</v>
      </c>
      <c r="K739" s="4"/>
      <c r="M739" s="4"/>
      <c r="N739" s="7"/>
      <c r="O739" s="7"/>
    </row>
    <row r="740" spans="1:15" ht="25.5" x14ac:dyDescent="0.2">
      <c r="A740" s="21">
        <v>45973</v>
      </c>
      <c r="B740" s="11">
        <f>+MONTH(A740)</f>
        <v>11</v>
      </c>
      <c r="C740" s="11">
        <f>+WEEKNUM(A740)</f>
        <v>46</v>
      </c>
      <c r="D740" s="4" t="s">
        <v>2354</v>
      </c>
      <c r="E740" s="4" t="s">
        <v>2355</v>
      </c>
      <c r="F740" s="4">
        <v>573203407194</v>
      </c>
      <c r="G740" s="4">
        <v>73171</v>
      </c>
      <c r="H740" s="8" t="s">
        <v>3326</v>
      </c>
      <c r="I740" s="8" t="s">
        <v>3326</v>
      </c>
      <c r="J740" s="4" t="s">
        <v>2356</v>
      </c>
      <c r="K740" s="4"/>
      <c r="M740" s="4"/>
      <c r="N740" s="7"/>
      <c r="O740" s="7"/>
    </row>
    <row r="741" spans="1:15" ht="12.75" x14ac:dyDescent="0.2">
      <c r="A741" s="21">
        <v>45973</v>
      </c>
      <c r="B741" s="11">
        <f>+MONTH(A741)</f>
        <v>11</v>
      </c>
      <c r="C741" s="11">
        <f>+WEEKNUM(A741)</f>
        <v>46</v>
      </c>
      <c r="D741" s="4" t="s">
        <v>1476</v>
      </c>
      <c r="E741" s="4" t="s">
        <v>2353</v>
      </c>
      <c r="F741" s="4">
        <v>573135969191</v>
      </c>
      <c r="G741" s="4">
        <v>72991</v>
      </c>
      <c r="H741" s="8" t="s">
        <v>3326</v>
      </c>
      <c r="I741" s="8" t="s">
        <v>3326</v>
      </c>
      <c r="J741" s="4" t="s">
        <v>12</v>
      </c>
      <c r="K741" s="4"/>
      <c r="M741" s="4"/>
      <c r="N741" s="7"/>
      <c r="O741" s="7"/>
    </row>
    <row r="742" spans="1:15" ht="25.5" x14ac:dyDescent="0.2">
      <c r="A742" s="21">
        <v>45973</v>
      </c>
      <c r="B742" s="11">
        <f>+MONTH(A742)</f>
        <v>11</v>
      </c>
      <c r="C742" s="11">
        <f>+WEEKNUM(A742)</f>
        <v>46</v>
      </c>
      <c r="D742" s="4" t="s">
        <v>2349</v>
      </c>
      <c r="E742" s="4" t="s">
        <v>2350</v>
      </c>
      <c r="F742" s="4">
        <v>573167599510</v>
      </c>
      <c r="G742" s="4">
        <v>73276</v>
      </c>
      <c r="H742" s="8" t="s">
        <v>3326</v>
      </c>
      <c r="I742" s="8" t="s">
        <v>3326</v>
      </c>
      <c r="J742" s="4"/>
      <c r="K742" s="4"/>
      <c r="M742" s="4"/>
      <c r="N742" s="7"/>
      <c r="O742" s="7"/>
    </row>
    <row r="743" spans="1:15" ht="51" x14ac:dyDescent="0.2">
      <c r="A743" s="21">
        <v>45973</v>
      </c>
      <c r="B743" s="11">
        <f>+MONTH(A743)</f>
        <v>11</v>
      </c>
      <c r="C743" s="11">
        <f>+WEEKNUM(A743)</f>
        <v>46</v>
      </c>
      <c r="D743" s="4" t="s">
        <v>1579</v>
      </c>
      <c r="E743" s="4" t="s">
        <v>2344</v>
      </c>
      <c r="F743" s="4">
        <v>573175767078</v>
      </c>
      <c r="G743" s="4">
        <v>72621</v>
      </c>
      <c r="H743" s="8" t="s">
        <v>3326</v>
      </c>
      <c r="I743" s="8" t="s">
        <v>3326</v>
      </c>
      <c r="J743" s="4" t="s">
        <v>2345</v>
      </c>
      <c r="K743" s="4"/>
      <c r="M743" s="4"/>
      <c r="N743" s="7"/>
      <c r="O743" s="7"/>
    </row>
    <row r="744" spans="1:15" ht="25.5" x14ac:dyDescent="0.2">
      <c r="A744" s="21">
        <v>45973</v>
      </c>
      <c r="B744" s="11">
        <f>+MONTH(A744)</f>
        <v>11</v>
      </c>
      <c r="C744" s="11">
        <f>+WEEKNUM(A744)</f>
        <v>46</v>
      </c>
      <c r="D744" s="4" t="s">
        <v>2346</v>
      </c>
      <c r="E744" s="4" t="s">
        <v>2347</v>
      </c>
      <c r="F744" s="4">
        <v>573214438418</v>
      </c>
      <c r="G744" s="4">
        <v>73232</v>
      </c>
      <c r="H744" s="8" t="s">
        <v>3326</v>
      </c>
      <c r="I744" s="8" t="s">
        <v>3326</v>
      </c>
      <c r="J744" s="4" t="s">
        <v>2348</v>
      </c>
      <c r="K744" s="4"/>
      <c r="M744" s="4"/>
      <c r="N744" s="7"/>
      <c r="O744" s="7"/>
    </row>
    <row r="745" spans="1:15" ht="51" x14ac:dyDescent="0.2">
      <c r="A745" s="21">
        <v>45972</v>
      </c>
      <c r="B745" s="11">
        <f>+MONTH(A745)</f>
        <v>11</v>
      </c>
      <c r="C745" s="11">
        <f>+WEEKNUM(A745)</f>
        <v>46</v>
      </c>
      <c r="D745" s="4" t="s">
        <v>1900</v>
      </c>
      <c r="E745" s="4" t="s">
        <v>1901</v>
      </c>
      <c r="F745" s="4">
        <v>573192372631</v>
      </c>
      <c r="G745" s="4">
        <v>73102</v>
      </c>
      <c r="H745" s="8" t="s">
        <v>3326</v>
      </c>
      <c r="I745" s="8" t="s">
        <v>3326</v>
      </c>
      <c r="J745" s="4" t="s">
        <v>2331</v>
      </c>
      <c r="K745" s="4"/>
      <c r="M745" s="4"/>
      <c r="N745" s="7"/>
      <c r="O745" s="7"/>
    </row>
    <row r="746" spans="1:15" ht="76.5" x14ac:dyDescent="0.2">
      <c r="A746" s="21">
        <v>45972</v>
      </c>
      <c r="B746" s="27">
        <f>+MONTH(A746)</f>
        <v>11</v>
      </c>
      <c r="C746" s="11">
        <f>+WEEKNUM(A746)</f>
        <v>46</v>
      </c>
      <c r="D746" s="32" t="s">
        <v>2328</v>
      </c>
      <c r="E746" s="32" t="s">
        <v>2329</v>
      </c>
      <c r="F746" s="32">
        <v>573006538646</v>
      </c>
      <c r="G746" s="32">
        <v>72455</v>
      </c>
      <c r="H746" s="33" t="s">
        <v>3325</v>
      </c>
      <c r="I746" s="33" t="s">
        <v>3325</v>
      </c>
      <c r="J746" s="32" t="s">
        <v>2330</v>
      </c>
      <c r="K746" s="3" t="s">
        <v>2572</v>
      </c>
      <c r="M746" s="4"/>
      <c r="N746" s="7"/>
      <c r="O746" s="7"/>
    </row>
    <row r="747" spans="1:15" ht="25.5" x14ac:dyDescent="0.2">
      <c r="A747" s="21">
        <v>45972</v>
      </c>
      <c r="B747" s="11">
        <f>+MONTH(A747)</f>
        <v>11</v>
      </c>
      <c r="C747" s="11">
        <f>+WEEKNUM(A747)</f>
        <v>46</v>
      </c>
      <c r="D747" s="4" t="s">
        <v>1569</v>
      </c>
      <c r="E747" s="4" t="s">
        <v>1947</v>
      </c>
      <c r="F747" s="4">
        <v>573126806861</v>
      </c>
      <c r="G747" s="4">
        <v>73068</v>
      </c>
      <c r="H747" s="8" t="s">
        <v>3326</v>
      </c>
      <c r="I747" s="8" t="s">
        <v>22</v>
      </c>
      <c r="J747" s="4" t="s">
        <v>2343</v>
      </c>
      <c r="K747" s="4"/>
      <c r="M747" s="4"/>
      <c r="N747" s="7"/>
      <c r="O747" s="7"/>
    </row>
    <row r="748" spans="1:15" ht="25.5" x14ac:dyDescent="0.2">
      <c r="A748" s="21">
        <v>45972</v>
      </c>
      <c r="B748" s="11">
        <f>+MONTH(A748)</f>
        <v>11</v>
      </c>
      <c r="C748" s="11">
        <f>+WEEKNUM(A748)</f>
        <v>46</v>
      </c>
      <c r="D748" s="4" t="s">
        <v>2334</v>
      </c>
      <c r="E748" s="4" t="s">
        <v>2335</v>
      </c>
      <c r="F748" s="4">
        <v>573042844274</v>
      </c>
      <c r="G748" s="4">
        <v>72634</v>
      </c>
      <c r="H748" s="8" t="s">
        <v>3326</v>
      </c>
      <c r="I748" s="8" t="s">
        <v>3326</v>
      </c>
      <c r="J748" s="4" t="s">
        <v>2336</v>
      </c>
      <c r="K748" s="4"/>
      <c r="M748" s="4"/>
      <c r="N748" s="7"/>
      <c r="O748" s="7"/>
    </row>
    <row r="749" spans="1:15" ht="25.5" x14ac:dyDescent="0.2">
      <c r="A749" s="21">
        <v>45972</v>
      </c>
      <c r="B749" s="11">
        <f>+MONTH(A749)</f>
        <v>11</v>
      </c>
      <c r="C749" s="11">
        <f>+WEEKNUM(A749)</f>
        <v>46</v>
      </c>
      <c r="D749" s="4" t="s">
        <v>2324</v>
      </c>
      <c r="E749" s="4" t="s">
        <v>2325</v>
      </c>
      <c r="F749" s="4">
        <v>573144544951</v>
      </c>
      <c r="G749" s="4">
        <v>72773</v>
      </c>
      <c r="H749" s="8" t="s">
        <v>3326</v>
      </c>
      <c r="I749" s="8" t="s">
        <v>3326</v>
      </c>
      <c r="J749" s="4" t="s">
        <v>2326</v>
      </c>
      <c r="K749" s="4" t="s">
        <v>90</v>
      </c>
      <c r="M749" s="4" t="s">
        <v>2327</v>
      </c>
      <c r="N749" s="7"/>
      <c r="O749" s="7"/>
    </row>
    <row r="750" spans="1:15" ht="25.5" x14ac:dyDescent="0.2">
      <c r="A750" s="21">
        <v>45972</v>
      </c>
      <c r="B750" s="11">
        <f>+MONTH(A750)</f>
        <v>11</v>
      </c>
      <c r="C750" s="11">
        <f>+WEEKNUM(A750)</f>
        <v>46</v>
      </c>
      <c r="D750" s="4" t="s">
        <v>2332</v>
      </c>
      <c r="E750" s="4" t="s">
        <v>2333</v>
      </c>
      <c r="F750" s="4">
        <v>573043607553</v>
      </c>
      <c r="G750" s="4">
        <v>71209</v>
      </c>
      <c r="H750" s="8" t="s">
        <v>3326</v>
      </c>
      <c r="I750" s="8" t="s">
        <v>3326</v>
      </c>
      <c r="J750" s="4" t="s">
        <v>243</v>
      </c>
      <c r="K750" s="4"/>
      <c r="M750" s="4"/>
      <c r="N750" s="7"/>
      <c r="O750" s="7"/>
    </row>
    <row r="751" spans="1:15" ht="12.75" x14ac:dyDescent="0.2">
      <c r="A751" s="21">
        <v>45972</v>
      </c>
      <c r="B751" s="11">
        <f>+MONTH(A751)</f>
        <v>11</v>
      </c>
      <c r="C751" s="11">
        <f>+WEEKNUM(A751)</f>
        <v>46</v>
      </c>
      <c r="D751" s="4" t="s">
        <v>2322</v>
      </c>
      <c r="E751" s="4" t="s">
        <v>2228</v>
      </c>
      <c r="F751" s="4">
        <v>573163761438</v>
      </c>
      <c r="G751" s="4">
        <v>72875</v>
      </c>
      <c r="H751" s="8" t="s">
        <v>3326</v>
      </c>
      <c r="I751" s="8" t="s">
        <v>3326</v>
      </c>
      <c r="J751" s="4" t="s">
        <v>2323</v>
      </c>
      <c r="K751" s="4"/>
      <c r="M751" s="4"/>
      <c r="N751" s="7"/>
      <c r="O751" s="7"/>
    </row>
    <row r="752" spans="1:15" ht="25.5" x14ac:dyDescent="0.2">
      <c r="A752" s="21">
        <v>45972</v>
      </c>
      <c r="B752" s="11">
        <f>+MONTH(A752)</f>
        <v>11</v>
      </c>
      <c r="C752" s="11">
        <f>+WEEKNUM(A752)</f>
        <v>46</v>
      </c>
      <c r="D752" s="4" t="s">
        <v>2275</v>
      </c>
      <c r="E752" s="4" t="s">
        <v>2310</v>
      </c>
      <c r="F752" s="4">
        <v>573134068724</v>
      </c>
      <c r="G752" s="4">
        <v>73007</v>
      </c>
      <c r="H752" s="8" t="s">
        <v>3326</v>
      </c>
      <c r="I752" s="8" t="s">
        <v>3326</v>
      </c>
      <c r="J752" s="4" t="s">
        <v>2311</v>
      </c>
      <c r="K752" s="4"/>
      <c r="M752" s="4"/>
      <c r="N752" s="7"/>
      <c r="O752" s="7"/>
    </row>
    <row r="753" spans="1:15" ht="25.5" x14ac:dyDescent="0.2">
      <c r="A753" s="21">
        <v>45972</v>
      </c>
      <c r="B753" s="11">
        <f>+MONTH(A753)</f>
        <v>11</v>
      </c>
      <c r="C753" s="11">
        <f>+WEEKNUM(A753)</f>
        <v>46</v>
      </c>
      <c r="D753" s="4" t="s">
        <v>2312</v>
      </c>
      <c r="E753" s="4" t="s">
        <v>2313</v>
      </c>
      <c r="F753" s="4">
        <v>573004760882</v>
      </c>
      <c r="G753" s="4">
        <v>72811</v>
      </c>
      <c r="H753" s="8" t="s">
        <v>3326</v>
      </c>
      <c r="I753" s="8" t="s">
        <v>3326</v>
      </c>
      <c r="J753" s="4"/>
      <c r="K753" s="4"/>
      <c r="M753" s="4"/>
      <c r="N753" s="7"/>
      <c r="O753" s="7"/>
    </row>
    <row r="754" spans="1:15" ht="25.5" x14ac:dyDescent="0.2">
      <c r="A754" s="21">
        <v>45972</v>
      </c>
      <c r="B754" s="11">
        <f>+MONTH(A754)</f>
        <v>11</v>
      </c>
      <c r="C754" s="11">
        <f>+WEEKNUM(A754)</f>
        <v>46</v>
      </c>
      <c r="D754" s="4" t="s">
        <v>2275</v>
      </c>
      <c r="E754" s="4" t="s">
        <v>2305</v>
      </c>
      <c r="F754" s="4">
        <v>573202004296</v>
      </c>
      <c r="G754" s="4">
        <v>71870</v>
      </c>
      <c r="H754" s="8" t="s">
        <v>3325</v>
      </c>
      <c r="I754" s="8" t="s">
        <v>3325</v>
      </c>
      <c r="J754" s="4" t="s">
        <v>2306</v>
      </c>
      <c r="K754" s="4"/>
      <c r="M754" s="4"/>
      <c r="N754" s="7"/>
      <c r="O754" s="7"/>
    </row>
    <row r="755" spans="1:15" ht="25.5" x14ac:dyDescent="0.2">
      <c r="A755" s="21">
        <v>45972</v>
      </c>
      <c r="B755" s="11">
        <f>+MONTH(A755)</f>
        <v>11</v>
      </c>
      <c r="C755" s="11">
        <f>+WEEKNUM(A755)</f>
        <v>46</v>
      </c>
      <c r="D755" s="4" t="s">
        <v>2302</v>
      </c>
      <c r="E755" s="4" t="s">
        <v>2303</v>
      </c>
      <c r="F755" s="4">
        <v>573213812680</v>
      </c>
      <c r="G755" s="4">
        <v>73234</v>
      </c>
      <c r="H755" s="8" t="s">
        <v>3326</v>
      </c>
      <c r="I755" s="8" t="s">
        <v>3326</v>
      </c>
      <c r="J755" s="4" t="s">
        <v>2304</v>
      </c>
      <c r="K755" s="4"/>
      <c r="M755" s="4"/>
      <c r="N755" s="7"/>
      <c r="O755" s="7"/>
    </row>
    <row r="756" spans="1:15" ht="12.75" x14ac:dyDescent="0.2">
      <c r="A756" s="21">
        <v>45972</v>
      </c>
      <c r="B756" s="11">
        <f>+MONTH(A756)</f>
        <v>11</v>
      </c>
      <c r="C756" s="11">
        <f>+WEEKNUM(A756)</f>
        <v>46</v>
      </c>
      <c r="D756" s="4" t="s">
        <v>1499</v>
      </c>
      <c r="E756" s="4" t="s">
        <v>2188</v>
      </c>
      <c r="F756" s="4">
        <v>573114948038</v>
      </c>
      <c r="G756" s="4">
        <v>72996</v>
      </c>
      <c r="H756" s="8" t="s">
        <v>3326</v>
      </c>
      <c r="I756" s="8" t="s">
        <v>3326</v>
      </c>
      <c r="J756" s="4" t="s">
        <v>64</v>
      </c>
      <c r="K756" s="4"/>
      <c r="M756" s="4"/>
      <c r="N756" s="7"/>
      <c r="O756" s="7"/>
    </row>
    <row r="757" spans="1:15" ht="25.5" x14ac:dyDescent="0.2">
      <c r="A757" s="21">
        <v>45972</v>
      </c>
      <c r="B757" s="11">
        <f>+MONTH(A757)</f>
        <v>11</v>
      </c>
      <c r="C757" s="11">
        <f>+WEEKNUM(A757)</f>
        <v>46</v>
      </c>
      <c r="D757" s="4" t="s">
        <v>1513</v>
      </c>
      <c r="E757" s="4" t="s">
        <v>2300</v>
      </c>
      <c r="F757" s="4">
        <v>573042970901</v>
      </c>
      <c r="G757" s="4">
        <v>73176</v>
      </c>
      <c r="H757" s="8" t="s">
        <v>3326</v>
      </c>
      <c r="I757" s="8" t="s">
        <v>3326</v>
      </c>
      <c r="J757" s="4" t="s">
        <v>2301</v>
      </c>
      <c r="K757" s="4"/>
      <c r="M757" s="4"/>
      <c r="N757" s="7"/>
      <c r="O757" s="7"/>
    </row>
    <row r="758" spans="1:15" ht="38.25" x14ac:dyDescent="0.2">
      <c r="A758" s="21">
        <v>45972</v>
      </c>
      <c r="B758" s="11">
        <f>+MONTH(A758)</f>
        <v>11</v>
      </c>
      <c r="C758" s="11">
        <f>+WEEKNUM(A758)</f>
        <v>46</v>
      </c>
      <c r="D758" s="4" t="s">
        <v>2294</v>
      </c>
      <c r="E758" s="4" t="s">
        <v>2295</v>
      </c>
      <c r="F758" s="4">
        <v>573167511673</v>
      </c>
      <c r="G758" s="4">
        <v>72835</v>
      </c>
      <c r="H758" s="8" t="s">
        <v>3326</v>
      </c>
      <c r="I758" s="8" t="s">
        <v>3326</v>
      </c>
      <c r="J758" s="4" t="s">
        <v>2296</v>
      </c>
      <c r="K758" s="4" t="s">
        <v>90</v>
      </c>
      <c r="M758" s="4" t="s">
        <v>2297</v>
      </c>
      <c r="N758" s="7"/>
      <c r="O758" s="7"/>
    </row>
    <row r="759" spans="1:15" ht="12.75" x14ac:dyDescent="0.2">
      <c r="A759" s="21">
        <v>45972</v>
      </c>
      <c r="B759" s="11">
        <f>+MONTH(A759)</f>
        <v>11</v>
      </c>
      <c r="C759" s="11">
        <f>+WEEKNUM(A759)</f>
        <v>46</v>
      </c>
      <c r="D759" s="4" t="s">
        <v>1834</v>
      </c>
      <c r="E759" s="4" t="s">
        <v>2298</v>
      </c>
      <c r="F759" s="4">
        <v>573102700539</v>
      </c>
      <c r="G759" s="4">
        <v>72537</v>
      </c>
      <c r="H759" s="8" t="s">
        <v>3326</v>
      </c>
      <c r="I759" s="8" t="s">
        <v>3326</v>
      </c>
      <c r="J759" s="4" t="s">
        <v>2299</v>
      </c>
      <c r="K759" s="4"/>
      <c r="M759" s="4"/>
      <c r="N759" s="7"/>
      <c r="O759" s="7"/>
    </row>
    <row r="760" spans="1:15" ht="25.5" x14ac:dyDescent="0.2">
      <c r="A760" s="21">
        <v>45972</v>
      </c>
      <c r="B760" s="11">
        <f>+MONTH(A760)</f>
        <v>11</v>
      </c>
      <c r="C760" s="11">
        <f>+WEEKNUM(A760)</f>
        <v>46</v>
      </c>
      <c r="D760" s="4" t="s">
        <v>2314</v>
      </c>
      <c r="E760" s="4" t="s">
        <v>2315</v>
      </c>
      <c r="F760" s="4">
        <v>573107807449</v>
      </c>
      <c r="G760" s="4">
        <v>72836</v>
      </c>
      <c r="H760" s="8" t="s">
        <v>3326</v>
      </c>
      <c r="I760" s="8" t="s">
        <v>3326</v>
      </c>
      <c r="J760" s="4" t="s">
        <v>2316</v>
      </c>
      <c r="K760" s="4"/>
      <c r="M760" s="4"/>
      <c r="N760" s="7"/>
      <c r="O760" s="7"/>
    </row>
    <row r="761" spans="1:15" ht="25.5" x14ac:dyDescent="0.2">
      <c r="A761" s="21">
        <v>45972</v>
      </c>
      <c r="B761" s="11">
        <f>+MONTH(A761)</f>
        <v>11</v>
      </c>
      <c r="C761" s="11">
        <f>+WEEKNUM(A761)</f>
        <v>46</v>
      </c>
      <c r="D761" s="4" t="s">
        <v>2289</v>
      </c>
      <c r="E761" s="4" t="s">
        <v>2290</v>
      </c>
      <c r="F761" s="4">
        <v>573228428681</v>
      </c>
      <c r="G761" s="4">
        <v>72475</v>
      </c>
      <c r="H761" s="8" t="s">
        <v>3325</v>
      </c>
      <c r="I761" s="8" t="s">
        <v>3325</v>
      </c>
      <c r="J761" s="4" t="s">
        <v>2291</v>
      </c>
      <c r="K761" s="4"/>
      <c r="M761" s="4"/>
      <c r="N761" s="7"/>
      <c r="O761" s="7"/>
    </row>
    <row r="762" spans="1:15" ht="25.5" x14ac:dyDescent="0.2">
      <c r="A762" s="21">
        <v>45972</v>
      </c>
      <c r="B762" s="11">
        <f>+MONTH(A762)</f>
        <v>11</v>
      </c>
      <c r="C762" s="11">
        <f>+WEEKNUM(A762)</f>
        <v>46</v>
      </c>
      <c r="D762" s="4" t="s">
        <v>2351</v>
      </c>
      <c r="E762" s="4" t="s">
        <v>2352</v>
      </c>
      <c r="F762" s="4">
        <v>573504593603</v>
      </c>
      <c r="G762" s="4">
        <v>72413</v>
      </c>
      <c r="H762" s="8" t="s">
        <v>3326</v>
      </c>
      <c r="I762" s="8" t="s">
        <v>3326</v>
      </c>
      <c r="J762" s="4" t="s">
        <v>64</v>
      </c>
      <c r="K762" s="4"/>
      <c r="M762" s="4"/>
      <c r="N762" s="7"/>
      <c r="O762" s="7"/>
    </row>
    <row r="763" spans="1:15" ht="38.25" x14ac:dyDescent="0.2">
      <c r="A763" s="21">
        <v>45972</v>
      </c>
      <c r="B763" s="37">
        <f>+MONTH(A763)</f>
        <v>11</v>
      </c>
      <c r="C763" s="37">
        <f>+WEEKNUM(A763)</f>
        <v>46</v>
      </c>
      <c r="D763" s="38" t="s">
        <v>2340</v>
      </c>
      <c r="E763" s="38" t="s">
        <v>2341</v>
      </c>
      <c r="F763" s="38">
        <v>573113644437</v>
      </c>
      <c r="G763" s="38">
        <v>72355</v>
      </c>
      <c r="H763" s="39" t="s">
        <v>22</v>
      </c>
      <c r="I763" s="39" t="s">
        <v>3326</v>
      </c>
      <c r="J763" s="38" t="s">
        <v>2342</v>
      </c>
      <c r="K763" s="4"/>
      <c r="M763" s="4"/>
      <c r="N763" s="7"/>
      <c r="O763" s="7"/>
    </row>
    <row r="764" spans="1:15" ht="25.5" x14ac:dyDescent="0.2">
      <c r="A764" s="21">
        <v>45972</v>
      </c>
      <c r="B764" s="11">
        <f>+MONTH(A764)</f>
        <v>11</v>
      </c>
      <c r="C764" s="11">
        <f>+WEEKNUM(A764)</f>
        <v>46</v>
      </c>
      <c r="D764" s="4" t="s">
        <v>2337</v>
      </c>
      <c r="E764" s="4" t="s">
        <v>2338</v>
      </c>
      <c r="F764" s="4">
        <v>573195393512</v>
      </c>
      <c r="G764" s="4">
        <v>72894</v>
      </c>
      <c r="H764" s="8" t="s">
        <v>3326</v>
      </c>
      <c r="I764" s="8" t="s">
        <v>3326</v>
      </c>
      <c r="J764" s="4" t="s">
        <v>2339</v>
      </c>
      <c r="K764" s="4"/>
      <c r="M764" s="4"/>
      <c r="N764" s="7"/>
      <c r="O764" s="7"/>
    </row>
    <row r="765" spans="1:15" ht="63.75" x14ac:dyDescent="0.2">
      <c r="A765" s="21">
        <v>45972</v>
      </c>
      <c r="B765" s="11">
        <f>+MONTH(A765)</f>
        <v>11</v>
      </c>
      <c r="C765" s="11">
        <f>+WEEKNUM(A765)</f>
        <v>46</v>
      </c>
      <c r="D765" s="4" t="s">
        <v>2284</v>
      </c>
      <c r="E765" s="4" t="s">
        <v>2285</v>
      </c>
      <c r="F765" s="4">
        <v>573166968395</v>
      </c>
      <c r="G765" s="4">
        <v>71979</v>
      </c>
      <c r="H765" s="8" t="s">
        <v>22</v>
      </c>
      <c r="I765" s="8" t="s">
        <v>22</v>
      </c>
      <c r="J765" s="4" t="s">
        <v>2286</v>
      </c>
      <c r="K765" s="4"/>
      <c r="M765" s="4"/>
      <c r="N765" s="7"/>
      <c r="O765" s="7"/>
    </row>
    <row r="766" spans="1:15" ht="25.5" x14ac:dyDescent="0.2">
      <c r="A766" s="21">
        <v>45972</v>
      </c>
      <c r="B766" s="11">
        <f>+MONTH(A766)</f>
        <v>11</v>
      </c>
      <c r="C766" s="11">
        <f>+WEEKNUM(A766)</f>
        <v>46</v>
      </c>
      <c r="D766" s="4" t="s">
        <v>1402</v>
      </c>
      <c r="E766" s="4" t="s">
        <v>2287</v>
      </c>
      <c r="F766" s="4">
        <v>573246847047</v>
      </c>
      <c r="G766" s="4">
        <v>73231</v>
      </c>
      <c r="H766" s="8" t="s">
        <v>3326</v>
      </c>
      <c r="I766" s="8" t="s">
        <v>3326</v>
      </c>
      <c r="J766" s="4" t="s">
        <v>2288</v>
      </c>
      <c r="K766" s="4"/>
      <c r="M766" s="4"/>
      <c r="N766" s="7"/>
      <c r="O766" s="7"/>
    </row>
    <row r="767" spans="1:15" ht="25.5" x14ac:dyDescent="0.2">
      <c r="A767" s="21">
        <v>45972</v>
      </c>
      <c r="B767" s="11">
        <f>+MONTH(A767)</f>
        <v>11</v>
      </c>
      <c r="C767" s="11">
        <f>+WEEKNUM(A767)</f>
        <v>46</v>
      </c>
      <c r="D767" s="4" t="s">
        <v>2292</v>
      </c>
      <c r="E767" s="4" t="s">
        <v>2293</v>
      </c>
      <c r="F767" s="4">
        <v>573004611137</v>
      </c>
      <c r="G767" s="4">
        <v>72839</v>
      </c>
      <c r="H767" s="8" t="s">
        <v>3326</v>
      </c>
      <c r="I767" s="8" t="s">
        <v>3326</v>
      </c>
      <c r="J767" s="4"/>
      <c r="K767" s="4"/>
      <c r="M767" s="4"/>
      <c r="N767" s="7"/>
      <c r="O767" s="7"/>
    </row>
    <row r="768" spans="1:15" ht="51" x14ac:dyDescent="0.2">
      <c r="A768" s="21">
        <v>45972</v>
      </c>
      <c r="B768" s="11">
        <f>+MONTH(A768)</f>
        <v>11</v>
      </c>
      <c r="C768" s="11">
        <f>+WEEKNUM(A768)</f>
        <v>46</v>
      </c>
      <c r="D768" s="4" t="s">
        <v>2278</v>
      </c>
      <c r="E768" s="4" t="s">
        <v>2279</v>
      </c>
      <c r="F768" s="4">
        <v>573246324043</v>
      </c>
      <c r="G768" s="4">
        <v>69286</v>
      </c>
      <c r="H768" s="8" t="s">
        <v>3326</v>
      </c>
      <c r="I768" s="8" t="s">
        <v>3326</v>
      </c>
      <c r="J768" s="4" t="s">
        <v>2280</v>
      </c>
      <c r="K768" s="4"/>
      <c r="M768" s="4"/>
      <c r="N768" s="7"/>
      <c r="O768" s="7"/>
    </row>
    <row r="769" spans="1:15" ht="25.5" x14ac:dyDescent="0.2">
      <c r="A769" s="21">
        <v>45972</v>
      </c>
      <c r="B769" s="11">
        <f>+MONTH(A769)</f>
        <v>11</v>
      </c>
      <c r="C769" s="11">
        <f>+WEEKNUM(A769)</f>
        <v>46</v>
      </c>
      <c r="D769" s="4" t="s">
        <v>2281</v>
      </c>
      <c r="E769" s="4" t="s">
        <v>2282</v>
      </c>
      <c r="F769" s="4">
        <v>573002120213</v>
      </c>
      <c r="G769" s="4">
        <v>73124</v>
      </c>
      <c r="H769" s="8" t="s">
        <v>3326</v>
      </c>
      <c r="I769" s="8" t="s">
        <v>3326</v>
      </c>
      <c r="J769" s="4" t="s">
        <v>2283</v>
      </c>
      <c r="K769" s="4"/>
      <c r="M769" s="4"/>
      <c r="N769" s="7"/>
      <c r="O769" s="7"/>
    </row>
    <row r="770" spans="1:15" ht="25.5" x14ac:dyDescent="0.2">
      <c r="A770" s="21">
        <v>45972</v>
      </c>
      <c r="B770" s="11">
        <f>+MONTH(A770)</f>
        <v>11</v>
      </c>
      <c r="C770" s="11">
        <f>+WEEKNUM(A770)</f>
        <v>46</v>
      </c>
      <c r="D770" s="4" t="s">
        <v>2317</v>
      </c>
      <c r="E770" s="4" t="s">
        <v>2318</v>
      </c>
      <c r="F770" s="4">
        <v>573108754006</v>
      </c>
      <c r="G770" s="4">
        <v>70096</v>
      </c>
      <c r="H770" s="8" t="s">
        <v>3326</v>
      </c>
      <c r="I770" s="8" t="s">
        <v>22</v>
      </c>
      <c r="J770" s="4"/>
      <c r="K770" s="4"/>
      <c r="M770" s="4"/>
      <c r="N770" s="7"/>
      <c r="O770" s="7"/>
    </row>
    <row r="771" spans="1:15" ht="38.25" x14ac:dyDescent="0.2">
      <c r="A771" s="21">
        <v>45971</v>
      </c>
      <c r="B771" s="11">
        <f>+MONTH(A771)</f>
        <v>11</v>
      </c>
      <c r="C771" s="11">
        <f>+WEEKNUM(A771)</f>
        <v>46</v>
      </c>
      <c r="D771" s="4" t="s">
        <v>2268</v>
      </c>
      <c r="E771" s="4" t="s">
        <v>2269</v>
      </c>
      <c r="F771" s="4">
        <v>573005410257</v>
      </c>
      <c r="G771" s="4">
        <v>71628</v>
      </c>
      <c r="H771" s="8" t="s">
        <v>22</v>
      </c>
      <c r="I771" s="8" t="s">
        <v>3326</v>
      </c>
      <c r="J771" s="4" t="s">
        <v>2270</v>
      </c>
      <c r="K771" s="4"/>
      <c r="M771" s="4"/>
      <c r="N771" s="7"/>
      <c r="O771" s="7"/>
    </row>
    <row r="772" spans="1:15" ht="25.5" x14ac:dyDescent="0.2">
      <c r="A772" s="21">
        <v>45971</v>
      </c>
      <c r="B772" s="11">
        <f>+MONTH(A772)</f>
        <v>11</v>
      </c>
      <c r="C772" s="11">
        <f>+WEEKNUM(A772)</f>
        <v>46</v>
      </c>
      <c r="D772" s="4" t="s">
        <v>2265</v>
      </c>
      <c r="E772" s="4" t="s">
        <v>2266</v>
      </c>
      <c r="F772" s="4">
        <v>573024658487</v>
      </c>
      <c r="G772" s="4">
        <v>72951</v>
      </c>
      <c r="H772" s="8" t="s">
        <v>3326</v>
      </c>
      <c r="I772" s="8" t="s">
        <v>3326</v>
      </c>
      <c r="J772" s="4" t="s">
        <v>2267</v>
      </c>
      <c r="K772" s="4"/>
      <c r="M772" s="4"/>
      <c r="N772" s="7"/>
      <c r="O772" s="7"/>
    </row>
    <row r="773" spans="1:15" ht="25.5" x14ac:dyDescent="0.2">
      <c r="A773" s="21">
        <v>45971</v>
      </c>
      <c r="B773" s="11">
        <f>+MONTH(A773)</f>
        <v>11</v>
      </c>
      <c r="C773" s="11">
        <f>+WEEKNUM(A773)</f>
        <v>46</v>
      </c>
      <c r="D773" s="4" t="s">
        <v>1539</v>
      </c>
      <c r="E773" s="4" t="s">
        <v>2271</v>
      </c>
      <c r="F773" s="4">
        <v>573168266115</v>
      </c>
      <c r="G773" s="4">
        <v>71099</v>
      </c>
      <c r="H773" s="8" t="s">
        <v>3326</v>
      </c>
      <c r="I773" s="8" t="s">
        <v>3326</v>
      </c>
      <c r="J773" s="4" t="s">
        <v>2272</v>
      </c>
      <c r="K773" s="4" t="s">
        <v>2273</v>
      </c>
      <c r="M773" s="4" t="s">
        <v>2274</v>
      </c>
      <c r="N773" s="7"/>
      <c r="O773" s="7"/>
    </row>
    <row r="774" spans="1:15" ht="25.5" x14ac:dyDescent="0.2">
      <c r="A774" s="21">
        <v>45971</v>
      </c>
      <c r="B774" s="11">
        <f>+MONTH(A774)</f>
        <v>11</v>
      </c>
      <c r="C774" s="11">
        <f>+WEEKNUM(A774)</f>
        <v>46</v>
      </c>
      <c r="D774" s="4" t="s">
        <v>1462</v>
      </c>
      <c r="E774" s="4" t="s">
        <v>2261</v>
      </c>
      <c r="F774" s="4">
        <v>573138759277</v>
      </c>
      <c r="G774" s="4">
        <v>70587</v>
      </c>
      <c r="H774" s="8" t="s">
        <v>3326</v>
      </c>
      <c r="I774" s="8" t="s">
        <v>3326</v>
      </c>
      <c r="J774" s="4" t="s">
        <v>39</v>
      </c>
      <c r="K774" s="4"/>
      <c r="M774" s="4"/>
      <c r="N774" s="7"/>
      <c r="O774" s="7"/>
    </row>
    <row r="775" spans="1:15" ht="25.5" x14ac:dyDescent="0.2">
      <c r="A775" s="21">
        <v>45971</v>
      </c>
      <c r="B775" s="11">
        <f>+MONTH(A775)</f>
        <v>11</v>
      </c>
      <c r="C775" s="11">
        <f>+WEEKNUM(A775)</f>
        <v>46</v>
      </c>
      <c r="D775" s="4" t="s">
        <v>2262</v>
      </c>
      <c r="E775" s="4" t="s">
        <v>2263</v>
      </c>
      <c r="F775" s="4">
        <v>573113560748</v>
      </c>
      <c r="G775" s="4">
        <v>70294</v>
      </c>
      <c r="H775" s="8" t="s">
        <v>22</v>
      </c>
      <c r="I775" s="8" t="s">
        <v>3326</v>
      </c>
      <c r="J775" s="4" t="s">
        <v>2264</v>
      </c>
      <c r="K775" s="4"/>
      <c r="M775" s="4"/>
      <c r="N775" s="7"/>
      <c r="O775" s="7"/>
    </row>
    <row r="776" spans="1:15" ht="25.5" x14ac:dyDescent="0.2">
      <c r="A776" s="21">
        <v>45971</v>
      </c>
      <c r="B776" s="11">
        <f>+MONTH(A776)</f>
        <v>11</v>
      </c>
      <c r="C776" s="11">
        <f>+WEEKNUM(A776)</f>
        <v>46</v>
      </c>
      <c r="D776" s="4" t="s">
        <v>2258</v>
      </c>
      <c r="E776" s="4" t="s">
        <v>2259</v>
      </c>
      <c r="F776" s="4">
        <v>573242574853</v>
      </c>
      <c r="G776" s="4">
        <v>72766</v>
      </c>
      <c r="H776" s="8" t="s">
        <v>3326</v>
      </c>
      <c r="I776" s="8" t="s">
        <v>22</v>
      </c>
      <c r="J776" s="4" t="s">
        <v>2260</v>
      </c>
      <c r="K776" s="4"/>
      <c r="M776" s="4"/>
      <c r="N776" s="7"/>
      <c r="O776" s="7"/>
    </row>
    <row r="777" spans="1:15" ht="102" x14ac:dyDescent="0.2">
      <c r="A777" s="21">
        <v>45971</v>
      </c>
      <c r="B777" s="11">
        <f>+MONTH(A777)</f>
        <v>11</v>
      </c>
      <c r="C777" s="11">
        <f>+WEEKNUM(A777)</f>
        <v>46</v>
      </c>
      <c r="D777" s="4" t="s">
        <v>1612</v>
      </c>
      <c r="E777" s="4" t="s">
        <v>1613</v>
      </c>
      <c r="F777" s="4">
        <v>573004535064</v>
      </c>
      <c r="G777" s="4">
        <v>73183</v>
      </c>
      <c r="H777" s="8" t="s">
        <v>3326</v>
      </c>
      <c r="I777" s="8" t="s">
        <v>3326</v>
      </c>
      <c r="J777" s="4" t="s">
        <v>1614</v>
      </c>
      <c r="K777" s="4"/>
      <c r="M777" s="4"/>
      <c r="N777" s="7"/>
      <c r="O777" s="7"/>
    </row>
    <row r="778" spans="1:15" ht="76.5" x14ac:dyDescent="0.2">
      <c r="A778" s="21">
        <v>45971</v>
      </c>
      <c r="B778" s="11">
        <f>+MONTH(A778)</f>
        <v>11</v>
      </c>
      <c r="C778" s="11">
        <f>+WEEKNUM(A778)</f>
        <v>46</v>
      </c>
      <c r="D778" s="4" t="s">
        <v>2319</v>
      </c>
      <c r="E778" s="4" t="s">
        <v>2320</v>
      </c>
      <c r="F778" s="4">
        <v>573174009435</v>
      </c>
      <c r="G778" s="4">
        <v>73059</v>
      </c>
      <c r="H778" s="8" t="s">
        <v>22</v>
      </c>
      <c r="I778" s="8" t="s">
        <v>3326</v>
      </c>
      <c r="J778" s="4" t="s">
        <v>2321</v>
      </c>
      <c r="K778" s="4"/>
      <c r="M778" s="4"/>
      <c r="N778" s="7"/>
      <c r="O778" s="7"/>
    </row>
    <row r="779" spans="1:15" ht="25.5" x14ac:dyDescent="0.2">
      <c r="A779" s="21">
        <v>45971</v>
      </c>
      <c r="B779" s="11">
        <f>+MONTH(A779)</f>
        <v>11</v>
      </c>
      <c r="C779" s="11">
        <f>+WEEKNUM(A779)</f>
        <v>46</v>
      </c>
      <c r="D779" s="4" t="s">
        <v>2307</v>
      </c>
      <c r="E779" s="4" t="s">
        <v>2308</v>
      </c>
      <c r="F779" s="4">
        <v>573245029672</v>
      </c>
      <c r="G779" s="4">
        <v>70825</v>
      </c>
      <c r="H779" s="8" t="s">
        <v>22</v>
      </c>
      <c r="I779" s="8" t="s">
        <v>22</v>
      </c>
      <c r="J779" s="4" t="s">
        <v>2309</v>
      </c>
      <c r="K779" s="4"/>
      <c r="M779" s="4"/>
      <c r="N779" s="7"/>
      <c r="O779" s="7"/>
    </row>
    <row r="780" spans="1:15" ht="25.5" x14ac:dyDescent="0.2">
      <c r="A780" s="21">
        <v>45971</v>
      </c>
      <c r="B780" s="11">
        <f>+MONTH(A780)</f>
        <v>11</v>
      </c>
      <c r="C780" s="11">
        <f>+WEEKNUM(A780)</f>
        <v>46</v>
      </c>
      <c r="D780" s="4" t="s">
        <v>1834</v>
      </c>
      <c r="E780" s="4" t="s">
        <v>2257</v>
      </c>
      <c r="F780" s="4">
        <v>573044601905</v>
      </c>
      <c r="G780" s="4">
        <v>72992</v>
      </c>
      <c r="H780" s="8" t="s">
        <v>3326</v>
      </c>
      <c r="I780" s="8" t="s">
        <v>22</v>
      </c>
      <c r="J780" s="4"/>
      <c r="K780" s="4"/>
      <c r="M780" s="4"/>
      <c r="N780" s="7"/>
      <c r="O780" s="7"/>
    </row>
    <row r="781" spans="1:15" ht="25.5" x14ac:dyDescent="0.2">
      <c r="A781" s="21">
        <v>45971</v>
      </c>
      <c r="B781" s="11">
        <f>+MONTH(A781)</f>
        <v>11</v>
      </c>
      <c r="C781" s="11">
        <f>+WEEKNUM(A781)</f>
        <v>46</v>
      </c>
      <c r="D781" s="4" t="s">
        <v>2250</v>
      </c>
      <c r="E781" s="4" t="s">
        <v>2251</v>
      </c>
      <c r="F781" s="4">
        <v>573134598817</v>
      </c>
      <c r="G781" s="4">
        <v>73126</v>
      </c>
      <c r="H781" s="8" t="s">
        <v>3326</v>
      </c>
      <c r="I781" s="8" t="s">
        <v>3326</v>
      </c>
      <c r="J781" s="4" t="s">
        <v>2252</v>
      </c>
      <c r="K781" s="4"/>
      <c r="M781" s="4"/>
      <c r="N781" s="7"/>
      <c r="O781" s="7"/>
    </row>
    <row r="782" spans="1:15" ht="25.5" x14ac:dyDescent="0.2">
      <c r="A782" s="21">
        <v>45971</v>
      </c>
      <c r="B782" s="11">
        <f>+MONTH(A782)</f>
        <v>11</v>
      </c>
      <c r="C782" s="11">
        <f>+WEEKNUM(A782)</f>
        <v>46</v>
      </c>
      <c r="D782" s="4" t="s">
        <v>2247</v>
      </c>
      <c r="E782" s="4" t="s">
        <v>2248</v>
      </c>
      <c r="F782" s="4">
        <v>573213149178</v>
      </c>
      <c r="G782" s="4">
        <v>72298</v>
      </c>
      <c r="H782" s="8" t="s">
        <v>3326</v>
      </c>
      <c r="I782" s="8" t="s">
        <v>22</v>
      </c>
      <c r="J782" s="4" t="s">
        <v>2249</v>
      </c>
      <c r="K782" s="4"/>
      <c r="M782" s="4"/>
      <c r="N782" s="7"/>
      <c r="O782" s="7"/>
    </row>
    <row r="783" spans="1:15" ht="89.25" x14ac:dyDescent="0.2">
      <c r="A783" s="21">
        <v>45971</v>
      </c>
      <c r="B783" s="11">
        <f>+MONTH(A783)</f>
        <v>11</v>
      </c>
      <c r="C783" s="11">
        <f>+WEEKNUM(A783)</f>
        <v>46</v>
      </c>
      <c r="D783" s="4" t="s">
        <v>2244</v>
      </c>
      <c r="E783" s="4" t="s">
        <v>2245</v>
      </c>
      <c r="F783" s="4">
        <v>573174041548</v>
      </c>
      <c r="G783" s="4">
        <v>72011</v>
      </c>
      <c r="H783" s="8" t="s">
        <v>3326</v>
      </c>
      <c r="I783" s="8" t="s">
        <v>3326</v>
      </c>
      <c r="J783" s="4" t="s">
        <v>2246</v>
      </c>
      <c r="K783" s="4"/>
      <c r="M783" s="4"/>
      <c r="N783" s="7"/>
      <c r="O783" s="7"/>
    </row>
    <row r="784" spans="1:15" ht="25.5" x14ac:dyDescent="0.2">
      <c r="A784" s="21">
        <v>45971</v>
      </c>
      <c r="B784" s="11">
        <f>+MONTH(A784)</f>
        <v>11</v>
      </c>
      <c r="C784" s="11">
        <f>+WEEKNUM(A784)</f>
        <v>46</v>
      </c>
      <c r="D784" s="4" t="s">
        <v>2242</v>
      </c>
      <c r="E784" s="4" t="s">
        <v>2243</v>
      </c>
      <c r="F784" s="4">
        <v>573016471318</v>
      </c>
      <c r="G784" s="4">
        <v>72456</v>
      </c>
      <c r="H784" s="8" t="s">
        <v>22</v>
      </c>
      <c r="I784" s="8" t="s">
        <v>3325</v>
      </c>
      <c r="J784" s="4"/>
      <c r="K784" s="4"/>
      <c r="M784" s="4"/>
      <c r="N784" s="7"/>
      <c r="O784" s="7"/>
    </row>
    <row r="785" spans="1:15" ht="25.5" x14ac:dyDescent="0.2">
      <c r="A785" s="21">
        <v>45971</v>
      </c>
      <c r="B785" s="11">
        <f>+MONTH(A785)</f>
        <v>11</v>
      </c>
      <c r="C785" s="11">
        <f>+WEEKNUM(A785)</f>
        <v>46</v>
      </c>
      <c r="D785" s="4" t="s">
        <v>2237</v>
      </c>
      <c r="E785" s="4" t="s">
        <v>2238</v>
      </c>
      <c r="F785" s="4">
        <v>573108586719</v>
      </c>
      <c r="G785" s="4">
        <v>72969</v>
      </c>
      <c r="H785" s="8" t="s">
        <v>3326</v>
      </c>
      <c r="I785" s="8" t="s">
        <v>3326</v>
      </c>
      <c r="J785" s="4" t="s">
        <v>2239</v>
      </c>
      <c r="K785" s="4" t="s">
        <v>58</v>
      </c>
      <c r="M785" s="4" t="s">
        <v>2240</v>
      </c>
      <c r="N785" s="7"/>
      <c r="O785" s="7"/>
    </row>
    <row r="786" spans="1:15" ht="25.5" x14ac:dyDescent="0.2">
      <c r="A786" s="21">
        <v>45971</v>
      </c>
      <c r="B786" s="11">
        <f>+MONTH(A786)</f>
        <v>11</v>
      </c>
      <c r="C786" s="11">
        <f>+WEEKNUM(A786)</f>
        <v>46</v>
      </c>
      <c r="D786" s="4" t="s">
        <v>2231</v>
      </c>
      <c r="E786" s="4" t="s">
        <v>2232</v>
      </c>
      <c r="F786" s="4">
        <v>573232301851</v>
      </c>
      <c r="G786" s="4">
        <v>72748</v>
      </c>
      <c r="H786" s="8" t="s">
        <v>3326</v>
      </c>
      <c r="I786" s="8" t="s">
        <v>3326</v>
      </c>
      <c r="J786" s="4" t="s">
        <v>2233</v>
      </c>
      <c r="K786" s="4" t="s">
        <v>2234</v>
      </c>
      <c r="M786" s="4" t="s">
        <v>2235</v>
      </c>
      <c r="N786" s="7"/>
      <c r="O786" s="7"/>
    </row>
    <row r="787" spans="1:15" ht="12.75" x14ac:dyDescent="0.2">
      <c r="A787" s="21">
        <v>45971</v>
      </c>
      <c r="B787" s="11">
        <f>+MONTH(A787)</f>
        <v>11</v>
      </c>
      <c r="C787" s="11">
        <f>+WEEKNUM(A787)</f>
        <v>46</v>
      </c>
      <c r="D787" s="4" t="s">
        <v>1670</v>
      </c>
      <c r="E787" s="4" t="s">
        <v>2236</v>
      </c>
      <c r="F787" s="4">
        <v>573114664481</v>
      </c>
      <c r="G787" s="4">
        <v>72608</v>
      </c>
      <c r="H787" s="8" t="s">
        <v>3326</v>
      </c>
      <c r="I787" s="8" t="s">
        <v>3326</v>
      </c>
      <c r="J787" s="4"/>
      <c r="K787" s="4"/>
      <c r="M787" s="4"/>
      <c r="N787" s="7"/>
      <c r="O787" s="7"/>
    </row>
    <row r="788" spans="1:15" ht="25.5" x14ac:dyDescent="0.2">
      <c r="A788" s="21">
        <v>45971</v>
      </c>
      <c r="B788" s="11">
        <f>+MONTH(A788)</f>
        <v>11</v>
      </c>
      <c r="C788" s="11">
        <f>+WEEKNUM(A788)</f>
        <v>46</v>
      </c>
      <c r="D788" s="4" t="s">
        <v>1670</v>
      </c>
      <c r="E788" s="4" t="s">
        <v>2236</v>
      </c>
      <c r="F788" s="4">
        <v>573114664481</v>
      </c>
      <c r="G788" s="4">
        <v>72608</v>
      </c>
      <c r="H788" s="8" t="s">
        <v>3326</v>
      </c>
      <c r="I788" s="8" t="s">
        <v>3326</v>
      </c>
      <c r="J788" s="4" t="s">
        <v>2241</v>
      </c>
      <c r="K788" s="4"/>
      <c r="M788" s="4"/>
      <c r="N788" s="7"/>
      <c r="O788" s="7"/>
    </row>
    <row r="789" spans="1:15" ht="38.25" x14ac:dyDescent="0.2">
      <c r="A789" s="21">
        <v>45971</v>
      </c>
      <c r="B789" s="11">
        <f>+MONTH(A789)</f>
        <v>11</v>
      </c>
      <c r="C789" s="11">
        <f>+WEEKNUM(A789)</f>
        <v>46</v>
      </c>
      <c r="D789" s="4" t="s">
        <v>2253</v>
      </c>
      <c r="E789" s="4" t="s">
        <v>2254</v>
      </c>
      <c r="F789" s="4">
        <v>573002836424</v>
      </c>
      <c r="G789" s="4">
        <v>70818</v>
      </c>
      <c r="H789" s="8" t="s">
        <v>3326</v>
      </c>
      <c r="I789" s="8" t="s">
        <v>3326</v>
      </c>
      <c r="J789" s="4" t="s">
        <v>2255</v>
      </c>
      <c r="K789" s="4" t="s">
        <v>90</v>
      </c>
      <c r="M789" s="4" t="s">
        <v>2256</v>
      </c>
      <c r="N789" s="7"/>
      <c r="O789" s="7"/>
    </row>
    <row r="790" spans="1:15" ht="25.5" x14ac:dyDescent="0.2">
      <c r="A790" s="21">
        <v>45971</v>
      </c>
      <c r="B790" s="11">
        <f>+MONTH(A790)</f>
        <v>11</v>
      </c>
      <c r="C790" s="11">
        <f>+WEEKNUM(A790)</f>
        <v>46</v>
      </c>
      <c r="D790" s="4" t="s">
        <v>1834</v>
      </c>
      <c r="E790" s="4" t="s">
        <v>2229</v>
      </c>
      <c r="F790" s="4">
        <v>573142880408</v>
      </c>
      <c r="G790" s="4">
        <v>72603</v>
      </c>
      <c r="H790" s="8" t="s">
        <v>3326</v>
      </c>
      <c r="I790" s="8" t="s">
        <v>3326</v>
      </c>
      <c r="J790" s="4" t="s">
        <v>2230</v>
      </c>
      <c r="K790" s="4"/>
      <c r="M790" s="4"/>
      <c r="N790" s="7"/>
      <c r="O790" s="7"/>
    </row>
    <row r="791" spans="1:15" ht="12.75" x14ac:dyDescent="0.2">
      <c r="A791" s="21">
        <v>45971</v>
      </c>
      <c r="B791" s="11">
        <f>+MONTH(A791)</f>
        <v>11</v>
      </c>
      <c r="C791" s="11">
        <f>+WEEKNUM(A791)</f>
        <v>46</v>
      </c>
      <c r="D791" s="4" t="s">
        <v>1640</v>
      </c>
      <c r="E791" s="4" t="s">
        <v>2228</v>
      </c>
      <c r="F791" s="4">
        <v>573208772722</v>
      </c>
      <c r="G791" s="4">
        <v>72775</v>
      </c>
      <c r="H791" s="8" t="s">
        <v>3326</v>
      </c>
      <c r="I791" s="8" t="s">
        <v>22</v>
      </c>
      <c r="J791" s="4"/>
      <c r="K791" s="4"/>
      <c r="M791" s="4"/>
      <c r="N791" s="7"/>
      <c r="O791" s="7"/>
    </row>
    <row r="792" spans="1:15" ht="25.5" x14ac:dyDescent="0.2">
      <c r="A792" s="21">
        <v>45969</v>
      </c>
      <c r="B792" s="11">
        <f>+MONTH(A792)</f>
        <v>11</v>
      </c>
      <c r="C792" s="11">
        <f>+WEEKNUM(A792)</f>
        <v>45</v>
      </c>
      <c r="D792" s="4" t="s">
        <v>2217</v>
      </c>
      <c r="E792" s="4" t="s">
        <v>2218</v>
      </c>
      <c r="F792" s="4">
        <v>573112970406</v>
      </c>
      <c r="G792" s="4">
        <v>72650</v>
      </c>
      <c r="H792" s="8" t="s">
        <v>3326</v>
      </c>
      <c r="I792" s="8" t="s">
        <v>3326</v>
      </c>
      <c r="J792" s="4" t="s">
        <v>2219</v>
      </c>
      <c r="K792" s="4"/>
      <c r="M792" s="4"/>
      <c r="N792" s="7"/>
      <c r="O792" s="7"/>
    </row>
    <row r="793" spans="1:15" ht="63.75" x14ac:dyDescent="0.2">
      <c r="A793" s="21">
        <v>45969</v>
      </c>
      <c r="B793" s="11">
        <f>+MONTH(A793)</f>
        <v>11</v>
      </c>
      <c r="C793" s="11">
        <f>+WEEKNUM(A793)</f>
        <v>45</v>
      </c>
      <c r="D793" s="4" t="s">
        <v>2209</v>
      </c>
      <c r="E793" s="4" t="s">
        <v>2210</v>
      </c>
      <c r="F793" s="4">
        <v>573008713903</v>
      </c>
      <c r="G793" s="4">
        <v>72440</v>
      </c>
      <c r="H793" s="8" t="s">
        <v>3326</v>
      </c>
      <c r="I793" s="8" t="s">
        <v>3325</v>
      </c>
      <c r="J793" s="4" t="s">
        <v>2211</v>
      </c>
      <c r="K793" s="4"/>
      <c r="M793" s="4"/>
      <c r="N793" s="7"/>
      <c r="O793" s="7"/>
    </row>
    <row r="794" spans="1:15" ht="12.75" x14ac:dyDescent="0.2">
      <c r="A794" s="21">
        <v>45969</v>
      </c>
      <c r="B794" s="11">
        <f>+MONTH(A794)</f>
        <v>11</v>
      </c>
      <c r="C794" s="11">
        <f>+WEEKNUM(A794)</f>
        <v>45</v>
      </c>
      <c r="D794" s="4" t="s">
        <v>2214</v>
      </c>
      <c r="E794" s="4" t="s">
        <v>2215</v>
      </c>
      <c r="F794" s="4">
        <v>573132907901</v>
      </c>
      <c r="G794" s="4">
        <v>72731</v>
      </c>
      <c r="H794" s="8" t="s">
        <v>3326</v>
      </c>
      <c r="I794" s="8" t="s">
        <v>3326</v>
      </c>
      <c r="J794" s="4" t="s">
        <v>2216</v>
      </c>
      <c r="K794" s="4"/>
      <c r="M794" s="4"/>
      <c r="N794" s="7"/>
      <c r="O794" s="7"/>
    </row>
    <row r="795" spans="1:15" ht="25.5" x14ac:dyDescent="0.2">
      <c r="A795" s="21">
        <v>45969</v>
      </c>
      <c r="B795" s="11">
        <f>+MONTH(A795)</f>
        <v>11</v>
      </c>
      <c r="C795" s="11">
        <f>+WEEKNUM(A795)</f>
        <v>45</v>
      </c>
      <c r="D795" s="4" t="s">
        <v>2206</v>
      </c>
      <c r="E795" s="4" t="s">
        <v>2207</v>
      </c>
      <c r="F795" s="4">
        <v>573144717779</v>
      </c>
      <c r="G795" s="4">
        <v>72853</v>
      </c>
      <c r="H795" s="8" t="s">
        <v>3326</v>
      </c>
      <c r="I795" s="8" t="s">
        <v>3326</v>
      </c>
      <c r="J795" s="4" t="s">
        <v>2208</v>
      </c>
      <c r="K795" s="4"/>
      <c r="M795" s="4"/>
      <c r="N795" s="7"/>
      <c r="O795" s="7"/>
    </row>
    <row r="796" spans="1:15" ht="76.5" x14ac:dyDescent="0.2">
      <c r="A796" s="21">
        <v>45969</v>
      </c>
      <c r="B796" s="11">
        <f>+MONTH(A796)</f>
        <v>11</v>
      </c>
      <c r="C796" s="11">
        <f>+WEEKNUM(A796)</f>
        <v>45</v>
      </c>
      <c r="D796" s="4" t="s">
        <v>2222</v>
      </c>
      <c r="E796" s="4" t="s">
        <v>2223</v>
      </c>
      <c r="F796" s="4">
        <v>573005104421</v>
      </c>
      <c r="G796" s="4">
        <v>72648</v>
      </c>
      <c r="H796" s="8" t="s">
        <v>3325</v>
      </c>
      <c r="I796" s="8" t="s">
        <v>22</v>
      </c>
      <c r="J796" s="4" t="s">
        <v>2224</v>
      </c>
      <c r="K796" s="4"/>
      <c r="M796" s="4"/>
      <c r="N796" s="7"/>
      <c r="O796" s="7"/>
    </row>
    <row r="797" spans="1:15" ht="25.5" x14ac:dyDescent="0.2">
      <c r="A797" s="21">
        <v>45969</v>
      </c>
      <c r="B797" s="11">
        <f>+MONTH(A797)</f>
        <v>11</v>
      </c>
      <c r="C797" s="11">
        <f>+WEEKNUM(A797)</f>
        <v>45</v>
      </c>
      <c r="D797" s="4" t="s">
        <v>1937</v>
      </c>
      <c r="E797" s="4" t="s">
        <v>2220</v>
      </c>
      <c r="F797" s="4">
        <v>573133816940</v>
      </c>
      <c r="G797" s="4">
        <v>72782</v>
      </c>
      <c r="H797" s="8" t="s">
        <v>3325</v>
      </c>
      <c r="I797" s="8" t="s">
        <v>3325</v>
      </c>
      <c r="J797" s="4" t="s">
        <v>2221</v>
      </c>
      <c r="K797" s="4"/>
      <c r="M797" s="4"/>
      <c r="N797" s="7"/>
      <c r="O797" s="7"/>
    </row>
    <row r="798" spans="1:15" ht="12.75" x14ac:dyDescent="0.2">
      <c r="A798" s="21">
        <v>45969</v>
      </c>
      <c r="B798" s="11">
        <f>+MONTH(A798)</f>
        <v>11</v>
      </c>
      <c r="C798" s="11">
        <f>+WEEKNUM(A798)</f>
        <v>45</v>
      </c>
      <c r="D798" s="4" t="s">
        <v>2203</v>
      </c>
      <c r="E798" s="4" t="s">
        <v>2204</v>
      </c>
      <c r="F798" s="4">
        <v>573202938846</v>
      </c>
      <c r="G798" s="4">
        <v>71217</v>
      </c>
      <c r="H798" s="8" t="s">
        <v>3325</v>
      </c>
      <c r="I798" s="8" t="s">
        <v>3325</v>
      </c>
      <c r="J798" s="4" t="s">
        <v>2205</v>
      </c>
      <c r="K798" s="4"/>
      <c r="M798" s="4"/>
      <c r="N798" s="7"/>
      <c r="O798" s="7"/>
    </row>
    <row r="799" spans="1:15" ht="38.25" x14ac:dyDescent="0.2">
      <c r="A799" s="21">
        <v>45969</v>
      </c>
      <c r="B799" s="11">
        <f>+MONTH(A799)</f>
        <v>11</v>
      </c>
      <c r="C799" s="11">
        <f>+WEEKNUM(A799)</f>
        <v>45</v>
      </c>
      <c r="D799" s="4" t="s">
        <v>2162</v>
      </c>
      <c r="E799" s="4" t="s">
        <v>2199</v>
      </c>
      <c r="F799" s="4">
        <v>573105609028</v>
      </c>
      <c r="G799" s="4">
        <v>72829</v>
      </c>
      <c r="H799" s="8" t="s">
        <v>3326</v>
      </c>
      <c r="I799" s="8" t="s">
        <v>3326</v>
      </c>
      <c r="J799" s="4" t="s">
        <v>2200</v>
      </c>
      <c r="K799" s="4" t="s">
        <v>2201</v>
      </c>
      <c r="M799" s="4" t="s">
        <v>2202</v>
      </c>
      <c r="N799" s="7"/>
      <c r="O799" s="7"/>
    </row>
    <row r="800" spans="1:15" ht="25.5" x14ac:dyDescent="0.2">
      <c r="A800" s="21">
        <v>45969</v>
      </c>
      <c r="B800" s="11">
        <f>+MONTH(A800)</f>
        <v>11</v>
      </c>
      <c r="C800" s="11">
        <f>+WEEKNUM(A800)</f>
        <v>45</v>
      </c>
      <c r="D800" s="4" t="s">
        <v>2193</v>
      </c>
      <c r="E800" s="4" t="s">
        <v>2194</v>
      </c>
      <c r="F800" s="4">
        <v>573002678218</v>
      </c>
      <c r="G800" s="4">
        <v>72929</v>
      </c>
      <c r="H800" s="8" t="s">
        <v>3326</v>
      </c>
      <c r="I800" s="8" t="s">
        <v>3326</v>
      </c>
      <c r="J800" s="4" t="s">
        <v>2195</v>
      </c>
      <c r="K800" s="4"/>
      <c r="M800" s="4"/>
      <c r="N800" s="7"/>
      <c r="O800" s="7"/>
    </row>
    <row r="801" spans="1:15" ht="63.75" x14ac:dyDescent="0.2">
      <c r="A801" s="21">
        <v>45969</v>
      </c>
      <c r="B801" s="11">
        <f>+MONTH(A801)</f>
        <v>11</v>
      </c>
      <c r="C801" s="11">
        <f>+WEEKNUM(A801)</f>
        <v>45</v>
      </c>
      <c r="D801" s="4" t="s">
        <v>2225</v>
      </c>
      <c r="E801" s="4" t="s">
        <v>2226</v>
      </c>
      <c r="F801" s="4">
        <v>573208336942</v>
      </c>
      <c r="G801" s="4">
        <v>73041</v>
      </c>
      <c r="H801" s="8" t="s">
        <v>3326</v>
      </c>
      <c r="I801" s="8" t="s">
        <v>3326</v>
      </c>
      <c r="J801" s="4" t="s">
        <v>2227</v>
      </c>
      <c r="K801" s="4"/>
      <c r="M801" s="4"/>
      <c r="N801" s="7"/>
      <c r="O801" s="7"/>
    </row>
    <row r="802" spans="1:15" ht="25.5" x14ac:dyDescent="0.2">
      <c r="A802" s="21">
        <v>45969</v>
      </c>
      <c r="B802" s="11">
        <f>+MONTH(A802)</f>
        <v>11</v>
      </c>
      <c r="C802" s="11">
        <f>+WEEKNUM(A802)</f>
        <v>45</v>
      </c>
      <c r="D802" s="4" t="s">
        <v>2190</v>
      </c>
      <c r="E802" s="4" t="s">
        <v>2191</v>
      </c>
      <c r="F802" s="4">
        <v>573213185063</v>
      </c>
      <c r="G802" s="4">
        <v>71597</v>
      </c>
      <c r="H802" s="8" t="s">
        <v>22</v>
      </c>
      <c r="I802" s="8" t="s">
        <v>3326</v>
      </c>
      <c r="J802" s="4" t="s">
        <v>2192</v>
      </c>
      <c r="K802" s="4"/>
      <c r="M802" s="4"/>
      <c r="N802" s="7"/>
      <c r="O802" s="7"/>
    </row>
    <row r="803" spans="1:15" ht="25.5" x14ac:dyDescent="0.2">
      <c r="A803" s="21">
        <v>45969</v>
      </c>
      <c r="B803" s="11">
        <f>+MONTH(A803)</f>
        <v>11</v>
      </c>
      <c r="C803" s="11">
        <f>+WEEKNUM(A803)</f>
        <v>45</v>
      </c>
      <c r="D803" s="4" t="s">
        <v>2196</v>
      </c>
      <c r="E803" s="4" t="s">
        <v>2197</v>
      </c>
      <c r="F803" s="4">
        <v>573115921698</v>
      </c>
      <c r="G803" s="4">
        <v>72770</v>
      </c>
      <c r="H803" s="8" t="s">
        <v>3326</v>
      </c>
      <c r="I803" s="8" t="s">
        <v>3326</v>
      </c>
      <c r="J803" s="4" t="s">
        <v>2198</v>
      </c>
      <c r="K803" s="4"/>
      <c r="M803" s="4"/>
      <c r="N803" s="7"/>
      <c r="O803" s="7"/>
    </row>
    <row r="804" spans="1:15" ht="12.75" x14ac:dyDescent="0.2">
      <c r="A804" s="21">
        <v>45968</v>
      </c>
      <c r="B804" s="11">
        <f>+MONTH(A804)</f>
        <v>11</v>
      </c>
      <c r="C804" s="11">
        <f>+WEEKNUM(A804)</f>
        <v>45</v>
      </c>
      <c r="D804" s="4" t="s">
        <v>2184</v>
      </c>
      <c r="E804" s="4" t="s">
        <v>2185</v>
      </c>
      <c r="F804" s="4">
        <v>573014160330</v>
      </c>
      <c r="G804" s="4">
        <v>72903</v>
      </c>
      <c r="H804" s="8" t="s">
        <v>3326</v>
      </c>
      <c r="I804" s="8" t="s">
        <v>3326</v>
      </c>
      <c r="J804" s="4" t="s">
        <v>2186</v>
      </c>
      <c r="K804" s="4"/>
      <c r="M804" s="4"/>
      <c r="N804" s="7"/>
      <c r="O804" s="7"/>
    </row>
    <row r="805" spans="1:15" ht="12.75" x14ac:dyDescent="0.2">
      <c r="A805" s="21">
        <v>45968</v>
      </c>
      <c r="B805" s="11">
        <f>+MONTH(A805)</f>
        <v>11</v>
      </c>
      <c r="C805" s="11">
        <f>+WEEKNUM(A805)</f>
        <v>45</v>
      </c>
      <c r="D805" s="4" t="s">
        <v>2187</v>
      </c>
      <c r="E805" s="4" t="s">
        <v>2188</v>
      </c>
      <c r="F805" s="4">
        <v>573107710918</v>
      </c>
      <c r="G805" s="4">
        <v>72619</v>
      </c>
      <c r="H805" s="8" t="s">
        <v>3326</v>
      </c>
      <c r="I805" s="8" t="s">
        <v>22</v>
      </c>
      <c r="J805" s="4" t="s">
        <v>2189</v>
      </c>
      <c r="K805" s="4"/>
      <c r="M805" s="4"/>
      <c r="N805" s="7"/>
      <c r="O805" s="7"/>
    </row>
    <row r="806" spans="1:15" ht="25.5" x14ac:dyDescent="0.2">
      <c r="A806" s="21">
        <v>45968</v>
      </c>
      <c r="B806" s="11">
        <f>+MONTH(A806)</f>
        <v>11</v>
      </c>
      <c r="C806" s="11">
        <f>+WEEKNUM(A806)</f>
        <v>45</v>
      </c>
      <c r="D806" s="4" t="s">
        <v>2183</v>
      </c>
      <c r="E806" s="4" t="s">
        <v>2183</v>
      </c>
      <c r="F806" s="4">
        <v>573016446022</v>
      </c>
      <c r="G806" s="4">
        <v>72423</v>
      </c>
      <c r="H806" s="8" t="s">
        <v>3326</v>
      </c>
      <c r="I806" s="8" t="s">
        <v>3326</v>
      </c>
      <c r="J806" s="4"/>
      <c r="K806" s="4"/>
      <c r="M806" s="4"/>
      <c r="N806" s="7"/>
      <c r="O806" s="7"/>
    </row>
    <row r="807" spans="1:15" ht="25.5" x14ac:dyDescent="0.2">
      <c r="A807" s="21">
        <v>45968</v>
      </c>
      <c r="B807" s="11">
        <f>+MONTH(A807)</f>
        <v>11</v>
      </c>
      <c r="C807" s="11">
        <f>+WEEKNUM(A807)</f>
        <v>45</v>
      </c>
      <c r="D807" s="4" t="s">
        <v>2404</v>
      </c>
      <c r="E807" s="4" t="s">
        <v>2405</v>
      </c>
      <c r="F807" s="4">
        <v>573118239488</v>
      </c>
      <c r="G807" s="4">
        <v>72754</v>
      </c>
      <c r="H807" s="8" t="s">
        <v>3326</v>
      </c>
      <c r="I807" s="8" t="s">
        <v>3326</v>
      </c>
      <c r="J807" s="4" t="s">
        <v>2406</v>
      </c>
      <c r="K807" s="4"/>
      <c r="M807" s="4"/>
      <c r="N807" s="7"/>
      <c r="O807" s="7"/>
    </row>
    <row r="808" spans="1:15" ht="25.5" x14ac:dyDescent="0.2">
      <c r="A808" s="21">
        <v>45968</v>
      </c>
      <c r="B808" s="11">
        <f>+MONTH(A808)</f>
        <v>11</v>
      </c>
      <c r="C808" s="11">
        <f>+WEEKNUM(A808)</f>
        <v>45</v>
      </c>
      <c r="D808" s="4" t="s">
        <v>2180</v>
      </c>
      <c r="E808" s="4" t="s">
        <v>2181</v>
      </c>
      <c r="F808" s="4">
        <v>573134018611</v>
      </c>
      <c r="G808" s="4">
        <v>72939</v>
      </c>
      <c r="H808" s="8" t="s">
        <v>3326</v>
      </c>
      <c r="I808" s="8" t="s">
        <v>3326</v>
      </c>
      <c r="J808" s="4" t="s">
        <v>2182</v>
      </c>
      <c r="K808" s="4"/>
      <c r="M808" s="4"/>
      <c r="N808" s="7"/>
      <c r="O808" s="7"/>
    </row>
    <row r="809" spans="1:15" ht="25.5" x14ac:dyDescent="0.2">
      <c r="A809" s="21">
        <v>45968</v>
      </c>
      <c r="B809" s="11">
        <f>+MONTH(A809)</f>
        <v>11</v>
      </c>
      <c r="C809" s="11">
        <f>+WEEKNUM(A809)</f>
        <v>45</v>
      </c>
      <c r="D809" s="4" t="s">
        <v>2177</v>
      </c>
      <c r="E809" s="4" t="s">
        <v>2178</v>
      </c>
      <c r="F809" s="4">
        <v>573244759897</v>
      </c>
      <c r="G809" s="4">
        <v>72938</v>
      </c>
      <c r="H809" s="8" t="s">
        <v>3326</v>
      </c>
      <c r="I809" s="8" t="s">
        <v>3326</v>
      </c>
      <c r="J809" s="4"/>
      <c r="K809" s="4"/>
      <c r="M809" s="4"/>
      <c r="N809" s="7"/>
      <c r="O809" s="7"/>
    </row>
    <row r="810" spans="1:15" ht="25.5" x14ac:dyDescent="0.2">
      <c r="A810" s="21">
        <v>45968</v>
      </c>
      <c r="B810" s="11">
        <f>+MONTH(A810)</f>
        <v>11</v>
      </c>
      <c r="C810" s="11">
        <f>+WEEKNUM(A810)</f>
        <v>45</v>
      </c>
      <c r="D810" s="4" t="s">
        <v>2171</v>
      </c>
      <c r="E810" s="4" t="s">
        <v>2172</v>
      </c>
      <c r="F810" s="4">
        <v>573144286571</v>
      </c>
      <c r="G810" s="4">
        <v>72941</v>
      </c>
      <c r="H810" s="8" t="s">
        <v>3326</v>
      </c>
      <c r="I810" s="8" t="s">
        <v>3326</v>
      </c>
      <c r="J810" s="4" t="s">
        <v>2173</v>
      </c>
      <c r="K810" s="4"/>
      <c r="M810" s="4"/>
      <c r="N810" s="7"/>
      <c r="O810" s="7"/>
    </row>
    <row r="811" spans="1:15" ht="12.75" x14ac:dyDescent="0.2">
      <c r="A811" s="21">
        <v>45968</v>
      </c>
      <c r="B811" s="11">
        <f>+MONTH(A811)</f>
        <v>11</v>
      </c>
      <c r="C811" s="11">
        <f>+WEEKNUM(A811)</f>
        <v>45</v>
      </c>
      <c r="D811" s="4" t="s">
        <v>2174</v>
      </c>
      <c r="E811" s="4" t="s">
        <v>2175</v>
      </c>
      <c r="F811" s="4">
        <v>573142855623</v>
      </c>
      <c r="G811" s="4">
        <v>72138</v>
      </c>
      <c r="H811" s="8" t="s">
        <v>3326</v>
      </c>
      <c r="I811" s="8" t="s">
        <v>3326</v>
      </c>
      <c r="J811" s="4" t="s">
        <v>2176</v>
      </c>
      <c r="K811" s="4"/>
      <c r="M811" s="4"/>
      <c r="N811" s="7"/>
      <c r="O811" s="7"/>
    </row>
    <row r="812" spans="1:15" ht="25.5" x14ac:dyDescent="0.2">
      <c r="A812" s="21">
        <v>45968</v>
      </c>
      <c r="B812" s="11">
        <f>+MONTH(A812)</f>
        <v>11</v>
      </c>
      <c r="C812" s="11">
        <f>+WEEKNUM(A812)</f>
        <v>45</v>
      </c>
      <c r="D812" s="4" t="s">
        <v>2169</v>
      </c>
      <c r="E812" s="4" t="s">
        <v>2170</v>
      </c>
      <c r="F812" s="4">
        <v>573114530516</v>
      </c>
      <c r="G812" s="4">
        <v>72471</v>
      </c>
      <c r="H812" s="8" t="s">
        <v>3326</v>
      </c>
      <c r="I812" s="8" t="s">
        <v>3326</v>
      </c>
      <c r="J812" s="4"/>
      <c r="K812" s="4"/>
      <c r="M812" s="4"/>
      <c r="N812" s="7"/>
      <c r="O812" s="7"/>
    </row>
    <row r="813" spans="1:15" ht="25.5" x14ac:dyDescent="0.2">
      <c r="A813" s="21">
        <v>45968</v>
      </c>
      <c r="B813" s="11">
        <f>+MONTH(A813)</f>
        <v>11</v>
      </c>
      <c r="C813" s="11">
        <f>+WEEKNUM(A813)</f>
        <v>45</v>
      </c>
      <c r="D813" s="4" t="s">
        <v>2005</v>
      </c>
      <c r="E813" s="4" t="s">
        <v>2006</v>
      </c>
      <c r="F813" s="4">
        <v>573005608494</v>
      </c>
      <c r="G813" s="4">
        <v>72628</v>
      </c>
      <c r="H813" s="8" t="s">
        <v>3326</v>
      </c>
      <c r="I813" s="8" t="s">
        <v>3326</v>
      </c>
      <c r="J813" s="4" t="s">
        <v>2179</v>
      </c>
      <c r="K813" s="4"/>
      <c r="M813" s="4"/>
      <c r="N813" s="7"/>
      <c r="O813" s="7"/>
    </row>
    <row r="814" spans="1:15" ht="12.75" x14ac:dyDescent="0.2">
      <c r="A814" s="21">
        <v>45968</v>
      </c>
      <c r="B814" s="11">
        <f>+MONTH(A814)</f>
        <v>11</v>
      </c>
      <c r="C814" s="11">
        <f>+WEEKNUM(A814)</f>
        <v>45</v>
      </c>
      <c r="D814" s="4" t="s">
        <v>1579</v>
      </c>
      <c r="E814" s="4" t="s">
        <v>2166</v>
      </c>
      <c r="F814" s="4">
        <v>573183068543</v>
      </c>
      <c r="G814" s="4">
        <v>72837</v>
      </c>
      <c r="H814" s="8" t="s">
        <v>3326</v>
      </c>
      <c r="I814" s="8" t="s">
        <v>3326</v>
      </c>
      <c r="J814" s="4"/>
      <c r="K814" s="4"/>
      <c r="M814" s="4"/>
      <c r="N814" s="7"/>
      <c r="O814" s="7"/>
    </row>
    <row r="815" spans="1:15" ht="12.75" x14ac:dyDescent="0.2">
      <c r="A815" s="21">
        <v>45968</v>
      </c>
      <c r="B815" s="11">
        <f>+MONTH(A815)</f>
        <v>11</v>
      </c>
      <c r="C815" s="11">
        <f>+WEEKNUM(A815)</f>
        <v>45</v>
      </c>
      <c r="D815" s="4" t="s">
        <v>2164</v>
      </c>
      <c r="E815" s="4" t="s">
        <v>2165</v>
      </c>
      <c r="F815" s="4">
        <v>573195415893</v>
      </c>
      <c r="G815" s="4">
        <v>72931</v>
      </c>
      <c r="H815" s="8" t="s">
        <v>3326</v>
      </c>
      <c r="I815" s="8" t="s">
        <v>3326</v>
      </c>
      <c r="J815" s="4"/>
      <c r="K815" s="4"/>
      <c r="M815" s="4"/>
      <c r="N815" s="7"/>
      <c r="O815" s="7"/>
    </row>
    <row r="816" spans="1:15" ht="12.75" x14ac:dyDescent="0.2">
      <c r="A816" s="21">
        <v>45968</v>
      </c>
      <c r="B816" s="11">
        <f>+MONTH(A816)</f>
        <v>11</v>
      </c>
      <c r="C816" s="11">
        <f>+WEEKNUM(A816)</f>
        <v>45</v>
      </c>
      <c r="D816" s="4" t="s">
        <v>1994</v>
      </c>
      <c r="E816" s="4" t="s">
        <v>2167</v>
      </c>
      <c r="F816" s="4">
        <v>573002167577</v>
      </c>
      <c r="G816" s="4">
        <v>72803</v>
      </c>
      <c r="H816" s="8" t="s">
        <v>3326</v>
      </c>
      <c r="I816" s="8" t="s">
        <v>3326</v>
      </c>
      <c r="J816" s="4" t="s">
        <v>2168</v>
      </c>
      <c r="K816" s="4"/>
      <c r="M816" s="4"/>
      <c r="N816" s="7"/>
      <c r="O816" s="7"/>
    </row>
    <row r="817" spans="1:15" ht="25.5" x14ac:dyDescent="0.2">
      <c r="A817" s="21">
        <v>45968</v>
      </c>
      <c r="B817" s="11">
        <f>+MONTH(A817)</f>
        <v>11</v>
      </c>
      <c r="C817" s="11">
        <f>+WEEKNUM(A817)</f>
        <v>45</v>
      </c>
      <c r="D817" s="4" t="s">
        <v>1418</v>
      </c>
      <c r="E817" s="4" t="s">
        <v>2160</v>
      </c>
      <c r="F817" s="4">
        <v>573138780477</v>
      </c>
      <c r="G817" s="4">
        <v>72024</v>
      </c>
      <c r="H817" s="8" t="s">
        <v>22</v>
      </c>
      <c r="I817" s="8" t="s">
        <v>3326</v>
      </c>
      <c r="J817" s="4" t="s">
        <v>2161</v>
      </c>
      <c r="K817" s="4"/>
      <c r="M817" s="4"/>
      <c r="N817" s="7"/>
      <c r="O817" s="7"/>
    </row>
    <row r="818" spans="1:15" ht="12.75" x14ac:dyDescent="0.2">
      <c r="A818" s="21">
        <v>45968</v>
      </c>
      <c r="B818" s="11">
        <f>+MONTH(A818)</f>
        <v>11</v>
      </c>
      <c r="C818" s="11">
        <f>+WEEKNUM(A818)</f>
        <v>45</v>
      </c>
      <c r="D818" s="4" t="s">
        <v>2162</v>
      </c>
      <c r="E818" s="4" t="s">
        <v>2163</v>
      </c>
      <c r="F818" s="4">
        <v>573213941724</v>
      </c>
      <c r="G818" s="4">
        <v>72870</v>
      </c>
      <c r="H818" s="8" t="s">
        <v>3325</v>
      </c>
      <c r="I818" s="8" t="s">
        <v>22</v>
      </c>
      <c r="J818" s="4"/>
      <c r="K818" s="4"/>
      <c r="M818" s="4"/>
      <c r="N818" s="7"/>
      <c r="O818" s="7"/>
    </row>
    <row r="819" spans="1:15" ht="255" x14ac:dyDescent="0.2">
      <c r="A819" s="21">
        <v>45967</v>
      </c>
      <c r="B819" s="11">
        <f>+MONTH(A819)</f>
        <v>11</v>
      </c>
      <c r="C819" s="11">
        <f>+WEEKNUM(A819)</f>
        <v>45</v>
      </c>
      <c r="D819" s="4" t="s">
        <v>2157</v>
      </c>
      <c r="E819" s="4" t="s">
        <v>2158</v>
      </c>
      <c r="F819" s="4">
        <v>573132256672</v>
      </c>
      <c r="G819" s="4">
        <v>72500</v>
      </c>
      <c r="H819" s="8" t="s">
        <v>22</v>
      </c>
      <c r="I819" s="8" t="s">
        <v>3326</v>
      </c>
      <c r="J819" s="4" t="s">
        <v>2159</v>
      </c>
      <c r="K819" s="4"/>
      <c r="M819" s="4"/>
      <c r="N819" s="7"/>
      <c r="O819" s="7"/>
    </row>
    <row r="820" spans="1:15" ht="12.75" x14ac:dyDescent="0.2">
      <c r="A820" s="21">
        <v>45967</v>
      </c>
      <c r="B820" s="11">
        <f>+MONTH(A820)</f>
        <v>11</v>
      </c>
      <c r="C820" s="11">
        <f>+WEEKNUM(A820)</f>
        <v>45</v>
      </c>
      <c r="D820" s="4" t="s">
        <v>1640</v>
      </c>
      <c r="E820" s="4" t="s">
        <v>2154</v>
      </c>
      <c r="F820" s="4">
        <v>573164990171</v>
      </c>
      <c r="G820" s="4">
        <v>72519</v>
      </c>
      <c r="H820" s="8" t="s">
        <v>3325</v>
      </c>
      <c r="I820" s="8" t="s">
        <v>3326</v>
      </c>
      <c r="J820" s="4"/>
      <c r="K820" s="4"/>
      <c r="M820" s="4"/>
      <c r="N820" s="7"/>
      <c r="O820" s="7"/>
    </row>
    <row r="821" spans="1:15" ht="51" x14ac:dyDescent="0.2">
      <c r="A821" s="21">
        <v>45967</v>
      </c>
      <c r="B821" s="11">
        <f>+MONTH(A821)</f>
        <v>11</v>
      </c>
      <c r="C821" s="11">
        <f>+WEEKNUM(A821)</f>
        <v>45</v>
      </c>
      <c r="D821" s="4" t="s">
        <v>2151</v>
      </c>
      <c r="E821" s="4" t="s">
        <v>2152</v>
      </c>
      <c r="F821" s="4">
        <v>573123208418</v>
      </c>
      <c r="G821" s="4">
        <v>71203</v>
      </c>
      <c r="H821" s="8" t="s">
        <v>22</v>
      </c>
      <c r="I821" s="8" t="s">
        <v>3326</v>
      </c>
      <c r="J821" s="4" t="s">
        <v>2153</v>
      </c>
      <c r="K821" s="4"/>
      <c r="M821" s="4"/>
      <c r="N821" s="7"/>
      <c r="O821" s="7"/>
    </row>
    <row r="822" spans="1:15" ht="12.75" x14ac:dyDescent="0.2">
      <c r="A822" s="21">
        <v>45967</v>
      </c>
      <c r="B822" s="11">
        <f>+MONTH(A822)</f>
        <v>11</v>
      </c>
      <c r="C822" s="11">
        <f>+WEEKNUM(A822)</f>
        <v>45</v>
      </c>
      <c r="D822" s="4" t="s">
        <v>1501</v>
      </c>
      <c r="E822" s="4" t="s">
        <v>2155</v>
      </c>
      <c r="F822" s="4">
        <v>573209607071</v>
      </c>
      <c r="G822" s="4">
        <v>71750</v>
      </c>
      <c r="H822" s="8" t="s">
        <v>3326</v>
      </c>
      <c r="I822" s="8" t="s">
        <v>3326</v>
      </c>
      <c r="J822" s="4" t="s">
        <v>2156</v>
      </c>
      <c r="K822" s="4"/>
      <c r="M822" s="4"/>
      <c r="N822" s="7"/>
      <c r="O822" s="7"/>
    </row>
    <row r="823" spans="1:15" ht="38.25" x14ac:dyDescent="0.2">
      <c r="A823" s="21">
        <v>45967</v>
      </c>
      <c r="B823" s="11">
        <f>+MONTH(A823)</f>
        <v>11</v>
      </c>
      <c r="C823" s="11">
        <f>+WEEKNUM(A823)</f>
        <v>45</v>
      </c>
      <c r="D823" s="4" t="s">
        <v>2148</v>
      </c>
      <c r="E823" s="4" t="s">
        <v>2149</v>
      </c>
      <c r="F823" s="4">
        <v>573176549998</v>
      </c>
      <c r="G823" s="4">
        <v>72566</v>
      </c>
      <c r="H823" s="8" t="s">
        <v>22</v>
      </c>
      <c r="I823" s="8" t="s">
        <v>22</v>
      </c>
      <c r="J823" s="4" t="s">
        <v>2150</v>
      </c>
      <c r="K823" s="4"/>
      <c r="M823" s="4"/>
      <c r="N823" s="7"/>
      <c r="O823" s="7"/>
    </row>
    <row r="824" spans="1:15" ht="25.5" x14ac:dyDescent="0.2">
      <c r="A824" s="21">
        <v>45967</v>
      </c>
      <c r="B824" s="11">
        <f>+MONTH(A824)</f>
        <v>11</v>
      </c>
      <c r="C824" s="11">
        <f>+WEEKNUM(A824)</f>
        <v>45</v>
      </c>
      <c r="D824" s="4" t="s">
        <v>2145</v>
      </c>
      <c r="E824" s="4" t="s">
        <v>2146</v>
      </c>
      <c r="F824" s="4">
        <v>573204585298</v>
      </c>
      <c r="G824" s="4">
        <v>72643</v>
      </c>
      <c r="H824" s="8" t="s">
        <v>3326</v>
      </c>
      <c r="I824" s="8" t="s">
        <v>3326</v>
      </c>
      <c r="J824" s="4" t="s">
        <v>2147</v>
      </c>
      <c r="K824" s="4"/>
      <c r="M824" s="4"/>
      <c r="N824" s="7"/>
      <c r="O824" s="7"/>
    </row>
    <row r="825" spans="1:15" ht="63.75" x14ac:dyDescent="0.2">
      <c r="A825" s="21">
        <v>45967</v>
      </c>
      <c r="B825" s="11">
        <f>+MONTH(A825)</f>
        <v>11</v>
      </c>
      <c r="C825" s="11">
        <f>+WEEKNUM(A825)</f>
        <v>45</v>
      </c>
      <c r="D825" s="4" t="s">
        <v>1988</v>
      </c>
      <c r="E825" s="4" t="s">
        <v>2143</v>
      </c>
      <c r="F825" s="4">
        <v>573156829189</v>
      </c>
      <c r="G825" s="4">
        <v>71250</v>
      </c>
      <c r="H825" s="8" t="s">
        <v>3326</v>
      </c>
      <c r="I825" s="8" t="s">
        <v>3326</v>
      </c>
      <c r="J825" s="4" t="s">
        <v>2144</v>
      </c>
      <c r="K825" s="4"/>
      <c r="M825" s="4"/>
      <c r="N825" s="7"/>
      <c r="O825" s="7"/>
    </row>
    <row r="826" spans="1:15" ht="25.5" x14ac:dyDescent="0.2">
      <c r="A826" s="21">
        <v>45967</v>
      </c>
      <c r="B826" s="11">
        <f>+MONTH(A826)</f>
        <v>11</v>
      </c>
      <c r="C826" s="11">
        <f>+WEEKNUM(A826)</f>
        <v>45</v>
      </c>
      <c r="D826" s="4" t="s">
        <v>1513</v>
      </c>
      <c r="E826" s="4" t="s">
        <v>2212</v>
      </c>
      <c r="F826" s="4">
        <v>573182369842</v>
      </c>
      <c r="G826" s="4">
        <v>72445</v>
      </c>
      <c r="H826" s="8" t="s">
        <v>3326</v>
      </c>
      <c r="I826" s="8" t="s">
        <v>3326</v>
      </c>
      <c r="J826" s="4" t="s">
        <v>2213</v>
      </c>
      <c r="K826" s="4"/>
      <c r="M826" s="4"/>
      <c r="N826" s="7"/>
      <c r="O826" s="7"/>
    </row>
    <row r="827" spans="1:15" ht="25.5" x14ac:dyDescent="0.2">
      <c r="A827" s="21">
        <v>45967</v>
      </c>
      <c r="B827" s="11">
        <f>+MONTH(A827)</f>
        <v>11</v>
      </c>
      <c r="C827" s="11">
        <f>+WEEKNUM(A827)</f>
        <v>45</v>
      </c>
      <c r="D827" s="4" t="s">
        <v>2140</v>
      </c>
      <c r="E827" s="4" t="s">
        <v>2141</v>
      </c>
      <c r="F827" s="4">
        <v>573212384073</v>
      </c>
      <c r="G827" s="4">
        <v>72675</v>
      </c>
      <c r="H827" s="8" t="s">
        <v>3326</v>
      </c>
      <c r="I827" s="8" t="s">
        <v>3326</v>
      </c>
      <c r="J827" s="4" t="s">
        <v>2142</v>
      </c>
      <c r="K827" s="4"/>
      <c r="M827" s="4"/>
      <c r="N827" s="7"/>
      <c r="O827" s="7"/>
    </row>
    <row r="828" spans="1:15" ht="25.5" x14ac:dyDescent="0.2">
      <c r="A828" s="21">
        <v>45967</v>
      </c>
      <c r="B828" s="11">
        <f>+MONTH(A828)</f>
        <v>11</v>
      </c>
      <c r="C828" s="11">
        <f>+WEEKNUM(A828)</f>
        <v>45</v>
      </c>
      <c r="D828" s="4" t="s">
        <v>2131</v>
      </c>
      <c r="E828" s="4" t="s">
        <v>2132</v>
      </c>
      <c r="F828" s="4">
        <v>573057344803</v>
      </c>
      <c r="G828" s="4">
        <v>72719</v>
      </c>
      <c r="H828" s="8" t="s">
        <v>3326</v>
      </c>
      <c r="I828" s="8" t="s">
        <v>3326</v>
      </c>
      <c r="J828" s="4" t="s">
        <v>2133</v>
      </c>
      <c r="K828" s="4"/>
      <c r="M828" s="4"/>
      <c r="N828" s="7"/>
      <c r="O828" s="7"/>
    </row>
    <row r="829" spans="1:15" ht="25.5" x14ac:dyDescent="0.2">
      <c r="A829" s="21">
        <v>45967</v>
      </c>
      <c r="B829" s="11">
        <f>+MONTH(A829)</f>
        <v>11</v>
      </c>
      <c r="C829" s="11">
        <f>+WEEKNUM(A829)</f>
        <v>45</v>
      </c>
      <c r="D829" s="4" t="s">
        <v>2134</v>
      </c>
      <c r="E829" s="4" t="s">
        <v>2135</v>
      </c>
      <c r="F829" s="4">
        <v>573153604331</v>
      </c>
      <c r="G829" s="4">
        <v>72792</v>
      </c>
      <c r="H829" s="8" t="s">
        <v>3326</v>
      </c>
      <c r="I829" s="8" t="s">
        <v>3326</v>
      </c>
      <c r="J829" s="4" t="s">
        <v>2136</v>
      </c>
      <c r="K829" s="4"/>
      <c r="M829" s="4"/>
      <c r="N829" s="7"/>
      <c r="O829" s="7"/>
    </row>
    <row r="830" spans="1:15" ht="12.75" x14ac:dyDescent="0.2">
      <c r="A830" s="21">
        <v>45967</v>
      </c>
      <c r="B830" s="11">
        <f>+MONTH(A830)</f>
        <v>11</v>
      </c>
      <c r="C830" s="11">
        <f>+WEEKNUM(A830)</f>
        <v>45</v>
      </c>
      <c r="D830" s="4" t="s">
        <v>2137</v>
      </c>
      <c r="E830" s="4" t="s">
        <v>2138</v>
      </c>
      <c r="F830" s="4">
        <v>573104053804</v>
      </c>
      <c r="G830" s="4">
        <v>72885</v>
      </c>
      <c r="H830" s="8" t="s">
        <v>3326</v>
      </c>
      <c r="I830" s="8" t="s">
        <v>3326</v>
      </c>
      <c r="J830" s="4"/>
      <c r="K830" s="4"/>
      <c r="M830" s="4"/>
      <c r="N830" s="7"/>
      <c r="O830" s="7"/>
    </row>
    <row r="831" spans="1:15" ht="38.25" x14ac:dyDescent="0.2">
      <c r="A831" s="21">
        <v>45967</v>
      </c>
      <c r="B831" s="11">
        <f>+MONTH(A831)</f>
        <v>11</v>
      </c>
      <c r="C831" s="11">
        <f>+WEEKNUM(A831)</f>
        <v>45</v>
      </c>
      <c r="D831" s="4" t="s">
        <v>2128</v>
      </c>
      <c r="E831" s="4" t="s">
        <v>2129</v>
      </c>
      <c r="F831" s="4">
        <v>573103743113</v>
      </c>
      <c r="G831" s="4">
        <v>72892</v>
      </c>
      <c r="H831" s="8" t="s">
        <v>3326</v>
      </c>
      <c r="I831" s="8" t="s">
        <v>3326</v>
      </c>
      <c r="J831" s="4" t="s">
        <v>2130</v>
      </c>
      <c r="K831" s="4"/>
      <c r="M831" s="4"/>
      <c r="N831" s="7"/>
      <c r="O831" s="7"/>
    </row>
    <row r="832" spans="1:15" ht="12.75" x14ac:dyDescent="0.2">
      <c r="A832" s="21">
        <v>45967</v>
      </c>
      <c r="B832" s="11">
        <f>+MONTH(A832)</f>
        <v>11</v>
      </c>
      <c r="C832" s="11">
        <f>+WEEKNUM(A832)</f>
        <v>45</v>
      </c>
      <c r="D832" s="4"/>
      <c r="E832" s="4"/>
      <c r="F832" s="4">
        <v>573042829696</v>
      </c>
      <c r="G832" s="4"/>
      <c r="H832" s="8" t="s">
        <v>3326</v>
      </c>
      <c r="I832" s="8" t="s">
        <v>3326</v>
      </c>
      <c r="J832" s="4" t="s">
        <v>2127</v>
      </c>
      <c r="K832" s="4"/>
      <c r="M832" s="4"/>
      <c r="N832" s="7"/>
      <c r="O832" s="7"/>
    </row>
    <row r="833" spans="1:15" ht="25.5" x14ac:dyDescent="0.2">
      <c r="A833" s="21">
        <v>45967</v>
      </c>
      <c r="B833" s="11">
        <f>+MONTH(A833)</f>
        <v>11</v>
      </c>
      <c r="C833" s="11">
        <f>+WEEKNUM(A833)</f>
        <v>45</v>
      </c>
      <c r="D833" s="4" t="s">
        <v>1640</v>
      </c>
      <c r="E833" s="4" t="s">
        <v>2139</v>
      </c>
      <c r="F833" s="4">
        <v>573204672810</v>
      </c>
      <c r="G833" s="4">
        <v>71145</v>
      </c>
      <c r="H833" s="8" t="s">
        <v>3326</v>
      </c>
      <c r="I833" s="8" t="s">
        <v>3326</v>
      </c>
      <c r="J833" s="4"/>
      <c r="K833" s="4"/>
      <c r="M833" s="4"/>
      <c r="N833" s="7"/>
      <c r="O833" s="7"/>
    </row>
    <row r="834" spans="1:15" ht="38.25" x14ac:dyDescent="0.2">
      <c r="A834" s="21">
        <v>45967</v>
      </c>
      <c r="B834" s="11">
        <f>+MONTH(A834)</f>
        <v>11</v>
      </c>
      <c r="C834" s="11">
        <f>+WEEKNUM(A834)</f>
        <v>45</v>
      </c>
      <c r="D834" s="4" t="s">
        <v>2124</v>
      </c>
      <c r="E834" s="4" t="s">
        <v>2125</v>
      </c>
      <c r="F834" s="4">
        <v>573208070424</v>
      </c>
      <c r="G834" s="4">
        <v>72067</v>
      </c>
      <c r="H834" s="8" t="s">
        <v>3326</v>
      </c>
      <c r="I834" s="8" t="s">
        <v>3326</v>
      </c>
      <c r="J834" s="4" t="s">
        <v>2126</v>
      </c>
      <c r="K834" s="4"/>
      <c r="M834" s="4"/>
      <c r="N834" s="7"/>
      <c r="O834" s="7"/>
    </row>
    <row r="835" spans="1:15" ht="25.5" x14ac:dyDescent="0.2">
      <c r="A835" s="21">
        <v>45966</v>
      </c>
      <c r="B835" s="11">
        <f>+MONTH(A835)</f>
        <v>11</v>
      </c>
      <c r="C835" s="11">
        <f>+WEEKNUM(A835)</f>
        <v>45</v>
      </c>
      <c r="D835" s="4" t="s">
        <v>1670</v>
      </c>
      <c r="E835" s="4" t="s">
        <v>2119</v>
      </c>
      <c r="F835" s="4">
        <v>573219439424</v>
      </c>
      <c r="G835" s="4">
        <v>72771</v>
      </c>
      <c r="H835" s="8" t="s">
        <v>3326</v>
      </c>
      <c r="I835" s="8" t="s">
        <v>3326</v>
      </c>
      <c r="J835" s="4" t="s">
        <v>2120</v>
      </c>
      <c r="K835" s="4"/>
      <c r="M835" s="4"/>
      <c r="N835" s="7"/>
      <c r="O835" s="7"/>
    </row>
    <row r="836" spans="1:15" ht="25.5" x14ac:dyDescent="0.2">
      <c r="A836" s="21">
        <v>45966</v>
      </c>
      <c r="B836" s="11">
        <f>+MONTH(A836)</f>
        <v>11</v>
      </c>
      <c r="C836" s="11">
        <f>+WEEKNUM(A836)</f>
        <v>45</v>
      </c>
      <c r="D836" s="4" t="s">
        <v>2116</v>
      </c>
      <c r="E836" s="4" t="s">
        <v>2117</v>
      </c>
      <c r="F836" s="4">
        <v>573152534866</v>
      </c>
      <c r="G836" s="4">
        <v>72618</v>
      </c>
      <c r="H836" s="8" t="s">
        <v>3326</v>
      </c>
      <c r="I836" s="8" t="s">
        <v>3326</v>
      </c>
      <c r="J836" s="4" t="s">
        <v>2118</v>
      </c>
      <c r="K836" s="4"/>
      <c r="M836" s="4"/>
      <c r="N836" s="7"/>
      <c r="O836" s="7"/>
    </row>
    <row r="837" spans="1:15" ht="25.5" x14ac:dyDescent="0.2">
      <c r="A837" s="21">
        <v>45966</v>
      </c>
      <c r="B837" s="11">
        <f>+MONTH(A837)</f>
        <v>11</v>
      </c>
      <c r="C837" s="11">
        <f>+WEEKNUM(A837)</f>
        <v>45</v>
      </c>
      <c r="D837" s="4" t="s">
        <v>1513</v>
      </c>
      <c r="E837" s="4" t="s">
        <v>2114</v>
      </c>
      <c r="F837" s="4">
        <v>573006016232</v>
      </c>
      <c r="G837" s="4">
        <v>72353</v>
      </c>
      <c r="H837" s="8" t="s">
        <v>3326</v>
      </c>
      <c r="I837" s="8" t="s">
        <v>3326</v>
      </c>
      <c r="J837" s="4" t="s">
        <v>2115</v>
      </c>
      <c r="K837" s="4"/>
      <c r="M837" s="4"/>
      <c r="N837" s="7"/>
      <c r="O837" s="7"/>
    </row>
    <row r="838" spans="1:15" ht="12.75" x14ac:dyDescent="0.2">
      <c r="A838" s="22">
        <v>45966</v>
      </c>
      <c r="B838" s="11">
        <f>+MONTH(A838)</f>
        <v>11</v>
      </c>
      <c r="C838" s="11">
        <f>+WEEKNUM(A838)</f>
        <v>45</v>
      </c>
      <c r="D838" s="12" t="s">
        <v>2121</v>
      </c>
      <c r="E838" s="12" t="s">
        <v>2122</v>
      </c>
      <c r="F838" s="12">
        <v>573154715620</v>
      </c>
      <c r="G838" s="12">
        <v>72622</v>
      </c>
      <c r="H838" s="12" t="s">
        <v>3326</v>
      </c>
      <c r="I838" s="12" t="s">
        <v>3325</v>
      </c>
      <c r="J838" s="12" t="s">
        <v>2123</v>
      </c>
      <c r="K838" s="4"/>
      <c r="M838" s="4"/>
      <c r="N838" s="7"/>
      <c r="O838" s="7"/>
    </row>
    <row r="839" spans="1:15" ht="12.75" x14ac:dyDescent="0.2">
      <c r="A839" s="21">
        <v>45966</v>
      </c>
      <c r="B839" s="11">
        <f>+MONTH(A839)</f>
        <v>11</v>
      </c>
      <c r="C839" s="11">
        <f>+WEEKNUM(A839)</f>
        <v>45</v>
      </c>
      <c r="D839" s="4" t="s">
        <v>2112</v>
      </c>
      <c r="E839" s="4" t="s">
        <v>1593</v>
      </c>
      <c r="F839" s="4">
        <v>573162344810</v>
      </c>
      <c r="G839" s="4">
        <v>71990</v>
      </c>
      <c r="H839" s="8" t="s">
        <v>3326</v>
      </c>
      <c r="I839" s="8" t="s">
        <v>3326</v>
      </c>
      <c r="J839" s="4" t="s">
        <v>2113</v>
      </c>
      <c r="K839" s="4"/>
      <c r="M839" s="4"/>
      <c r="N839" s="7"/>
      <c r="O839" s="7"/>
    </row>
    <row r="840" spans="1:15" ht="38.25" x14ac:dyDescent="0.2">
      <c r="A840" s="21">
        <v>45966</v>
      </c>
      <c r="B840" s="11">
        <f>+MONTH(A840)</f>
        <v>11</v>
      </c>
      <c r="C840" s="11">
        <f>+WEEKNUM(A840)</f>
        <v>45</v>
      </c>
      <c r="D840" s="4" t="s">
        <v>2108</v>
      </c>
      <c r="E840" s="4" t="s">
        <v>2109</v>
      </c>
      <c r="F840" s="4">
        <v>573214888875</v>
      </c>
      <c r="G840" s="4">
        <v>72509</v>
      </c>
      <c r="H840" s="8" t="s">
        <v>3326</v>
      </c>
      <c r="I840" s="8" t="s">
        <v>3326</v>
      </c>
      <c r="J840" s="4" t="s">
        <v>2110</v>
      </c>
      <c r="K840" s="4"/>
      <c r="M840" s="4"/>
      <c r="N840" s="7"/>
      <c r="O840" s="7"/>
    </row>
    <row r="841" spans="1:15" ht="12.75" x14ac:dyDescent="0.2">
      <c r="A841" s="21">
        <v>45966</v>
      </c>
      <c r="B841" s="11">
        <f>+MONTH(A841)</f>
        <v>11</v>
      </c>
      <c r="C841" s="11">
        <f>+WEEKNUM(A841)</f>
        <v>45</v>
      </c>
      <c r="D841" s="4" t="s">
        <v>2111</v>
      </c>
      <c r="E841" s="4" t="s">
        <v>2073</v>
      </c>
      <c r="F841" s="4">
        <v>573115736028</v>
      </c>
      <c r="G841" s="4">
        <v>72479</v>
      </c>
      <c r="H841" s="8" t="s">
        <v>3326</v>
      </c>
      <c r="I841" s="8" t="s">
        <v>3326</v>
      </c>
      <c r="J841" s="4" t="s">
        <v>165</v>
      </c>
      <c r="K841" s="4"/>
      <c r="M841" s="4"/>
      <c r="N841" s="7"/>
      <c r="O841" s="7"/>
    </row>
    <row r="842" spans="1:15" ht="12.75" x14ac:dyDescent="0.2">
      <c r="A842" s="22">
        <v>45965</v>
      </c>
      <c r="B842" s="11">
        <f>+MONTH(A842)</f>
        <v>11</v>
      </c>
      <c r="C842" s="11">
        <f>+WEEKNUM(A842)</f>
        <v>45</v>
      </c>
      <c r="D842" s="12" t="s">
        <v>1496</v>
      </c>
      <c r="E842" s="12" t="s">
        <v>2037</v>
      </c>
      <c r="F842" s="12">
        <v>573144503272</v>
      </c>
      <c r="G842" s="12">
        <v>72398</v>
      </c>
      <c r="H842" s="12" t="s">
        <v>3326</v>
      </c>
      <c r="I842" s="12" t="s">
        <v>3326</v>
      </c>
      <c r="J842" s="12" t="s">
        <v>2099</v>
      </c>
      <c r="K842" s="4"/>
      <c r="M842" s="4"/>
      <c r="N842" s="7"/>
      <c r="O842" s="7"/>
    </row>
    <row r="843" spans="1:15" ht="12.75" x14ac:dyDescent="0.2">
      <c r="A843" s="21">
        <v>45965</v>
      </c>
      <c r="B843" s="11">
        <f>+MONTH(A843)</f>
        <v>11</v>
      </c>
      <c r="C843" s="11">
        <f>+WEEKNUM(A843)</f>
        <v>45</v>
      </c>
      <c r="D843" s="4" t="s">
        <v>1942</v>
      </c>
      <c r="E843" s="4" t="s">
        <v>2095</v>
      </c>
      <c r="F843" s="4">
        <v>573123434274</v>
      </c>
      <c r="G843" s="4">
        <v>72674</v>
      </c>
      <c r="H843" s="8" t="s">
        <v>3326</v>
      </c>
      <c r="I843" s="8" t="s">
        <v>3326</v>
      </c>
      <c r="J843" s="4" t="s">
        <v>2096</v>
      </c>
      <c r="K843" s="4"/>
      <c r="M843" s="4"/>
      <c r="N843" s="7"/>
      <c r="O843" s="7"/>
    </row>
    <row r="844" spans="1:15" ht="25.5" x14ac:dyDescent="0.2">
      <c r="A844" s="22">
        <v>45965</v>
      </c>
      <c r="B844" s="11">
        <f>+MONTH(A844)</f>
        <v>11</v>
      </c>
      <c r="C844" s="11">
        <f>+WEEKNUM(A844)</f>
        <v>45</v>
      </c>
      <c r="D844" s="12" t="s">
        <v>2100</v>
      </c>
      <c r="E844" s="12" t="s">
        <v>2101</v>
      </c>
      <c r="F844" s="12">
        <v>573202502115</v>
      </c>
      <c r="G844" s="12">
        <v>72249</v>
      </c>
      <c r="H844" s="12" t="s">
        <v>22</v>
      </c>
      <c r="I844" s="12" t="s">
        <v>3326</v>
      </c>
      <c r="J844" s="12" t="s">
        <v>2102</v>
      </c>
      <c r="K844" s="4"/>
      <c r="M844" s="4"/>
      <c r="N844" s="7"/>
      <c r="O844" s="7"/>
    </row>
    <row r="845" spans="1:15" ht="38.25" x14ac:dyDescent="0.2">
      <c r="A845" s="21">
        <v>45965</v>
      </c>
      <c r="B845" s="11">
        <f>+MONTH(A845)</f>
        <v>11</v>
      </c>
      <c r="C845" s="11">
        <f>+WEEKNUM(A845)</f>
        <v>45</v>
      </c>
      <c r="D845" s="4" t="s">
        <v>1539</v>
      </c>
      <c r="E845" s="4" t="s">
        <v>2097</v>
      </c>
      <c r="F845" s="4">
        <v>573017727148</v>
      </c>
      <c r="G845" s="4">
        <v>72540</v>
      </c>
      <c r="H845" s="8" t="s">
        <v>3326</v>
      </c>
      <c r="I845" s="8" t="s">
        <v>3326</v>
      </c>
      <c r="J845" s="4" t="s">
        <v>2098</v>
      </c>
      <c r="K845" s="4"/>
      <c r="M845" s="4"/>
      <c r="N845" s="7"/>
      <c r="O845" s="7"/>
    </row>
    <row r="846" spans="1:15" ht="25.5" x14ac:dyDescent="0.2">
      <c r="A846" s="21">
        <v>45965</v>
      </c>
      <c r="B846" s="11">
        <f>+MONTH(A846)</f>
        <v>11</v>
      </c>
      <c r="C846" s="11">
        <f>+WEEKNUM(A846)</f>
        <v>45</v>
      </c>
      <c r="D846" s="4" t="s">
        <v>1670</v>
      </c>
      <c r="E846" s="4" t="s">
        <v>2106</v>
      </c>
      <c r="F846" s="4">
        <v>573134290257</v>
      </c>
      <c r="G846" s="4">
        <v>72524</v>
      </c>
      <c r="H846" s="8" t="s">
        <v>3326</v>
      </c>
      <c r="I846" s="8" t="s">
        <v>3326</v>
      </c>
      <c r="J846" s="4" t="s">
        <v>2107</v>
      </c>
      <c r="K846" s="4"/>
      <c r="M846" s="4"/>
      <c r="N846" s="7"/>
      <c r="O846" s="7"/>
    </row>
    <row r="847" spans="1:15" ht="25.5" x14ac:dyDescent="0.2">
      <c r="A847" s="21">
        <v>45965</v>
      </c>
      <c r="B847" s="11">
        <f>+MONTH(A847)</f>
        <v>11</v>
      </c>
      <c r="C847" s="11">
        <f>+WEEKNUM(A847)</f>
        <v>45</v>
      </c>
      <c r="D847" s="4" t="s">
        <v>2092</v>
      </c>
      <c r="E847" s="4" t="s">
        <v>2093</v>
      </c>
      <c r="F847" s="4">
        <v>573233052277</v>
      </c>
      <c r="G847" s="4">
        <v>72721</v>
      </c>
      <c r="H847" s="8" t="s">
        <v>3326</v>
      </c>
      <c r="I847" s="8" t="s">
        <v>3326</v>
      </c>
      <c r="J847" s="4" t="s">
        <v>2094</v>
      </c>
      <c r="K847" s="4"/>
      <c r="M847" s="4"/>
      <c r="N847" s="7"/>
      <c r="O847" s="7"/>
    </row>
    <row r="848" spans="1:15" ht="38.25" x14ac:dyDescent="0.2">
      <c r="A848" s="21">
        <v>45965</v>
      </c>
      <c r="B848" s="11">
        <f>+MONTH(A848)</f>
        <v>11</v>
      </c>
      <c r="C848" s="11">
        <f>+WEEKNUM(A848)</f>
        <v>45</v>
      </c>
      <c r="D848" s="4" t="s">
        <v>2086</v>
      </c>
      <c r="E848" s="4" t="s">
        <v>2087</v>
      </c>
      <c r="F848" s="4">
        <v>573142907799</v>
      </c>
      <c r="G848" s="4">
        <v>71754</v>
      </c>
      <c r="H848" s="8" t="s">
        <v>3326</v>
      </c>
      <c r="I848" s="8" t="s">
        <v>22</v>
      </c>
      <c r="J848" s="4" t="s">
        <v>2088</v>
      </c>
      <c r="K848" s="4"/>
      <c r="M848" s="4"/>
      <c r="N848" s="7"/>
      <c r="O848" s="7"/>
    </row>
    <row r="849" spans="1:15" ht="38.25" x14ac:dyDescent="0.2">
      <c r="A849" s="21">
        <v>45965</v>
      </c>
      <c r="B849" s="11">
        <f>+MONTH(A849)</f>
        <v>11</v>
      </c>
      <c r="C849" s="11">
        <f>+WEEKNUM(A849)</f>
        <v>45</v>
      </c>
      <c r="D849" s="4" t="s">
        <v>1994</v>
      </c>
      <c r="E849" s="4" t="s">
        <v>2084</v>
      </c>
      <c r="F849" s="4">
        <v>573125231696</v>
      </c>
      <c r="G849" s="4">
        <v>72280</v>
      </c>
      <c r="H849" s="8" t="s">
        <v>3326</v>
      </c>
      <c r="I849" s="8" t="s">
        <v>3326</v>
      </c>
      <c r="J849" s="4" t="s">
        <v>2085</v>
      </c>
      <c r="K849" s="4"/>
      <c r="M849" s="4"/>
      <c r="N849" s="7"/>
      <c r="O849" s="7"/>
    </row>
    <row r="850" spans="1:15" ht="25.5" x14ac:dyDescent="0.2">
      <c r="A850" s="21">
        <v>45965</v>
      </c>
      <c r="B850" s="11">
        <f>+MONTH(A850)</f>
        <v>11</v>
      </c>
      <c r="C850" s="11">
        <f>+WEEKNUM(A850)</f>
        <v>45</v>
      </c>
      <c r="D850" s="4" t="s">
        <v>1496</v>
      </c>
      <c r="E850" s="4" t="s">
        <v>2082</v>
      </c>
      <c r="F850" s="4">
        <v>573115135655</v>
      </c>
      <c r="G850" s="4">
        <v>72522</v>
      </c>
      <c r="H850" s="8" t="s">
        <v>3326</v>
      </c>
      <c r="I850" s="8" t="s">
        <v>3326</v>
      </c>
      <c r="J850" s="4" t="s">
        <v>2083</v>
      </c>
      <c r="K850" s="4"/>
      <c r="M850" s="4"/>
      <c r="N850" s="7"/>
      <c r="O850" s="7"/>
    </row>
    <row r="851" spans="1:15" ht="89.25" x14ac:dyDescent="0.2">
      <c r="A851" s="21">
        <v>45965</v>
      </c>
      <c r="B851" s="11">
        <f>+MONTH(A851)</f>
        <v>11</v>
      </c>
      <c r="C851" s="11">
        <f>+WEEKNUM(A851)</f>
        <v>45</v>
      </c>
      <c r="D851" s="4" t="s">
        <v>1459</v>
      </c>
      <c r="E851" s="4" t="s">
        <v>2080</v>
      </c>
      <c r="F851" s="4">
        <v>573007618472</v>
      </c>
      <c r="G851" s="4">
        <v>72218</v>
      </c>
      <c r="H851" s="8" t="s">
        <v>3326</v>
      </c>
      <c r="I851" s="8" t="s">
        <v>3326</v>
      </c>
      <c r="J851" s="4" t="s">
        <v>2081</v>
      </c>
      <c r="K851" s="4"/>
      <c r="M851" s="4"/>
      <c r="N851" s="7"/>
      <c r="O851" s="7"/>
    </row>
    <row r="852" spans="1:15" ht="63.75" x14ac:dyDescent="0.2">
      <c r="A852" s="21">
        <v>45965</v>
      </c>
      <c r="B852" s="11">
        <f>+MONTH(A852)</f>
        <v>11</v>
      </c>
      <c r="C852" s="11">
        <f>+WEEKNUM(A852)</f>
        <v>45</v>
      </c>
      <c r="D852" s="4" t="s">
        <v>2089</v>
      </c>
      <c r="E852" s="4" t="s">
        <v>2090</v>
      </c>
      <c r="F852" s="4">
        <v>573102984133</v>
      </c>
      <c r="G852" s="4">
        <v>72570</v>
      </c>
      <c r="H852" s="8" t="s">
        <v>3326</v>
      </c>
      <c r="I852" s="8" t="s">
        <v>3326</v>
      </c>
      <c r="J852" s="4" t="s">
        <v>2091</v>
      </c>
      <c r="K852" s="4"/>
      <c r="M852" s="4"/>
      <c r="N852" s="7"/>
      <c r="O852" s="7"/>
    </row>
    <row r="853" spans="1:15" ht="25.5" x14ac:dyDescent="0.2">
      <c r="A853" s="21">
        <v>45965</v>
      </c>
      <c r="B853" s="11">
        <f>+MONTH(A853)</f>
        <v>11</v>
      </c>
      <c r="C853" s="11">
        <f>+WEEKNUM(A853)</f>
        <v>45</v>
      </c>
      <c r="D853" s="4" t="s">
        <v>2103</v>
      </c>
      <c r="E853" s="4" t="s">
        <v>2104</v>
      </c>
      <c r="F853" s="4">
        <v>573004800917</v>
      </c>
      <c r="G853" s="4">
        <v>72172</v>
      </c>
      <c r="H853" s="8" t="s">
        <v>3326</v>
      </c>
      <c r="I853" s="8" t="s">
        <v>3326</v>
      </c>
      <c r="J853" s="4" t="s">
        <v>2105</v>
      </c>
      <c r="K853" s="4"/>
      <c r="M853" s="4"/>
      <c r="N853" s="7"/>
      <c r="O853" s="7"/>
    </row>
    <row r="854" spans="1:15" ht="25.5" x14ac:dyDescent="0.2">
      <c r="A854" s="21">
        <v>45965</v>
      </c>
      <c r="B854" s="11">
        <f>+MONTH(A854)</f>
        <v>11</v>
      </c>
      <c r="C854" s="11">
        <f>+WEEKNUM(A854)</f>
        <v>45</v>
      </c>
      <c r="D854" s="4" t="s">
        <v>2075</v>
      </c>
      <c r="E854" s="4" t="s">
        <v>2076</v>
      </c>
      <c r="F854" s="4">
        <v>573205020252</v>
      </c>
      <c r="G854" s="4">
        <v>71742</v>
      </c>
      <c r="H854" s="8" t="s">
        <v>3326</v>
      </c>
      <c r="I854" s="8" t="s">
        <v>3326</v>
      </c>
      <c r="J854" s="4" t="s">
        <v>2077</v>
      </c>
      <c r="K854" s="4"/>
      <c r="M854" s="4"/>
      <c r="N854" s="7"/>
      <c r="O854" s="7"/>
    </row>
    <row r="855" spans="1:15" ht="12.75" x14ac:dyDescent="0.2">
      <c r="A855" s="21">
        <v>45965</v>
      </c>
      <c r="B855" s="11">
        <f>+MONTH(A855)</f>
        <v>11</v>
      </c>
      <c r="C855" s="11">
        <f>+WEEKNUM(A855)</f>
        <v>45</v>
      </c>
      <c r="D855" s="4" t="s">
        <v>2072</v>
      </c>
      <c r="E855" s="4" t="s">
        <v>2073</v>
      </c>
      <c r="F855" s="4">
        <v>573150525074</v>
      </c>
      <c r="G855" s="4">
        <v>72515</v>
      </c>
      <c r="H855" s="8" t="s">
        <v>3326</v>
      </c>
      <c r="I855" s="8" t="s">
        <v>3326</v>
      </c>
      <c r="J855" s="4" t="s">
        <v>2074</v>
      </c>
      <c r="K855" s="4"/>
      <c r="M855" s="4"/>
      <c r="N855" s="7"/>
      <c r="O855" s="7"/>
    </row>
    <row r="856" spans="1:15" ht="25.5" x14ac:dyDescent="0.2">
      <c r="A856" s="21">
        <v>45965</v>
      </c>
      <c r="B856" s="11">
        <f>+MONTH(A856)</f>
        <v>11</v>
      </c>
      <c r="C856" s="11">
        <f>+WEEKNUM(A856)</f>
        <v>45</v>
      </c>
      <c r="D856" s="4" t="s">
        <v>1868</v>
      </c>
      <c r="E856" s="4" t="s">
        <v>2078</v>
      </c>
      <c r="F856" s="4">
        <v>573132151426</v>
      </c>
      <c r="G856" s="4">
        <v>72545</v>
      </c>
      <c r="H856" s="8" t="s">
        <v>3326</v>
      </c>
      <c r="I856" s="8" t="s">
        <v>3326</v>
      </c>
      <c r="J856" s="4" t="s">
        <v>2079</v>
      </c>
      <c r="K856" s="4"/>
      <c r="M856" s="4"/>
      <c r="N856" s="7"/>
      <c r="O856" s="7"/>
    </row>
    <row r="857" spans="1:15" ht="25.5" x14ac:dyDescent="0.2">
      <c r="A857" s="21">
        <v>45965</v>
      </c>
      <c r="B857" s="11">
        <f>+MONTH(A857)</f>
        <v>11</v>
      </c>
      <c r="C857" s="11">
        <f>+WEEKNUM(A857)</f>
        <v>45</v>
      </c>
      <c r="D857" s="4" t="s">
        <v>2275</v>
      </c>
      <c r="E857" s="4" t="s">
        <v>2276</v>
      </c>
      <c r="F857" s="4">
        <v>573023429127</v>
      </c>
      <c r="G857" s="4">
        <v>72506</v>
      </c>
      <c r="H857" s="8" t="s">
        <v>3326</v>
      </c>
      <c r="I857" s="8" t="s">
        <v>3326</v>
      </c>
      <c r="J857" s="4" t="s">
        <v>2277</v>
      </c>
      <c r="K857" s="4"/>
      <c r="M857" s="4"/>
      <c r="N857" s="7"/>
      <c r="O857" s="7"/>
    </row>
    <row r="858" spans="1:15" ht="12.75" x14ac:dyDescent="0.2">
      <c r="A858" s="21">
        <v>45962</v>
      </c>
      <c r="B858" s="11">
        <f>+MONTH(A858)</f>
        <v>11</v>
      </c>
      <c r="C858" s="11">
        <f>+WEEKNUM(A858)</f>
        <v>44</v>
      </c>
      <c r="D858" s="4" t="s">
        <v>2058</v>
      </c>
      <c r="E858" s="4" t="s">
        <v>2059</v>
      </c>
      <c r="F858" s="4">
        <v>573134843700</v>
      </c>
      <c r="G858" s="4">
        <v>72611</v>
      </c>
      <c r="H858" s="8" t="s">
        <v>3326</v>
      </c>
      <c r="I858" s="8" t="s">
        <v>3326</v>
      </c>
      <c r="J858" s="4"/>
      <c r="K858" s="4"/>
      <c r="M858" s="4"/>
      <c r="N858" s="7"/>
      <c r="O858" s="7"/>
    </row>
    <row r="859" spans="1:15" ht="25.5" x14ac:dyDescent="0.2">
      <c r="A859" s="21">
        <v>45962</v>
      </c>
      <c r="B859" s="11">
        <f>+MONTH(A859)</f>
        <v>11</v>
      </c>
      <c r="C859" s="11">
        <f>+WEEKNUM(A859)</f>
        <v>44</v>
      </c>
      <c r="D859" s="4" t="s">
        <v>2045</v>
      </c>
      <c r="E859" s="4" t="s">
        <v>2056</v>
      </c>
      <c r="F859" s="4">
        <v>573134262302</v>
      </c>
      <c r="G859" s="4">
        <v>72647</v>
      </c>
      <c r="H859" s="8" t="s">
        <v>3326</v>
      </c>
      <c r="I859" s="8" t="s">
        <v>3326</v>
      </c>
      <c r="J859" s="4" t="s">
        <v>2057</v>
      </c>
      <c r="K859" s="4"/>
      <c r="M859" s="4"/>
      <c r="N859" s="7"/>
      <c r="O859" s="7"/>
    </row>
    <row r="860" spans="1:15" ht="38.25" x14ac:dyDescent="0.2">
      <c r="A860" s="21">
        <v>45962</v>
      </c>
      <c r="B860" s="11">
        <f>+MONTH(A860)</f>
        <v>11</v>
      </c>
      <c r="C860" s="11">
        <f>+WEEKNUM(A860)</f>
        <v>44</v>
      </c>
      <c r="D860" s="4" t="s">
        <v>1640</v>
      </c>
      <c r="E860" s="4" t="s">
        <v>2054</v>
      </c>
      <c r="F860" s="4">
        <v>573024297225</v>
      </c>
      <c r="G860" s="4">
        <v>72595</v>
      </c>
      <c r="H860" s="8" t="s">
        <v>3326</v>
      </c>
      <c r="I860" s="8" t="s">
        <v>3326</v>
      </c>
      <c r="J860" s="4" t="s">
        <v>2055</v>
      </c>
      <c r="K860" s="4"/>
      <c r="M860" s="4"/>
      <c r="N860" s="7"/>
      <c r="O860" s="7"/>
    </row>
    <row r="861" spans="1:15" ht="25.5" x14ac:dyDescent="0.2">
      <c r="A861" s="21">
        <v>45962</v>
      </c>
      <c r="B861" s="11">
        <f>+MONTH(A861)</f>
        <v>11</v>
      </c>
      <c r="C861" s="11">
        <f>+WEEKNUM(A861)</f>
        <v>44</v>
      </c>
      <c r="D861" s="4" t="s">
        <v>2005</v>
      </c>
      <c r="E861" s="4" t="s">
        <v>2062</v>
      </c>
      <c r="F861" s="4">
        <v>573203985117</v>
      </c>
      <c r="G861" s="4">
        <v>72278</v>
      </c>
      <c r="H861" s="8" t="s">
        <v>3326</v>
      </c>
      <c r="I861" s="8" t="s">
        <v>3326</v>
      </c>
      <c r="J861" s="4"/>
      <c r="K861" s="4"/>
      <c r="M861" s="4"/>
      <c r="N861" s="7"/>
      <c r="O861" s="7"/>
    </row>
    <row r="862" spans="1:15" ht="12.75" x14ac:dyDescent="0.2">
      <c r="A862" s="21">
        <v>45962</v>
      </c>
      <c r="B862" s="11">
        <f>+MONTH(A862)</f>
        <v>11</v>
      </c>
      <c r="C862" s="11">
        <f>+WEEKNUM(A862)</f>
        <v>44</v>
      </c>
      <c r="D862" s="4" t="s">
        <v>2052</v>
      </c>
      <c r="E862" s="4" t="s">
        <v>2053</v>
      </c>
      <c r="F862" s="4">
        <v>573017496991</v>
      </c>
      <c r="G862" s="4">
        <v>71700</v>
      </c>
      <c r="H862" s="8" t="s">
        <v>3326</v>
      </c>
      <c r="I862" s="8" t="s">
        <v>3326</v>
      </c>
      <c r="J862" s="4"/>
      <c r="K862" s="4"/>
      <c r="M862" s="4"/>
      <c r="N862" s="7"/>
      <c r="O862" s="7"/>
    </row>
    <row r="863" spans="1:15" ht="25.5" x14ac:dyDescent="0.2">
      <c r="A863" s="21">
        <v>45962</v>
      </c>
      <c r="B863" s="11">
        <f>+MONTH(A863)</f>
        <v>11</v>
      </c>
      <c r="C863" s="11">
        <f>+WEEKNUM(A863)</f>
        <v>44</v>
      </c>
      <c r="D863" s="4" t="s">
        <v>2047</v>
      </c>
      <c r="E863" s="4" t="s">
        <v>2048</v>
      </c>
      <c r="F863" s="4">
        <v>573016171068</v>
      </c>
      <c r="G863" s="4">
        <v>72122</v>
      </c>
      <c r="H863" s="8" t="s">
        <v>3326</v>
      </c>
      <c r="I863" s="8" t="s">
        <v>3326</v>
      </c>
      <c r="J863" s="4" t="s">
        <v>2049</v>
      </c>
      <c r="K863" s="4"/>
      <c r="M863" s="4"/>
      <c r="N863" s="7"/>
      <c r="O863" s="7"/>
    </row>
    <row r="864" spans="1:15" ht="25.5" x14ac:dyDescent="0.2">
      <c r="A864" s="21">
        <v>45962</v>
      </c>
      <c r="B864" s="11">
        <f>+MONTH(A864)</f>
        <v>11</v>
      </c>
      <c r="C864" s="11">
        <f>+WEEKNUM(A864)</f>
        <v>44</v>
      </c>
      <c r="D864" s="4" t="s">
        <v>2063</v>
      </c>
      <c r="E864" s="4" t="s">
        <v>2064</v>
      </c>
      <c r="F864" s="4">
        <v>573197063498</v>
      </c>
      <c r="G864" s="4">
        <v>72526</v>
      </c>
      <c r="H864" s="8" t="s">
        <v>3326</v>
      </c>
      <c r="I864" s="8" t="s">
        <v>3326</v>
      </c>
      <c r="J864" s="4" t="s">
        <v>2065</v>
      </c>
      <c r="K864" s="4"/>
      <c r="M864" s="4"/>
      <c r="N864" s="7"/>
      <c r="O864" s="7"/>
    </row>
    <row r="865" spans="1:15" ht="25.5" x14ac:dyDescent="0.2">
      <c r="A865" s="21">
        <v>45962</v>
      </c>
      <c r="B865" s="11">
        <f>+MONTH(A865)</f>
        <v>11</v>
      </c>
      <c r="C865" s="11">
        <f>+WEEKNUM(A865)</f>
        <v>44</v>
      </c>
      <c r="D865" s="4" t="s">
        <v>2045</v>
      </c>
      <c r="E865" s="4" t="s">
        <v>2046</v>
      </c>
      <c r="F865" s="4">
        <v>573112202309</v>
      </c>
      <c r="G865" s="4">
        <v>70973</v>
      </c>
      <c r="H865" s="8" t="s">
        <v>3326</v>
      </c>
      <c r="I865" s="8" t="s">
        <v>3326</v>
      </c>
      <c r="J865" s="4" t="s">
        <v>228</v>
      </c>
      <c r="K865" s="4"/>
      <c r="M865" s="4"/>
      <c r="N865" s="7"/>
      <c r="O865" s="7"/>
    </row>
    <row r="866" spans="1:15" ht="12.75" x14ac:dyDescent="0.2">
      <c r="A866" s="22">
        <v>45962</v>
      </c>
      <c r="B866" s="11">
        <f>+MONTH(A866)</f>
        <v>11</v>
      </c>
      <c r="C866" s="11">
        <f>+WEEKNUM(A866)</f>
        <v>44</v>
      </c>
      <c r="D866" s="12" t="s">
        <v>2050</v>
      </c>
      <c r="E866" s="12" t="s">
        <v>2051</v>
      </c>
      <c r="F866" s="12">
        <v>573204738571</v>
      </c>
      <c r="G866" s="12">
        <v>72391</v>
      </c>
      <c r="H866" s="12" t="s">
        <v>3325</v>
      </c>
      <c r="I866" s="12" t="s">
        <v>22</v>
      </c>
      <c r="J866" s="12"/>
      <c r="K866" s="4"/>
      <c r="M866" s="4"/>
      <c r="N866" s="7"/>
      <c r="O866" s="7"/>
    </row>
    <row r="867" spans="1:15" ht="63.75" x14ac:dyDescent="0.2">
      <c r="A867" s="21">
        <v>45962</v>
      </c>
      <c r="B867" s="11">
        <f>+MONTH(A867)</f>
        <v>11</v>
      </c>
      <c r="C867" s="11">
        <f>+WEEKNUM(A867)</f>
        <v>44</v>
      </c>
      <c r="D867" s="4" t="s">
        <v>2040</v>
      </c>
      <c r="E867" s="4" t="s">
        <v>2041</v>
      </c>
      <c r="F867" s="4">
        <v>573197905928</v>
      </c>
      <c r="G867" s="4">
        <v>72574</v>
      </c>
      <c r="H867" s="8" t="s">
        <v>3326</v>
      </c>
      <c r="I867" s="8" t="s">
        <v>3326</v>
      </c>
      <c r="J867" s="4" t="s">
        <v>2042</v>
      </c>
      <c r="K867" s="4"/>
      <c r="M867" s="4"/>
      <c r="N867" s="7"/>
      <c r="O867" s="7"/>
    </row>
    <row r="868" spans="1:15" ht="25.5" x14ac:dyDescent="0.2">
      <c r="A868" s="21">
        <v>45962</v>
      </c>
      <c r="B868" s="11">
        <f>+MONTH(A868)</f>
        <v>11</v>
      </c>
      <c r="C868" s="11">
        <f>+WEEKNUM(A868)</f>
        <v>44</v>
      </c>
      <c r="D868" s="4" t="s">
        <v>2043</v>
      </c>
      <c r="E868" s="4" t="s">
        <v>2044</v>
      </c>
      <c r="F868" s="4">
        <v>573104833276</v>
      </c>
      <c r="G868" s="4">
        <v>72418</v>
      </c>
      <c r="H868" s="8" t="s">
        <v>3326</v>
      </c>
      <c r="I868" s="8" t="s">
        <v>3326</v>
      </c>
      <c r="J868" s="4" t="s">
        <v>61</v>
      </c>
      <c r="K868" s="4"/>
      <c r="M868" s="4"/>
      <c r="N868" s="7"/>
      <c r="O868" s="7"/>
    </row>
    <row r="869" spans="1:15" ht="38.25" x14ac:dyDescent="0.2">
      <c r="A869" s="21">
        <v>45962</v>
      </c>
      <c r="B869" s="11">
        <f>+MONTH(A869)</f>
        <v>11</v>
      </c>
      <c r="C869" s="11">
        <f>+WEEKNUM(A869)</f>
        <v>44</v>
      </c>
      <c r="D869" s="4" t="s">
        <v>2036</v>
      </c>
      <c r="E869" s="4" t="s">
        <v>2037</v>
      </c>
      <c r="F869" s="4">
        <v>573212333995</v>
      </c>
      <c r="G869" s="4">
        <v>72606</v>
      </c>
      <c r="H869" s="8" t="s">
        <v>3326</v>
      </c>
      <c r="I869" s="8" t="s">
        <v>3326</v>
      </c>
      <c r="J869" s="4" t="s">
        <v>2038</v>
      </c>
      <c r="K869" s="4"/>
      <c r="M869" s="4"/>
      <c r="N869" s="7"/>
      <c r="O869" s="7"/>
    </row>
    <row r="870" spans="1:15" ht="38.25" x14ac:dyDescent="0.2">
      <c r="A870" s="21">
        <v>45962</v>
      </c>
      <c r="B870" s="11">
        <f>+MONTH(A870)</f>
        <v>11</v>
      </c>
      <c r="C870" s="11">
        <f>+WEEKNUM(A870)</f>
        <v>44</v>
      </c>
      <c r="D870" s="4" t="s">
        <v>2060</v>
      </c>
      <c r="E870" s="4" t="s">
        <v>2060</v>
      </c>
      <c r="F870" s="4">
        <v>573164489848</v>
      </c>
      <c r="G870" s="4">
        <v>71728</v>
      </c>
      <c r="H870" s="8" t="s">
        <v>3326</v>
      </c>
      <c r="I870" s="8" t="s">
        <v>3326</v>
      </c>
      <c r="J870" s="4" t="s">
        <v>2061</v>
      </c>
      <c r="K870" s="4"/>
      <c r="M870" s="4"/>
      <c r="N870" s="7"/>
      <c r="O870" s="7"/>
    </row>
    <row r="871" spans="1:15" ht="12.75" x14ac:dyDescent="0.2">
      <c r="A871" s="22">
        <v>45962</v>
      </c>
      <c r="B871" s="11">
        <f>+MONTH(A871)</f>
        <v>11</v>
      </c>
      <c r="C871" s="11">
        <f>+WEEKNUM(A871)</f>
        <v>44</v>
      </c>
      <c r="D871" s="12" t="s">
        <v>1670</v>
      </c>
      <c r="E871" s="12" t="s">
        <v>2032</v>
      </c>
      <c r="F871" s="12">
        <v>573103319538</v>
      </c>
      <c r="G871" s="12">
        <v>72289</v>
      </c>
      <c r="H871" s="12" t="s">
        <v>3325</v>
      </c>
      <c r="I871" s="12" t="s">
        <v>22</v>
      </c>
      <c r="J871" s="12"/>
      <c r="K871" s="4"/>
      <c r="M871" s="4"/>
      <c r="N871" s="7"/>
      <c r="O871" s="7"/>
    </row>
    <row r="872" spans="1:15" ht="102" x14ac:dyDescent="0.2">
      <c r="A872" s="22">
        <v>45962</v>
      </c>
      <c r="B872" s="11">
        <f>+MONTH(A872)</f>
        <v>11</v>
      </c>
      <c r="C872" s="11">
        <f>+WEEKNUM(A872)</f>
        <v>44</v>
      </c>
      <c r="D872" s="12" t="s">
        <v>1670</v>
      </c>
      <c r="E872" s="12" t="s">
        <v>2032</v>
      </c>
      <c r="F872" s="12">
        <v>573103319538</v>
      </c>
      <c r="G872" s="12">
        <v>72289</v>
      </c>
      <c r="H872" s="12" t="s">
        <v>3325</v>
      </c>
      <c r="I872" s="12" t="s">
        <v>22</v>
      </c>
      <c r="J872" s="12" t="s">
        <v>2039</v>
      </c>
      <c r="K872" s="4"/>
      <c r="M872" s="4"/>
      <c r="N872" s="7"/>
      <c r="O872" s="7"/>
    </row>
    <row r="873" spans="1:15" ht="25.5" x14ac:dyDescent="0.2">
      <c r="A873" s="21">
        <v>45962</v>
      </c>
      <c r="B873" s="11">
        <f>+MONTH(A873)</f>
        <v>11</v>
      </c>
      <c r="C873" s="11">
        <f>+WEEKNUM(A873)</f>
        <v>44</v>
      </c>
      <c r="D873" s="4" t="s">
        <v>2451</v>
      </c>
      <c r="E873" s="4" t="s">
        <v>2452</v>
      </c>
      <c r="F873" s="4">
        <v>573102342260</v>
      </c>
      <c r="G873" s="4">
        <v>72250</v>
      </c>
      <c r="H873" s="8" t="s">
        <v>3326</v>
      </c>
      <c r="I873" s="8" t="s">
        <v>3326</v>
      </c>
      <c r="J873" s="4" t="s">
        <v>2453</v>
      </c>
      <c r="K873" s="4"/>
      <c r="M873" s="4"/>
      <c r="N873" s="7"/>
      <c r="O873" s="7"/>
    </row>
    <row r="874" spans="1:15" ht="12.75" x14ac:dyDescent="0.2">
      <c r="A874" s="21">
        <v>45962</v>
      </c>
      <c r="B874" s="11">
        <f>+MONTH(A874)</f>
        <v>11</v>
      </c>
      <c r="C874" s="11">
        <f>+WEEKNUM(A874)</f>
        <v>44</v>
      </c>
      <c r="D874" s="4" t="s">
        <v>2031</v>
      </c>
      <c r="E874" s="4" t="s">
        <v>1680</v>
      </c>
      <c r="F874" s="4">
        <v>573153047344</v>
      </c>
      <c r="G874" s="4">
        <v>72541</v>
      </c>
      <c r="H874" s="8" t="s">
        <v>3326</v>
      </c>
      <c r="I874" s="8" t="s">
        <v>3326</v>
      </c>
      <c r="J874" s="4"/>
      <c r="K874" s="4"/>
      <c r="M874" s="4"/>
      <c r="N874" s="7"/>
      <c r="O874" s="7"/>
    </row>
    <row r="875" spans="1:15" ht="25.5" x14ac:dyDescent="0.2">
      <c r="A875" s="21">
        <v>45961</v>
      </c>
      <c r="B875" s="11">
        <f>+MONTH(A875)</f>
        <v>10</v>
      </c>
      <c r="C875" s="11">
        <f>+WEEKNUM(A875)</f>
        <v>44</v>
      </c>
      <c r="D875" s="4" t="s">
        <v>2023</v>
      </c>
      <c r="E875" s="4" t="s">
        <v>2024</v>
      </c>
      <c r="F875" s="4">
        <v>573125794294</v>
      </c>
      <c r="G875" s="4">
        <v>72333</v>
      </c>
      <c r="H875" s="8" t="s">
        <v>3326</v>
      </c>
      <c r="I875" s="8" t="s">
        <v>3326</v>
      </c>
      <c r="J875" s="4" t="s">
        <v>2025</v>
      </c>
      <c r="K875" s="4"/>
      <c r="M875" s="4"/>
      <c r="N875" s="7"/>
      <c r="O875" s="7"/>
    </row>
    <row r="876" spans="1:15" ht="25.5" x14ac:dyDescent="0.2">
      <c r="A876" s="21">
        <v>45961</v>
      </c>
      <c r="B876" s="11">
        <f>+MONTH(A876)</f>
        <v>10</v>
      </c>
      <c r="C876" s="11">
        <f>+WEEKNUM(A876)</f>
        <v>44</v>
      </c>
      <c r="D876" s="4" t="s">
        <v>2021</v>
      </c>
      <c r="E876" s="4" t="s">
        <v>2021</v>
      </c>
      <c r="F876" s="4">
        <v>573106781986</v>
      </c>
      <c r="G876" s="4">
        <v>72535</v>
      </c>
      <c r="H876" s="8" t="s">
        <v>3326</v>
      </c>
      <c r="I876" s="8" t="s">
        <v>3326</v>
      </c>
      <c r="J876" s="4" t="s">
        <v>2022</v>
      </c>
      <c r="K876" s="4"/>
      <c r="M876" s="4"/>
      <c r="N876" s="7"/>
      <c r="O876" s="7"/>
    </row>
    <row r="877" spans="1:15" ht="25.5" x14ac:dyDescent="0.2">
      <c r="A877" s="21">
        <v>45961</v>
      </c>
      <c r="B877" s="11">
        <f>+MONTH(A877)</f>
        <v>10</v>
      </c>
      <c r="C877" s="11">
        <f>+WEEKNUM(A877)</f>
        <v>44</v>
      </c>
      <c r="D877" s="4" t="s">
        <v>1470</v>
      </c>
      <c r="E877" s="4" t="s">
        <v>2018</v>
      </c>
      <c r="F877" s="4">
        <v>573045656705</v>
      </c>
      <c r="G877" s="4">
        <v>72408</v>
      </c>
      <c r="H877" s="8" t="s">
        <v>3326</v>
      </c>
      <c r="I877" s="8" t="s">
        <v>3326</v>
      </c>
      <c r="J877" s="4" t="s">
        <v>2019</v>
      </c>
      <c r="K877" s="4"/>
      <c r="M877" s="4"/>
      <c r="N877" s="7"/>
      <c r="O877" s="7"/>
    </row>
    <row r="878" spans="1:15" ht="89.25" x14ac:dyDescent="0.2">
      <c r="A878" s="22">
        <v>45961</v>
      </c>
      <c r="B878" s="11">
        <f>+MONTH(A878)</f>
        <v>10</v>
      </c>
      <c r="C878" s="11">
        <f>+WEEKNUM(A878)</f>
        <v>44</v>
      </c>
      <c r="D878" s="12" t="s">
        <v>2069</v>
      </c>
      <c r="E878" s="12" t="s">
        <v>2070</v>
      </c>
      <c r="F878" s="12">
        <v>573002015778</v>
      </c>
      <c r="G878" s="12">
        <v>72304</v>
      </c>
      <c r="H878" s="12" t="s">
        <v>22</v>
      </c>
      <c r="I878" s="12" t="s">
        <v>22</v>
      </c>
      <c r="J878" s="12" t="s">
        <v>2071</v>
      </c>
      <c r="K878" s="4"/>
      <c r="M878" s="4"/>
      <c r="N878" s="7"/>
      <c r="O878" s="7"/>
    </row>
    <row r="879" spans="1:15" ht="25.5" x14ac:dyDescent="0.2">
      <c r="A879" s="21">
        <v>45961</v>
      </c>
      <c r="B879" s="11">
        <f>+MONTH(A879)</f>
        <v>10</v>
      </c>
      <c r="C879" s="11">
        <f>+WEEKNUM(A879)</f>
        <v>44</v>
      </c>
      <c r="D879" s="4" t="s">
        <v>1780</v>
      </c>
      <c r="E879" s="4" t="s">
        <v>2020</v>
      </c>
      <c r="F879" s="4">
        <v>573226777928</v>
      </c>
      <c r="G879" s="4">
        <v>72531</v>
      </c>
      <c r="H879" s="8" t="s">
        <v>3326</v>
      </c>
      <c r="I879" s="8" t="s">
        <v>3326</v>
      </c>
      <c r="J879" s="4"/>
      <c r="K879" s="4"/>
      <c r="M879" s="4"/>
      <c r="N879" s="7"/>
      <c r="O879" s="7"/>
    </row>
    <row r="880" spans="1:15" ht="25.5" x14ac:dyDescent="0.2">
      <c r="A880" s="22">
        <v>45961</v>
      </c>
      <c r="B880" s="11">
        <f>+MONTH(A880)</f>
        <v>10</v>
      </c>
      <c r="C880" s="11">
        <f>+WEEKNUM(A880)</f>
        <v>44</v>
      </c>
      <c r="D880" s="12" t="s">
        <v>2015</v>
      </c>
      <c r="E880" s="12" t="s">
        <v>2016</v>
      </c>
      <c r="F880" s="12">
        <v>573013989108</v>
      </c>
      <c r="G880" s="12">
        <v>71507</v>
      </c>
      <c r="H880" s="12" t="s">
        <v>3325</v>
      </c>
      <c r="I880" s="12" t="s">
        <v>22</v>
      </c>
      <c r="J880" s="12" t="s">
        <v>2017</v>
      </c>
      <c r="K880" s="4"/>
      <c r="M880" s="4"/>
      <c r="N880" s="7"/>
      <c r="O880" s="7"/>
    </row>
    <row r="881" spans="1:15" ht="12.75" x14ac:dyDescent="0.2">
      <c r="A881" s="21">
        <v>45961</v>
      </c>
      <c r="B881" s="11">
        <f>+MONTH(A881)</f>
        <v>10</v>
      </c>
      <c r="C881" s="11">
        <f>+WEEKNUM(A881)</f>
        <v>44</v>
      </c>
      <c r="D881" s="4" t="s">
        <v>2013</v>
      </c>
      <c r="E881" s="4" t="s">
        <v>2014</v>
      </c>
      <c r="F881" s="4">
        <v>573112214163</v>
      </c>
      <c r="G881" s="4">
        <v>72104</v>
      </c>
      <c r="H881" s="8" t="s">
        <v>22</v>
      </c>
      <c r="I881" s="8" t="s">
        <v>3326</v>
      </c>
      <c r="J881" s="4"/>
      <c r="K881" s="4"/>
      <c r="M881" s="4"/>
      <c r="N881" s="7"/>
      <c r="O881" s="7"/>
    </row>
    <row r="882" spans="1:15" ht="25.5" x14ac:dyDescent="0.2">
      <c r="A882" s="22">
        <v>45961</v>
      </c>
      <c r="B882" s="11">
        <f>+MONTH(A882)</f>
        <v>10</v>
      </c>
      <c r="C882" s="11">
        <f>+WEEKNUM(A882)</f>
        <v>44</v>
      </c>
      <c r="D882" s="12" t="s">
        <v>2010</v>
      </c>
      <c r="E882" s="12" t="s">
        <v>2011</v>
      </c>
      <c r="F882" s="12">
        <v>573188722282</v>
      </c>
      <c r="G882" s="12">
        <v>72089</v>
      </c>
      <c r="H882" s="12" t="s">
        <v>3325</v>
      </c>
      <c r="I882" s="12" t="s">
        <v>22</v>
      </c>
      <c r="J882" s="12" t="s">
        <v>2012</v>
      </c>
      <c r="K882" s="4"/>
      <c r="M882" s="4"/>
      <c r="N882" s="7"/>
      <c r="O882" s="7"/>
    </row>
    <row r="883" spans="1:15" ht="12.75" x14ac:dyDescent="0.2">
      <c r="A883" s="21">
        <v>45961</v>
      </c>
      <c r="B883" s="11">
        <f>+MONTH(A883)</f>
        <v>10</v>
      </c>
      <c r="C883" s="11">
        <f>+WEEKNUM(A883)</f>
        <v>44</v>
      </c>
      <c r="D883" s="4" t="s">
        <v>2026</v>
      </c>
      <c r="E883" s="4" t="s">
        <v>2027</v>
      </c>
      <c r="F883" s="4">
        <v>573143592079</v>
      </c>
      <c r="G883" s="4">
        <v>72463</v>
      </c>
      <c r="H883" s="8" t="s">
        <v>3326</v>
      </c>
      <c r="I883" s="8" t="s">
        <v>3326</v>
      </c>
      <c r="J883" s="4" t="s">
        <v>2028</v>
      </c>
      <c r="K883" s="4"/>
      <c r="M883" s="4"/>
      <c r="N883" s="7"/>
      <c r="O883" s="7"/>
    </row>
    <row r="884" spans="1:15" ht="25.5" x14ac:dyDescent="0.2">
      <c r="A884" s="21">
        <v>45961</v>
      </c>
      <c r="B884" s="11">
        <f>+MONTH(A884)</f>
        <v>10</v>
      </c>
      <c r="C884" s="11">
        <f>+WEEKNUM(A884)</f>
        <v>44</v>
      </c>
      <c r="D884" s="4" t="s">
        <v>2007</v>
      </c>
      <c r="E884" s="4" t="s">
        <v>2008</v>
      </c>
      <c r="F884" s="4">
        <v>573023639976</v>
      </c>
      <c r="G884" s="4">
        <v>72395</v>
      </c>
      <c r="H884" s="8" t="s">
        <v>3326</v>
      </c>
      <c r="I884" s="8" t="s">
        <v>3326</v>
      </c>
      <c r="J884" s="4" t="s">
        <v>2009</v>
      </c>
      <c r="K884" s="4"/>
      <c r="M884" s="4"/>
      <c r="N884" s="7"/>
      <c r="O884" s="7"/>
    </row>
    <row r="885" spans="1:15" ht="25.5" x14ac:dyDescent="0.2">
      <c r="A885" s="21">
        <v>45961</v>
      </c>
      <c r="B885" s="11">
        <f>+MONTH(A885)</f>
        <v>10</v>
      </c>
      <c r="C885" s="11">
        <f>+WEEKNUM(A885)</f>
        <v>44</v>
      </c>
      <c r="D885" s="4" t="s">
        <v>2066</v>
      </c>
      <c r="E885" s="4" t="s">
        <v>2067</v>
      </c>
      <c r="F885" s="4">
        <v>573502847777</v>
      </c>
      <c r="G885" s="4">
        <v>69188</v>
      </c>
      <c r="H885" s="8" t="s">
        <v>3326</v>
      </c>
      <c r="I885" s="8" t="s">
        <v>3326</v>
      </c>
      <c r="J885" s="4"/>
      <c r="K885" s="4"/>
      <c r="M885" s="4"/>
      <c r="N885" s="7"/>
      <c r="O885" s="7"/>
    </row>
    <row r="886" spans="1:15" ht="25.5" x14ac:dyDescent="0.2">
      <c r="A886" s="21">
        <v>45961</v>
      </c>
      <c r="B886" s="11">
        <f>+MONTH(A886)</f>
        <v>10</v>
      </c>
      <c r="C886" s="11">
        <f>+WEEKNUM(A886)</f>
        <v>44</v>
      </c>
      <c r="D886" s="4" t="s">
        <v>2066</v>
      </c>
      <c r="E886" s="4" t="s">
        <v>2067</v>
      </c>
      <c r="F886" s="4">
        <v>573502847777</v>
      </c>
      <c r="G886" s="4">
        <v>69188</v>
      </c>
      <c r="H886" s="8" t="s">
        <v>3326</v>
      </c>
      <c r="I886" s="8" t="s">
        <v>3326</v>
      </c>
      <c r="J886" s="4" t="s">
        <v>2068</v>
      </c>
      <c r="K886" s="4"/>
      <c r="M886" s="4"/>
      <c r="N886" s="7"/>
      <c r="O886" s="7"/>
    </row>
    <row r="887" spans="1:15" ht="25.5" x14ac:dyDescent="0.2">
      <c r="A887" s="21">
        <v>45961</v>
      </c>
      <c r="B887" s="11">
        <f>+MONTH(A887)</f>
        <v>10</v>
      </c>
      <c r="C887" s="11">
        <f>+WEEKNUM(A887)</f>
        <v>44</v>
      </c>
      <c r="D887" s="4" t="s">
        <v>2033</v>
      </c>
      <c r="E887" s="4" t="s">
        <v>2034</v>
      </c>
      <c r="F887" s="4">
        <v>573123262503</v>
      </c>
      <c r="G887" s="4">
        <v>72457</v>
      </c>
      <c r="H887" s="8" t="s">
        <v>3326</v>
      </c>
      <c r="I887" s="8" t="s">
        <v>3326</v>
      </c>
      <c r="J887" s="4" t="s">
        <v>2035</v>
      </c>
      <c r="K887" s="4"/>
      <c r="M887" s="4"/>
      <c r="N887" s="7"/>
      <c r="O887" s="7"/>
    </row>
    <row r="888" spans="1:15" ht="25.5" x14ac:dyDescent="0.2">
      <c r="A888" s="21">
        <v>45961</v>
      </c>
      <c r="B888" s="11">
        <f>+MONTH(A888)</f>
        <v>10</v>
      </c>
      <c r="C888" s="11">
        <f>+WEEKNUM(A888)</f>
        <v>44</v>
      </c>
      <c r="D888" s="4" t="s">
        <v>2005</v>
      </c>
      <c r="E888" s="4" t="s">
        <v>2006</v>
      </c>
      <c r="F888" s="4">
        <v>573005608494</v>
      </c>
      <c r="G888" s="4">
        <v>72275</v>
      </c>
      <c r="H888" s="8" t="s">
        <v>22</v>
      </c>
      <c r="I888" s="8" t="s">
        <v>3326</v>
      </c>
      <c r="J888" s="4"/>
      <c r="K888" s="4"/>
      <c r="M888" s="4"/>
      <c r="N888" s="7"/>
      <c r="O888" s="7"/>
    </row>
    <row r="889" spans="1:15" ht="25.5" x14ac:dyDescent="0.2">
      <c r="A889" s="21">
        <v>45961</v>
      </c>
      <c r="B889" s="11">
        <f>+MONTH(A889)</f>
        <v>10</v>
      </c>
      <c r="C889" s="11">
        <f>+WEEKNUM(A889)</f>
        <v>44</v>
      </c>
      <c r="D889" s="4" t="s">
        <v>2002</v>
      </c>
      <c r="E889" s="4" t="s">
        <v>2003</v>
      </c>
      <c r="F889" s="4">
        <v>573193117071</v>
      </c>
      <c r="G889" s="4">
        <v>72224</v>
      </c>
      <c r="H889" s="8" t="s">
        <v>3326</v>
      </c>
      <c r="I889" s="8" t="s">
        <v>3326</v>
      </c>
      <c r="J889" s="4" t="s">
        <v>2004</v>
      </c>
      <c r="K889" s="4"/>
      <c r="M889" s="4"/>
      <c r="N889" s="7"/>
      <c r="O889" s="7"/>
    </row>
    <row r="890" spans="1:15" ht="25.5" x14ac:dyDescent="0.2">
      <c r="A890" s="22">
        <v>45961</v>
      </c>
      <c r="B890" s="11">
        <f>+MONTH(A890)</f>
        <v>10</v>
      </c>
      <c r="C890" s="11">
        <f>+WEEKNUM(A890)</f>
        <v>44</v>
      </c>
      <c r="D890" s="12" t="s">
        <v>2000</v>
      </c>
      <c r="E890" s="12" t="s">
        <v>2001</v>
      </c>
      <c r="F890" s="12">
        <v>573112047369</v>
      </c>
      <c r="G890" s="12">
        <v>71917</v>
      </c>
      <c r="H890" s="12" t="s">
        <v>22</v>
      </c>
      <c r="I890" s="12" t="s">
        <v>22</v>
      </c>
      <c r="J890" s="12"/>
      <c r="K890" s="4"/>
      <c r="M890" s="4"/>
      <c r="N890" s="7"/>
      <c r="O890" s="7"/>
    </row>
    <row r="891" spans="1:15" ht="38.25" x14ac:dyDescent="0.2">
      <c r="A891" s="21">
        <v>45961</v>
      </c>
      <c r="B891" s="11">
        <f>+MONTH(A891)</f>
        <v>10</v>
      </c>
      <c r="C891" s="11">
        <f>+WEEKNUM(A891)</f>
        <v>44</v>
      </c>
      <c r="D891" s="4" t="s">
        <v>1834</v>
      </c>
      <c r="E891" s="4" t="s">
        <v>1998</v>
      </c>
      <c r="F891" s="4">
        <v>573125178189</v>
      </c>
      <c r="G891" s="4">
        <v>71743</v>
      </c>
      <c r="H891" s="8" t="s">
        <v>3326</v>
      </c>
      <c r="I891" s="8" t="s">
        <v>3326</v>
      </c>
      <c r="J891" s="4" t="s">
        <v>1999</v>
      </c>
      <c r="K891" s="4"/>
      <c r="M891" s="4"/>
      <c r="N891" s="7"/>
      <c r="O891" s="7"/>
    </row>
    <row r="892" spans="1:15" ht="25.5" x14ac:dyDescent="0.2">
      <c r="A892" s="22">
        <v>45960</v>
      </c>
      <c r="B892" s="11">
        <f>+MONTH(A892)</f>
        <v>10</v>
      </c>
      <c r="C892" s="11">
        <f>+WEEKNUM(A892)</f>
        <v>44</v>
      </c>
      <c r="D892" s="12" t="s">
        <v>1885</v>
      </c>
      <c r="E892" s="12" t="s">
        <v>1996</v>
      </c>
      <c r="F892" s="12">
        <v>573142050154</v>
      </c>
      <c r="G892" s="12">
        <v>72116</v>
      </c>
      <c r="H892" s="12" t="s">
        <v>22</v>
      </c>
      <c r="I892" s="12" t="s">
        <v>22</v>
      </c>
      <c r="J892" s="12" t="s">
        <v>1997</v>
      </c>
      <c r="K892" s="4"/>
      <c r="M892" s="4"/>
      <c r="N892" s="7"/>
      <c r="O892" s="7"/>
    </row>
    <row r="893" spans="1:15" ht="25.5" x14ac:dyDescent="0.2">
      <c r="A893" s="21">
        <v>45960</v>
      </c>
      <c r="B893" s="11">
        <f>+MONTH(A893)</f>
        <v>10</v>
      </c>
      <c r="C893" s="11">
        <f>+WEEKNUM(A893)</f>
        <v>44</v>
      </c>
      <c r="D893" s="4" t="s">
        <v>1991</v>
      </c>
      <c r="E893" s="4" t="s">
        <v>1992</v>
      </c>
      <c r="F893" s="4">
        <v>573156501710</v>
      </c>
      <c r="G893" s="4">
        <v>72308</v>
      </c>
      <c r="H893" s="8" t="s">
        <v>3326</v>
      </c>
      <c r="I893" s="8" t="s">
        <v>3326</v>
      </c>
      <c r="J893" s="4" t="s">
        <v>1993</v>
      </c>
      <c r="K893" s="4"/>
      <c r="M893" s="4"/>
      <c r="N893" s="7"/>
      <c r="O893" s="7"/>
    </row>
    <row r="894" spans="1:15" ht="25.5" x14ac:dyDescent="0.2">
      <c r="A894" s="21">
        <v>45960</v>
      </c>
      <c r="B894" s="11">
        <f>+MONTH(A894)</f>
        <v>10</v>
      </c>
      <c r="C894" s="11">
        <f>+WEEKNUM(A894)</f>
        <v>44</v>
      </c>
      <c r="D894" s="4" t="s">
        <v>1988</v>
      </c>
      <c r="E894" s="4" t="s">
        <v>1989</v>
      </c>
      <c r="F894" s="4">
        <v>573127703759</v>
      </c>
      <c r="G894" s="4">
        <v>71097</v>
      </c>
      <c r="H894" s="8" t="s">
        <v>3326</v>
      </c>
      <c r="I894" s="8" t="s">
        <v>3326</v>
      </c>
      <c r="J894" s="4" t="s">
        <v>1990</v>
      </c>
      <c r="K894" s="4"/>
      <c r="M894" s="4"/>
      <c r="N894" s="7"/>
      <c r="O894" s="7"/>
    </row>
    <row r="895" spans="1:15" ht="25.5" x14ac:dyDescent="0.2">
      <c r="A895" s="21">
        <v>45960</v>
      </c>
      <c r="B895" s="11">
        <f>+MONTH(A895)</f>
        <v>10</v>
      </c>
      <c r="C895" s="11">
        <f>+WEEKNUM(A895)</f>
        <v>44</v>
      </c>
      <c r="D895" s="4" t="s">
        <v>1503</v>
      </c>
      <c r="E895" s="4" t="s">
        <v>1504</v>
      </c>
      <c r="F895" s="4">
        <v>573105544342</v>
      </c>
      <c r="G895" s="4">
        <v>72223</v>
      </c>
      <c r="H895" s="8" t="s">
        <v>3326</v>
      </c>
      <c r="I895" s="8" t="s">
        <v>3326</v>
      </c>
      <c r="J895" s="4" t="s">
        <v>1981</v>
      </c>
      <c r="K895" s="4"/>
      <c r="M895" s="4"/>
      <c r="N895" s="7"/>
      <c r="O895" s="7"/>
    </row>
    <row r="896" spans="1:15" ht="63.75" x14ac:dyDescent="0.2">
      <c r="A896" s="21">
        <v>45960</v>
      </c>
      <c r="B896" s="11">
        <f>+MONTH(A896)</f>
        <v>10</v>
      </c>
      <c r="C896" s="11">
        <f>+WEEKNUM(A896)</f>
        <v>44</v>
      </c>
      <c r="D896" s="4" t="s">
        <v>1982</v>
      </c>
      <c r="E896" s="4" t="s">
        <v>1983</v>
      </c>
      <c r="F896" s="4">
        <v>573015765510</v>
      </c>
      <c r="G896" s="4">
        <v>71930</v>
      </c>
      <c r="H896" s="8" t="s">
        <v>3326</v>
      </c>
      <c r="I896" s="8" t="s">
        <v>3326</v>
      </c>
      <c r="J896" s="4" t="s">
        <v>1984</v>
      </c>
      <c r="K896" s="4"/>
      <c r="M896" s="4"/>
      <c r="N896" s="7"/>
      <c r="O896" s="7"/>
    </row>
    <row r="897" spans="1:15" ht="25.5" x14ac:dyDescent="0.2">
      <c r="A897" s="21">
        <v>45960</v>
      </c>
      <c r="B897" s="11">
        <f>+MONTH(A897)</f>
        <v>10</v>
      </c>
      <c r="C897" s="11">
        <f>+WEEKNUM(A897)</f>
        <v>44</v>
      </c>
      <c r="D897" s="4" t="s">
        <v>1978</v>
      </c>
      <c r="E897" s="4" t="s">
        <v>1979</v>
      </c>
      <c r="F897" s="4">
        <v>573102403922</v>
      </c>
      <c r="G897" s="4">
        <v>72214</v>
      </c>
      <c r="H897" s="8" t="s">
        <v>3326</v>
      </c>
      <c r="I897" s="8" t="s">
        <v>3326</v>
      </c>
      <c r="J897" s="4" t="s">
        <v>1980</v>
      </c>
      <c r="K897" s="4"/>
      <c r="M897" s="4"/>
      <c r="N897" s="7"/>
      <c r="O897" s="7"/>
    </row>
    <row r="898" spans="1:15" ht="25.5" x14ac:dyDescent="0.2">
      <c r="A898" s="21">
        <v>45960</v>
      </c>
      <c r="B898" s="11">
        <f>+MONTH(A898)</f>
        <v>10</v>
      </c>
      <c r="C898" s="11">
        <f>+WEEKNUM(A898)</f>
        <v>44</v>
      </c>
      <c r="D898" s="4" t="s">
        <v>1975</v>
      </c>
      <c r="E898" s="4" t="s">
        <v>1976</v>
      </c>
      <c r="F898" s="4">
        <v>573104085689</v>
      </c>
      <c r="G898" s="4">
        <v>72332</v>
      </c>
      <c r="H898" s="8" t="s">
        <v>3326</v>
      </c>
      <c r="I898" s="8" t="s">
        <v>3326</v>
      </c>
      <c r="J898" s="4" t="s">
        <v>1977</v>
      </c>
      <c r="K898" s="4"/>
      <c r="M898" s="4"/>
      <c r="N898" s="7"/>
      <c r="O898" s="7"/>
    </row>
    <row r="899" spans="1:15" ht="25.5" x14ac:dyDescent="0.2">
      <c r="A899" s="21">
        <v>45960</v>
      </c>
      <c r="B899" s="11">
        <f>+MONTH(A899)</f>
        <v>10</v>
      </c>
      <c r="C899" s="11">
        <f>+WEEKNUM(A899)</f>
        <v>44</v>
      </c>
      <c r="D899" s="4" t="s">
        <v>1973</v>
      </c>
      <c r="E899" s="4" t="s">
        <v>1974</v>
      </c>
      <c r="F899" s="4">
        <v>573014965371</v>
      </c>
      <c r="G899" s="4">
        <v>72316</v>
      </c>
      <c r="H899" s="8" t="s">
        <v>3326</v>
      </c>
      <c r="I899" s="8" t="s">
        <v>3326</v>
      </c>
      <c r="J899" s="4" t="s">
        <v>232</v>
      </c>
      <c r="K899" s="4"/>
      <c r="M899" s="4"/>
      <c r="N899" s="7"/>
      <c r="O899" s="7"/>
    </row>
    <row r="900" spans="1:15" ht="25.5" x14ac:dyDescent="0.2">
      <c r="A900" s="21">
        <v>45960</v>
      </c>
      <c r="B900" s="11">
        <f>+MONTH(A900)</f>
        <v>10</v>
      </c>
      <c r="C900" s="11">
        <f>+WEEKNUM(A900)</f>
        <v>44</v>
      </c>
      <c r="D900" s="4" t="s">
        <v>1968</v>
      </c>
      <c r="E900" s="4" t="s">
        <v>1969</v>
      </c>
      <c r="F900" s="4">
        <v>573193649869</v>
      </c>
      <c r="G900" s="4">
        <v>70459</v>
      </c>
      <c r="H900" s="8" t="s">
        <v>3326</v>
      </c>
      <c r="I900" s="8" t="s">
        <v>3326</v>
      </c>
      <c r="J900" s="4"/>
      <c r="K900" s="4"/>
      <c r="M900" s="4"/>
      <c r="N900" s="7"/>
      <c r="O900" s="7"/>
    </row>
    <row r="901" spans="1:15" ht="25.5" x14ac:dyDescent="0.2">
      <c r="A901" s="21">
        <v>45960</v>
      </c>
      <c r="B901" s="11">
        <f>+MONTH(A901)</f>
        <v>10</v>
      </c>
      <c r="C901" s="11">
        <f>+WEEKNUM(A901)</f>
        <v>44</v>
      </c>
      <c r="D901" s="4" t="s">
        <v>2029</v>
      </c>
      <c r="E901" s="4" t="s">
        <v>2029</v>
      </c>
      <c r="F901" s="4">
        <v>573176721257</v>
      </c>
      <c r="G901" s="4">
        <v>72273</v>
      </c>
      <c r="H901" s="8" t="s">
        <v>3326</v>
      </c>
      <c r="I901" s="8" t="s">
        <v>3326</v>
      </c>
      <c r="J901" s="4" t="s">
        <v>2030</v>
      </c>
      <c r="K901" s="4"/>
      <c r="M901" s="4"/>
      <c r="N901" s="7"/>
      <c r="O901" s="7"/>
    </row>
    <row r="902" spans="1:15" ht="51" x14ac:dyDescent="0.2">
      <c r="A902" s="23">
        <v>45960</v>
      </c>
      <c r="B902" s="11">
        <f>+MONTH(A902)</f>
        <v>10</v>
      </c>
      <c r="C902" s="11">
        <f>+WEEKNUM(A902)</f>
        <v>44</v>
      </c>
      <c r="D902" s="14" t="s">
        <v>1496</v>
      </c>
      <c r="E902" s="14" t="s">
        <v>1965</v>
      </c>
      <c r="F902" s="14">
        <v>573142509112</v>
      </c>
      <c r="G902" s="14">
        <v>71292</v>
      </c>
      <c r="H902" s="14" t="s">
        <v>3326</v>
      </c>
      <c r="I902" s="14" t="s">
        <v>3325</v>
      </c>
      <c r="J902" s="14" t="s">
        <v>1966</v>
      </c>
      <c r="K902" s="4"/>
      <c r="M902" s="4"/>
      <c r="N902" s="7"/>
      <c r="O902" s="7"/>
    </row>
    <row r="903" spans="1:15" ht="12.75" x14ac:dyDescent="0.2">
      <c r="A903" s="21">
        <v>45960</v>
      </c>
      <c r="B903" s="11">
        <f>+MONTH(A903)</f>
        <v>10</v>
      </c>
      <c r="C903" s="11">
        <f>+WEEKNUM(A903)</f>
        <v>44</v>
      </c>
      <c r="D903" s="4" t="s">
        <v>1473</v>
      </c>
      <c r="E903" s="4" t="s">
        <v>1963</v>
      </c>
      <c r="F903" s="4">
        <v>573209621087</v>
      </c>
      <c r="G903" s="4">
        <v>71606</v>
      </c>
      <c r="H903" s="8" t="s">
        <v>3326</v>
      </c>
      <c r="I903" s="8" t="s">
        <v>3326</v>
      </c>
      <c r="J903" s="4" t="s">
        <v>1964</v>
      </c>
      <c r="K903" s="4"/>
      <c r="M903" s="4"/>
      <c r="N903" s="7"/>
      <c r="O903" s="7"/>
    </row>
    <row r="904" spans="1:15" ht="38.25" x14ac:dyDescent="0.2">
      <c r="A904" s="21">
        <v>45960</v>
      </c>
      <c r="B904" s="11">
        <f>+MONTH(A904)</f>
        <v>10</v>
      </c>
      <c r="C904" s="11">
        <f>+WEEKNUM(A904)</f>
        <v>44</v>
      </c>
      <c r="D904" s="4" t="s">
        <v>1961</v>
      </c>
      <c r="E904" s="4" t="s">
        <v>1938</v>
      </c>
      <c r="F904" s="4">
        <v>573008466411</v>
      </c>
      <c r="G904" s="4">
        <v>71834</v>
      </c>
      <c r="H904" s="8" t="s">
        <v>3326</v>
      </c>
      <c r="I904" s="8" t="s">
        <v>3326</v>
      </c>
      <c r="J904" s="4" t="s">
        <v>1962</v>
      </c>
      <c r="K904" s="4"/>
      <c r="M904" s="4"/>
      <c r="N904" s="7"/>
      <c r="O904" s="7"/>
    </row>
    <row r="905" spans="1:15" ht="38.25" x14ac:dyDescent="0.2">
      <c r="A905" s="22">
        <v>45960</v>
      </c>
      <c r="B905" s="11">
        <f>+MONTH(A905)</f>
        <v>10</v>
      </c>
      <c r="C905" s="11">
        <f>+WEEKNUM(A905)</f>
        <v>44</v>
      </c>
      <c r="D905" s="12" t="s">
        <v>1994</v>
      </c>
      <c r="E905" s="12" t="s">
        <v>1940</v>
      </c>
      <c r="F905" s="12">
        <v>573114604529</v>
      </c>
      <c r="G905" s="12">
        <v>72402</v>
      </c>
      <c r="H905" s="12" t="s">
        <v>22</v>
      </c>
      <c r="I905" s="12" t="s">
        <v>22</v>
      </c>
      <c r="J905" s="12" t="s">
        <v>1995</v>
      </c>
      <c r="K905" s="4"/>
      <c r="M905" s="4"/>
      <c r="N905" s="7"/>
      <c r="O905" s="7"/>
    </row>
    <row r="906" spans="1:15" ht="25.5" x14ac:dyDescent="0.2">
      <c r="A906" s="24">
        <v>45960</v>
      </c>
      <c r="B906" s="11">
        <f>+MONTH(A906)</f>
        <v>10</v>
      </c>
      <c r="C906" s="11">
        <f>+WEEKNUM(A906)</f>
        <v>44</v>
      </c>
      <c r="D906" s="13" t="s">
        <v>1958</v>
      </c>
      <c r="E906" s="13" t="s">
        <v>1959</v>
      </c>
      <c r="F906" s="13">
        <v>573027763494</v>
      </c>
      <c r="G906" s="13">
        <v>72238</v>
      </c>
      <c r="H906" s="13" t="s">
        <v>3326</v>
      </c>
      <c r="I906" s="13" t="s">
        <v>3326</v>
      </c>
      <c r="J906" s="13" t="s">
        <v>1960</v>
      </c>
      <c r="K906" s="4"/>
      <c r="M906" s="4"/>
      <c r="N906" s="7"/>
      <c r="O906" s="7"/>
    </row>
    <row r="907" spans="1:15" ht="25.5" x14ac:dyDescent="0.2">
      <c r="A907" s="22">
        <v>45960</v>
      </c>
      <c r="B907" s="11">
        <f>+MONTH(A907)</f>
        <v>10</v>
      </c>
      <c r="C907" s="11">
        <f>+WEEKNUM(A907)</f>
        <v>44</v>
      </c>
      <c r="D907" s="12" t="s">
        <v>1970</v>
      </c>
      <c r="E907" s="12" t="s">
        <v>1971</v>
      </c>
      <c r="F907" s="12">
        <v>573236412922</v>
      </c>
      <c r="G907" s="12">
        <v>72329</v>
      </c>
      <c r="H907" s="12" t="s">
        <v>3326</v>
      </c>
      <c r="I907" s="12" t="s">
        <v>22</v>
      </c>
      <c r="J907" s="12" t="s">
        <v>1972</v>
      </c>
      <c r="K907" s="4"/>
      <c r="M907" s="4"/>
      <c r="N907" s="7"/>
      <c r="O907" s="7"/>
    </row>
    <row r="908" spans="1:15" ht="12.75" x14ac:dyDescent="0.2">
      <c r="A908" s="22">
        <v>45960</v>
      </c>
      <c r="B908" s="11">
        <f>+MONTH(A908)</f>
        <v>10</v>
      </c>
      <c r="C908" s="11">
        <f>+WEEKNUM(A908)</f>
        <v>44</v>
      </c>
      <c r="D908" s="12" t="s">
        <v>1955</v>
      </c>
      <c r="E908" s="12" t="s">
        <v>1956</v>
      </c>
      <c r="F908" s="12">
        <v>573004478884</v>
      </c>
      <c r="G908" s="12">
        <v>71994</v>
      </c>
      <c r="H908" s="12" t="s">
        <v>22</v>
      </c>
      <c r="I908" s="12" t="s">
        <v>3326</v>
      </c>
      <c r="J908" s="12" t="s">
        <v>1957</v>
      </c>
      <c r="K908" s="4"/>
      <c r="M908" s="4"/>
      <c r="N908" s="7"/>
      <c r="O908" s="7"/>
    </row>
    <row r="909" spans="1:15" ht="51" x14ac:dyDescent="0.2">
      <c r="A909" s="21">
        <v>45959</v>
      </c>
      <c r="B909" s="11">
        <f>+MONTH(A909)</f>
        <v>10</v>
      </c>
      <c r="C909" s="11">
        <f>+WEEKNUM(A909)</f>
        <v>44</v>
      </c>
      <c r="D909" s="4" t="s">
        <v>1939</v>
      </c>
      <c r="E909" s="4" t="s">
        <v>1940</v>
      </c>
      <c r="F909" s="4">
        <v>573125696860</v>
      </c>
      <c r="G909" s="4">
        <v>71934</v>
      </c>
      <c r="H909" s="8" t="s">
        <v>3326</v>
      </c>
      <c r="I909" s="8" t="s">
        <v>3325</v>
      </c>
      <c r="J909" s="13" t="s">
        <v>1941</v>
      </c>
      <c r="K909" s="4"/>
      <c r="M909" s="4"/>
      <c r="N909" s="7"/>
      <c r="O909" s="7"/>
    </row>
    <row r="910" spans="1:15" ht="25.5" x14ac:dyDescent="0.2">
      <c r="A910" s="21">
        <v>45959</v>
      </c>
      <c r="B910" s="11">
        <f>+MONTH(A910)</f>
        <v>10</v>
      </c>
      <c r="C910" s="11">
        <f>+WEEKNUM(A910)</f>
        <v>44</v>
      </c>
      <c r="D910" s="4" t="s">
        <v>1532</v>
      </c>
      <c r="E910" s="4" t="s">
        <v>1945</v>
      </c>
      <c r="F910" s="4">
        <v>573013741318</v>
      </c>
      <c r="G910" s="4">
        <v>71588</v>
      </c>
      <c r="H910" s="8" t="s">
        <v>3326</v>
      </c>
      <c r="I910" s="8" t="s">
        <v>3326</v>
      </c>
      <c r="J910" s="4"/>
      <c r="K910" s="4"/>
      <c r="M910" s="4"/>
      <c r="N910" s="7"/>
      <c r="O910" s="7"/>
    </row>
    <row r="911" spans="1:15" ht="12.75" x14ac:dyDescent="0.2">
      <c r="A911" s="21">
        <v>45959</v>
      </c>
      <c r="B911" s="11">
        <f>+MONTH(A911)</f>
        <v>10</v>
      </c>
      <c r="C911" s="11">
        <f>+WEEKNUM(A911)</f>
        <v>44</v>
      </c>
      <c r="D911" s="4" t="s">
        <v>1937</v>
      </c>
      <c r="E911" s="4" t="s">
        <v>1938</v>
      </c>
      <c r="F911" s="4">
        <v>573203148074</v>
      </c>
      <c r="G911" s="4">
        <v>72410</v>
      </c>
      <c r="H911" s="8" t="s">
        <v>3326</v>
      </c>
      <c r="I911" s="8" t="s">
        <v>3326</v>
      </c>
      <c r="J911" s="4" t="s">
        <v>182</v>
      </c>
      <c r="K911" s="4"/>
      <c r="M911" s="4"/>
      <c r="N911" s="7"/>
      <c r="O911" s="7"/>
    </row>
    <row r="912" spans="1:15" ht="25.5" x14ac:dyDescent="0.2">
      <c r="A912" s="21">
        <v>45959</v>
      </c>
      <c r="B912" s="11">
        <f>+MONTH(A912)</f>
        <v>10</v>
      </c>
      <c r="C912" s="11">
        <f>+WEEKNUM(A912)</f>
        <v>44</v>
      </c>
      <c r="D912" s="4" t="s">
        <v>1946</v>
      </c>
      <c r="E912" s="4" t="s">
        <v>1947</v>
      </c>
      <c r="F912" s="4">
        <v>573107671753</v>
      </c>
      <c r="G912" s="4">
        <v>72406</v>
      </c>
      <c r="H912" s="8" t="s">
        <v>3326</v>
      </c>
      <c r="I912" s="8" t="s">
        <v>3326</v>
      </c>
      <c r="J912" s="4" t="s">
        <v>1948</v>
      </c>
      <c r="K912" s="4"/>
      <c r="M912" s="4"/>
      <c r="N912" s="7"/>
      <c r="O912" s="7"/>
    </row>
    <row r="913" spans="1:15" ht="51" x14ac:dyDescent="0.2">
      <c r="A913" s="22">
        <v>45959</v>
      </c>
      <c r="B913" s="11">
        <f>+MONTH(A913)</f>
        <v>10</v>
      </c>
      <c r="C913" s="11">
        <f>+WEEKNUM(A913)</f>
        <v>44</v>
      </c>
      <c r="D913" s="12" t="s">
        <v>1926</v>
      </c>
      <c r="E913" s="12" t="s">
        <v>1927</v>
      </c>
      <c r="F913" s="12">
        <v>573126212435</v>
      </c>
      <c r="G913" s="12">
        <v>71752</v>
      </c>
      <c r="H913" s="12" t="s">
        <v>22</v>
      </c>
      <c r="I913" s="12" t="s">
        <v>3326</v>
      </c>
      <c r="J913" s="12" t="s">
        <v>1928</v>
      </c>
      <c r="K913" s="4"/>
      <c r="M913" s="4"/>
      <c r="N913" s="7"/>
      <c r="O913" s="7"/>
    </row>
    <row r="914" spans="1:15" ht="12.75" x14ac:dyDescent="0.2">
      <c r="A914" s="21">
        <v>45959</v>
      </c>
      <c r="B914" s="11">
        <f>+MONTH(A914)</f>
        <v>10</v>
      </c>
      <c r="C914" s="11">
        <f>+WEEKNUM(A914)</f>
        <v>44</v>
      </c>
      <c r="D914" s="4" t="s">
        <v>1942</v>
      </c>
      <c r="E914" s="4" t="s">
        <v>1943</v>
      </c>
      <c r="F914" s="4">
        <v>573118039226</v>
      </c>
      <c r="G914" s="4">
        <v>70608</v>
      </c>
      <c r="H914" s="8" t="s">
        <v>3326</v>
      </c>
      <c r="I914" s="8" t="s">
        <v>3326</v>
      </c>
      <c r="J914" s="4" t="s">
        <v>1944</v>
      </c>
      <c r="K914" s="4"/>
      <c r="M914" s="4"/>
      <c r="N914" s="7"/>
      <c r="O914" s="7"/>
    </row>
    <row r="915" spans="1:15" ht="89.25" x14ac:dyDescent="0.2">
      <c r="A915" s="21">
        <v>45959</v>
      </c>
      <c r="B915" s="11">
        <f>+MONTH(A915)</f>
        <v>10</v>
      </c>
      <c r="C915" s="11">
        <f>+WEEKNUM(A915)</f>
        <v>44</v>
      </c>
      <c r="D915" s="4" t="s">
        <v>1929</v>
      </c>
      <c r="E915" s="4" t="s">
        <v>1930</v>
      </c>
      <c r="F915" s="4">
        <v>573004438651</v>
      </c>
      <c r="G915" s="4">
        <v>72228</v>
      </c>
      <c r="H915" s="8" t="s">
        <v>3326</v>
      </c>
      <c r="I915" s="8" t="s">
        <v>3326</v>
      </c>
      <c r="J915" s="4" t="s">
        <v>1931</v>
      </c>
      <c r="K915" s="4"/>
      <c r="M915" s="4"/>
      <c r="N915" s="7"/>
      <c r="O915" s="7"/>
    </row>
    <row r="916" spans="1:15" ht="25.5" x14ac:dyDescent="0.2">
      <c r="A916" s="21">
        <v>45959</v>
      </c>
      <c r="B916" s="11">
        <f>+MONTH(A916)</f>
        <v>10</v>
      </c>
      <c r="C916" s="11">
        <f>+WEEKNUM(A916)</f>
        <v>44</v>
      </c>
      <c r="D916" s="4" t="s">
        <v>1949</v>
      </c>
      <c r="E916" s="4" t="s">
        <v>1950</v>
      </c>
      <c r="F916" s="4">
        <v>573014432522</v>
      </c>
      <c r="G916" s="4">
        <v>72128</v>
      </c>
      <c r="H916" s="8" t="s">
        <v>3326</v>
      </c>
      <c r="I916" s="8" t="s">
        <v>3326</v>
      </c>
      <c r="J916" s="4" t="s">
        <v>1951</v>
      </c>
      <c r="K916" s="4"/>
      <c r="M916" s="4"/>
      <c r="N916" s="7"/>
      <c r="O916" s="7"/>
    </row>
    <row r="917" spans="1:15" ht="38.25" x14ac:dyDescent="0.2">
      <c r="A917" s="21">
        <v>45959</v>
      </c>
      <c r="B917" s="11">
        <f>+MONTH(A917)</f>
        <v>10</v>
      </c>
      <c r="C917" s="11">
        <f>+WEEKNUM(A917)</f>
        <v>44</v>
      </c>
      <c r="D917" s="4" t="s">
        <v>1906</v>
      </c>
      <c r="E917" s="4" t="s">
        <v>1935</v>
      </c>
      <c r="F917" s="4">
        <v>573166452429</v>
      </c>
      <c r="G917" s="4">
        <v>72348</v>
      </c>
      <c r="H917" s="8" t="s">
        <v>3326</v>
      </c>
      <c r="I917" s="8" t="s">
        <v>3326</v>
      </c>
      <c r="J917" s="4" t="s">
        <v>1936</v>
      </c>
      <c r="K917" s="4"/>
      <c r="M917" s="4"/>
      <c r="N917" s="7"/>
      <c r="O917" s="7"/>
    </row>
    <row r="918" spans="1:15" ht="38.25" x14ac:dyDescent="0.2">
      <c r="A918" s="21">
        <v>45959</v>
      </c>
      <c r="B918" s="11">
        <f>+MONTH(A918)</f>
        <v>10</v>
      </c>
      <c r="C918" s="11">
        <f>+WEEKNUM(A918)</f>
        <v>44</v>
      </c>
      <c r="D918" s="4" t="s">
        <v>1917</v>
      </c>
      <c r="E918" s="4" t="s">
        <v>1918</v>
      </c>
      <c r="F918" s="4">
        <v>573102440343</v>
      </c>
      <c r="G918" s="4">
        <v>71697</v>
      </c>
      <c r="H918" s="8" t="s">
        <v>3326</v>
      </c>
      <c r="I918" s="8" t="s">
        <v>3326</v>
      </c>
      <c r="J918" s="4" t="s">
        <v>1919</v>
      </c>
      <c r="K918" s="4"/>
      <c r="M918" s="4"/>
      <c r="N918" s="7"/>
      <c r="O918" s="7"/>
    </row>
    <row r="919" spans="1:15" ht="12.75" x14ac:dyDescent="0.2">
      <c r="A919" s="22">
        <v>45959</v>
      </c>
      <c r="B919" s="11">
        <f>+MONTH(A919)</f>
        <v>10</v>
      </c>
      <c r="C919" s="11">
        <f>+WEEKNUM(A919)</f>
        <v>44</v>
      </c>
      <c r="D919" s="12" t="s">
        <v>1920</v>
      </c>
      <c r="E919" s="12" t="s">
        <v>1921</v>
      </c>
      <c r="F919" s="12">
        <v>573186966466</v>
      </c>
      <c r="G919" s="12">
        <v>72021</v>
      </c>
      <c r="H919" s="12" t="s">
        <v>22</v>
      </c>
      <c r="I919" s="12" t="s">
        <v>22</v>
      </c>
      <c r="J919" s="12" t="s">
        <v>1922</v>
      </c>
      <c r="K919" s="4"/>
      <c r="M919" s="4"/>
      <c r="N919" s="7"/>
      <c r="O919" s="7"/>
    </row>
    <row r="920" spans="1:15" ht="38.25" x14ac:dyDescent="0.2">
      <c r="A920" s="21">
        <v>45959</v>
      </c>
      <c r="B920" s="11">
        <f>+MONTH(A920)</f>
        <v>10</v>
      </c>
      <c r="C920" s="11">
        <f>+WEEKNUM(A920)</f>
        <v>44</v>
      </c>
      <c r="D920" s="4" t="s">
        <v>1914</v>
      </c>
      <c r="E920" s="4" t="s">
        <v>1915</v>
      </c>
      <c r="F920" s="4">
        <v>573208581685</v>
      </c>
      <c r="G920" s="4">
        <v>72247</v>
      </c>
      <c r="H920" s="8" t="s">
        <v>3326</v>
      </c>
      <c r="I920" s="8" t="s">
        <v>3326</v>
      </c>
      <c r="J920" s="4" t="s">
        <v>1916</v>
      </c>
      <c r="K920" s="4"/>
      <c r="M920" s="4"/>
      <c r="N920" s="7"/>
      <c r="O920" s="7"/>
    </row>
    <row r="921" spans="1:15" ht="25.5" x14ac:dyDescent="0.2">
      <c r="A921" s="21">
        <v>45959</v>
      </c>
      <c r="B921" s="11">
        <f>+MONTH(A921)</f>
        <v>10</v>
      </c>
      <c r="C921" s="11">
        <f>+WEEKNUM(A921)</f>
        <v>44</v>
      </c>
      <c r="D921" s="4" t="s">
        <v>1539</v>
      </c>
      <c r="E921" s="4" t="s">
        <v>1924</v>
      </c>
      <c r="F921" s="4">
        <v>573026351250</v>
      </c>
      <c r="G921" s="4">
        <v>72065</v>
      </c>
      <c r="H921" s="8" t="s">
        <v>3326</v>
      </c>
      <c r="I921" s="8" t="s">
        <v>3326</v>
      </c>
      <c r="J921" s="4" t="s">
        <v>1925</v>
      </c>
      <c r="K921" s="4"/>
      <c r="M921" s="4"/>
      <c r="N921" s="7"/>
      <c r="O921" s="7"/>
    </row>
    <row r="922" spans="1:15" ht="25.5" x14ac:dyDescent="0.2">
      <c r="A922" s="21">
        <v>45959</v>
      </c>
      <c r="B922" s="11">
        <f>+MONTH(A922)</f>
        <v>10</v>
      </c>
      <c r="C922" s="11">
        <f>+WEEKNUM(A922)</f>
        <v>44</v>
      </c>
      <c r="D922" s="4" t="s">
        <v>1539</v>
      </c>
      <c r="E922" s="4" t="s">
        <v>1909</v>
      </c>
      <c r="F922" s="4">
        <v>573115003291</v>
      </c>
      <c r="G922" s="4">
        <v>72015</v>
      </c>
      <c r="H922" s="8" t="s">
        <v>3326</v>
      </c>
      <c r="I922" s="8" t="s">
        <v>3326</v>
      </c>
      <c r="J922" s="4" t="s">
        <v>1910</v>
      </c>
      <c r="K922" s="4"/>
      <c r="M922" s="4"/>
      <c r="N922" s="7"/>
      <c r="O922" s="7"/>
    </row>
    <row r="923" spans="1:15" ht="25.5" x14ac:dyDescent="0.2">
      <c r="A923" s="21">
        <v>45959</v>
      </c>
      <c r="B923" s="11">
        <f>+MONTH(A923)</f>
        <v>10</v>
      </c>
      <c r="C923" s="11">
        <f>+WEEKNUM(A923)</f>
        <v>44</v>
      </c>
      <c r="D923" s="4" t="s">
        <v>1906</v>
      </c>
      <c r="E923" s="4" t="s">
        <v>1907</v>
      </c>
      <c r="F923" s="4">
        <v>573229005990</v>
      </c>
      <c r="G923" s="4">
        <v>71983</v>
      </c>
      <c r="H923" s="8" t="s">
        <v>3326</v>
      </c>
      <c r="I923" s="8" t="s">
        <v>3326</v>
      </c>
      <c r="J923" s="4" t="s">
        <v>1908</v>
      </c>
      <c r="K923" s="4"/>
      <c r="M923" s="4"/>
      <c r="N923" s="7"/>
      <c r="O923" s="7"/>
    </row>
    <row r="924" spans="1:15" ht="25.5" x14ac:dyDescent="0.2">
      <c r="A924" s="21">
        <v>45959</v>
      </c>
      <c r="B924" s="11">
        <f>+MONTH(A924)</f>
        <v>10</v>
      </c>
      <c r="C924" s="11">
        <f>+WEEKNUM(A924)</f>
        <v>44</v>
      </c>
      <c r="D924" s="4" t="s">
        <v>1900</v>
      </c>
      <c r="E924" s="4" t="s">
        <v>1901</v>
      </c>
      <c r="F924" s="4">
        <v>573192372631</v>
      </c>
      <c r="G924" s="4">
        <v>72087</v>
      </c>
      <c r="H924" s="8" t="s">
        <v>3326</v>
      </c>
      <c r="I924" s="8" t="s">
        <v>3326</v>
      </c>
      <c r="J924" s="4" t="s">
        <v>1902</v>
      </c>
      <c r="K924" s="4"/>
      <c r="M924" s="4"/>
      <c r="N924" s="7"/>
      <c r="O924" s="7"/>
    </row>
    <row r="925" spans="1:15" ht="38.25" x14ac:dyDescent="0.2">
      <c r="A925" s="21">
        <v>45959</v>
      </c>
      <c r="B925" s="11">
        <f>+MONTH(A925)</f>
        <v>10</v>
      </c>
      <c r="C925" s="11">
        <f>+WEEKNUM(A925)</f>
        <v>44</v>
      </c>
      <c r="D925" s="4" t="s">
        <v>1932</v>
      </c>
      <c r="E925" s="4" t="s">
        <v>1933</v>
      </c>
      <c r="F925" s="4">
        <v>573014525080</v>
      </c>
      <c r="G925" s="4">
        <v>72148</v>
      </c>
      <c r="H925" s="8" t="s">
        <v>3326</v>
      </c>
      <c r="I925" s="8" t="s">
        <v>22</v>
      </c>
      <c r="J925" s="4" t="s">
        <v>1934</v>
      </c>
      <c r="K925" s="4"/>
      <c r="M925" s="4"/>
      <c r="N925" s="7"/>
      <c r="O925" s="7"/>
    </row>
    <row r="926" spans="1:15" ht="25.5" x14ac:dyDescent="0.2">
      <c r="A926" s="22">
        <v>45959</v>
      </c>
      <c r="B926" s="11">
        <f>+MONTH(A926)</f>
        <v>10</v>
      </c>
      <c r="C926" s="11">
        <f>+WEEKNUM(A926)</f>
        <v>44</v>
      </c>
      <c r="D926" s="12" t="s">
        <v>1952</v>
      </c>
      <c r="E926" s="12" t="s">
        <v>1953</v>
      </c>
      <c r="F926" s="12">
        <v>573124590810</v>
      </c>
      <c r="G926" s="12">
        <v>70768</v>
      </c>
      <c r="H926" s="12" t="s">
        <v>22</v>
      </c>
      <c r="I926" s="12" t="s">
        <v>3326</v>
      </c>
      <c r="J926" s="12" t="s">
        <v>1954</v>
      </c>
      <c r="K926" s="4"/>
      <c r="M926" s="4"/>
      <c r="N926" s="7"/>
      <c r="O926" s="7"/>
    </row>
    <row r="927" spans="1:15" ht="25.5" x14ac:dyDescent="0.2">
      <c r="A927" s="21">
        <v>45959</v>
      </c>
      <c r="B927" s="11">
        <f>+MONTH(A927)</f>
        <v>10</v>
      </c>
      <c r="C927" s="11">
        <f>+WEEKNUM(A927)</f>
        <v>44</v>
      </c>
      <c r="D927" s="4" t="s">
        <v>1893</v>
      </c>
      <c r="E927" s="4" t="s">
        <v>1894</v>
      </c>
      <c r="F927" s="4">
        <v>573204504823</v>
      </c>
      <c r="G927" s="4">
        <v>72215</v>
      </c>
      <c r="H927" s="8" t="s">
        <v>3326</v>
      </c>
      <c r="I927" s="8" t="s">
        <v>3326</v>
      </c>
      <c r="J927" s="4" t="s">
        <v>1895</v>
      </c>
      <c r="K927" s="4"/>
      <c r="M927" s="4"/>
      <c r="N927" s="7"/>
      <c r="O927" s="7"/>
    </row>
    <row r="928" spans="1:15" ht="38.25" x14ac:dyDescent="0.2">
      <c r="A928" s="22">
        <v>45959</v>
      </c>
      <c r="B928" s="11">
        <f>+MONTH(A928)</f>
        <v>10</v>
      </c>
      <c r="C928" s="11">
        <f>+WEEKNUM(A928)</f>
        <v>44</v>
      </c>
      <c r="D928" s="12" t="s">
        <v>1985</v>
      </c>
      <c r="E928" s="12" t="s">
        <v>1986</v>
      </c>
      <c r="F928" s="12">
        <v>573214736211</v>
      </c>
      <c r="G928" s="12">
        <v>72107</v>
      </c>
      <c r="H928" s="12" t="s">
        <v>22</v>
      </c>
      <c r="I928" s="12" t="s">
        <v>22</v>
      </c>
      <c r="J928" s="12" t="s">
        <v>1987</v>
      </c>
      <c r="K928" s="4"/>
      <c r="M928" s="4"/>
      <c r="N928" s="7"/>
      <c r="O928" s="7"/>
    </row>
    <row r="929" spans="1:15" ht="38.25" x14ac:dyDescent="0.2">
      <c r="A929" s="21">
        <v>45959</v>
      </c>
      <c r="B929" s="11">
        <f>+MONTH(A929)</f>
        <v>10</v>
      </c>
      <c r="C929" s="11">
        <f>+WEEKNUM(A929)</f>
        <v>44</v>
      </c>
      <c r="D929" s="4" t="s">
        <v>1911</v>
      </c>
      <c r="E929" s="4" t="s">
        <v>1912</v>
      </c>
      <c r="F929" s="4">
        <v>573006774901</v>
      </c>
      <c r="G929" s="4">
        <v>68424</v>
      </c>
      <c r="H929" s="8" t="s">
        <v>3326</v>
      </c>
      <c r="I929" s="8" t="s">
        <v>3326</v>
      </c>
      <c r="J929" s="4" t="s">
        <v>1913</v>
      </c>
      <c r="K929" s="4"/>
      <c r="M929" s="4"/>
      <c r="N929" s="7"/>
      <c r="O929" s="7"/>
    </row>
    <row r="930" spans="1:15" ht="25.5" x14ac:dyDescent="0.2">
      <c r="A930" s="21">
        <v>45959</v>
      </c>
      <c r="B930" s="11">
        <f>+MONTH(A930)</f>
        <v>10</v>
      </c>
      <c r="C930" s="11">
        <f>+WEEKNUM(A930)</f>
        <v>44</v>
      </c>
      <c r="D930" s="4" t="s">
        <v>1890</v>
      </c>
      <c r="E930" s="4" t="s">
        <v>1891</v>
      </c>
      <c r="F930" s="4">
        <v>573194315082</v>
      </c>
      <c r="G930" s="4">
        <v>72118</v>
      </c>
      <c r="H930" s="8" t="s">
        <v>3326</v>
      </c>
      <c r="I930" s="8" t="s">
        <v>3326</v>
      </c>
      <c r="J930" s="4" t="s">
        <v>1892</v>
      </c>
      <c r="K930" s="4"/>
      <c r="M930" s="4"/>
      <c r="N930" s="7"/>
      <c r="O930" s="7"/>
    </row>
    <row r="931" spans="1:15" ht="63.75" x14ac:dyDescent="0.2">
      <c r="A931" s="22">
        <v>45959</v>
      </c>
      <c r="B931" s="11">
        <f>+MONTH(A931)</f>
        <v>10</v>
      </c>
      <c r="C931" s="11">
        <f>+WEEKNUM(A931)</f>
        <v>44</v>
      </c>
      <c r="D931" s="12" t="s">
        <v>1896</v>
      </c>
      <c r="E931" s="12" t="s">
        <v>1897</v>
      </c>
      <c r="F931" s="12">
        <v>573023725380</v>
      </c>
      <c r="G931" s="12">
        <v>71704</v>
      </c>
      <c r="H931" s="12" t="s">
        <v>3326</v>
      </c>
      <c r="I931" s="12" t="s">
        <v>22</v>
      </c>
      <c r="J931" s="12" t="s">
        <v>1898</v>
      </c>
      <c r="K931" s="4" t="s">
        <v>1899</v>
      </c>
      <c r="M931" s="4"/>
      <c r="N931" s="7"/>
      <c r="O931" s="7"/>
    </row>
    <row r="932" spans="1:15" ht="25.5" x14ac:dyDescent="0.2">
      <c r="A932" s="21">
        <v>45958</v>
      </c>
      <c r="B932" s="11">
        <f>+MONTH(A932)</f>
        <v>10</v>
      </c>
      <c r="C932" s="11">
        <f>+WEEKNUM(A932)</f>
        <v>44</v>
      </c>
      <c r="D932" s="4" t="s">
        <v>1882</v>
      </c>
      <c r="E932" s="4" t="s">
        <v>1883</v>
      </c>
      <c r="F932" s="4">
        <v>573142122077</v>
      </c>
      <c r="G932" s="4">
        <v>72054</v>
      </c>
      <c r="H932" s="8" t="s">
        <v>3326</v>
      </c>
      <c r="I932" s="8" t="s">
        <v>3326</v>
      </c>
      <c r="J932" s="4" t="s">
        <v>1884</v>
      </c>
      <c r="K932" s="4"/>
      <c r="M932" s="4"/>
      <c r="N932" s="7"/>
      <c r="O932" s="7"/>
    </row>
    <row r="933" spans="1:15" ht="25.5" x14ac:dyDescent="0.2">
      <c r="A933" s="22">
        <v>45958</v>
      </c>
      <c r="B933" s="11">
        <f>+MONTH(A933)</f>
        <v>10</v>
      </c>
      <c r="C933" s="11">
        <f>+WEEKNUM(A933)</f>
        <v>44</v>
      </c>
      <c r="D933" s="12" t="s">
        <v>1903</v>
      </c>
      <c r="E933" s="12" t="s">
        <v>1904</v>
      </c>
      <c r="F933" s="12">
        <v>573045454442</v>
      </c>
      <c r="G933" s="12">
        <v>72269</v>
      </c>
      <c r="H933" s="12" t="s">
        <v>3325</v>
      </c>
      <c r="I933" s="12" t="s">
        <v>22</v>
      </c>
      <c r="J933" s="12" t="s">
        <v>1905</v>
      </c>
      <c r="K933" s="4"/>
      <c r="M933" s="4"/>
      <c r="N933" s="7"/>
      <c r="O933" s="7"/>
    </row>
    <row r="934" spans="1:15" ht="12.75" x14ac:dyDescent="0.2">
      <c r="A934" s="21">
        <v>45958</v>
      </c>
      <c r="B934" s="11">
        <f>+MONTH(A934)</f>
        <v>10</v>
      </c>
      <c r="C934" s="11">
        <f>+WEEKNUM(A934)</f>
        <v>44</v>
      </c>
      <c r="D934" s="4" t="s">
        <v>1876</v>
      </c>
      <c r="E934" s="4" t="s">
        <v>1877</v>
      </c>
      <c r="F934" s="4">
        <v>573144570594</v>
      </c>
      <c r="G934" s="4">
        <v>72048</v>
      </c>
      <c r="H934" s="8" t="s">
        <v>3326</v>
      </c>
      <c r="I934" s="8" t="s">
        <v>3326</v>
      </c>
      <c r="J934" s="4" t="s">
        <v>1878</v>
      </c>
      <c r="K934" s="4"/>
      <c r="M934" s="4"/>
      <c r="N934" s="7"/>
      <c r="O934" s="7"/>
    </row>
    <row r="935" spans="1:15" ht="25.5" x14ac:dyDescent="0.2">
      <c r="A935" s="21">
        <v>45958</v>
      </c>
      <c r="B935" s="11">
        <f>+MONTH(A935)</f>
        <v>10</v>
      </c>
      <c r="C935" s="11">
        <f>+WEEKNUM(A935)</f>
        <v>44</v>
      </c>
      <c r="D935" s="4" t="s">
        <v>1879</v>
      </c>
      <c r="E935" s="4" t="s">
        <v>1880</v>
      </c>
      <c r="F935" s="4">
        <v>573002063453</v>
      </c>
      <c r="G935" s="4">
        <v>71882</v>
      </c>
      <c r="H935" s="8" t="s">
        <v>3326</v>
      </c>
      <c r="I935" s="8" t="s">
        <v>3326</v>
      </c>
      <c r="J935" s="4" t="s">
        <v>1881</v>
      </c>
      <c r="K935" s="4"/>
      <c r="M935" s="4"/>
      <c r="N935" s="7"/>
      <c r="O935" s="7"/>
    </row>
    <row r="936" spans="1:15" ht="25.5" x14ac:dyDescent="0.2">
      <c r="A936" s="21">
        <v>45958</v>
      </c>
      <c r="B936" s="11">
        <f>+MONTH(A936)</f>
        <v>10</v>
      </c>
      <c r="C936" s="11">
        <f>+WEEKNUM(A936)</f>
        <v>44</v>
      </c>
      <c r="D936" s="4" t="s">
        <v>1873</v>
      </c>
      <c r="E936" s="4" t="s">
        <v>1874</v>
      </c>
      <c r="F936" s="4">
        <v>573024465022</v>
      </c>
      <c r="G936" s="4">
        <v>71770</v>
      </c>
      <c r="H936" s="8" t="s">
        <v>3326</v>
      </c>
      <c r="I936" s="8" t="s">
        <v>3326</v>
      </c>
      <c r="J936" s="4" t="s">
        <v>1875</v>
      </c>
      <c r="K936" s="4"/>
      <c r="M936" s="4"/>
      <c r="N936" s="7"/>
      <c r="O936" s="7"/>
    </row>
    <row r="937" spans="1:15" ht="25.5" x14ac:dyDescent="0.2">
      <c r="A937" s="21">
        <v>45958</v>
      </c>
      <c r="B937" s="11">
        <f>+MONTH(A937)</f>
        <v>10</v>
      </c>
      <c r="C937" s="11">
        <f>+WEEKNUM(A937)</f>
        <v>44</v>
      </c>
      <c r="D937" s="4" t="s">
        <v>1885</v>
      </c>
      <c r="E937" s="4" t="s">
        <v>1886</v>
      </c>
      <c r="F937" s="4">
        <v>573014199487</v>
      </c>
      <c r="G937" s="4">
        <v>72272</v>
      </c>
      <c r="H937" s="8" t="s">
        <v>3326</v>
      </c>
      <c r="I937" s="8" t="s">
        <v>3326</v>
      </c>
      <c r="J937" s="4" t="s">
        <v>1887</v>
      </c>
      <c r="K937" s="4"/>
      <c r="M937" s="4"/>
      <c r="N937" s="7"/>
      <c r="O937" s="7"/>
    </row>
    <row r="938" spans="1:15" ht="51" x14ac:dyDescent="0.2">
      <c r="A938" s="21">
        <v>45958</v>
      </c>
      <c r="B938" s="11">
        <f>+MONTH(A938)</f>
        <v>10</v>
      </c>
      <c r="C938" s="11">
        <f>+WEEKNUM(A938)</f>
        <v>44</v>
      </c>
      <c r="D938" s="4" t="s">
        <v>1865</v>
      </c>
      <c r="E938" s="4" t="s">
        <v>1866</v>
      </c>
      <c r="F938" s="4">
        <v>573133173323</v>
      </c>
      <c r="G938" s="4">
        <v>72022</v>
      </c>
      <c r="H938" s="8" t="s">
        <v>3326</v>
      </c>
      <c r="I938" s="8" t="s">
        <v>3326</v>
      </c>
      <c r="J938" s="4" t="s">
        <v>1867</v>
      </c>
      <c r="K938" s="4"/>
      <c r="M938" s="4"/>
      <c r="N938" s="7"/>
      <c r="O938" s="7"/>
    </row>
    <row r="939" spans="1:15" ht="25.5" x14ac:dyDescent="0.2">
      <c r="A939" s="21">
        <v>45958</v>
      </c>
      <c r="B939" s="11">
        <f>+MONTH(A939)</f>
        <v>10</v>
      </c>
      <c r="C939" s="11">
        <f>+WEEKNUM(A939)</f>
        <v>44</v>
      </c>
      <c r="D939" s="4" t="s">
        <v>1888</v>
      </c>
      <c r="E939" s="4" t="s">
        <v>1889</v>
      </c>
      <c r="F939" s="4">
        <v>573124354750</v>
      </c>
      <c r="G939" s="4">
        <v>71705</v>
      </c>
      <c r="H939" s="8" t="s">
        <v>3326</v>
      </c>
      <c r="I939" s="8" t="s">
        <v>3326</v>
      </c>
      <c r="J939" s="4"/>
      <c r="K939" s="4"/>
      <c r="M939" s="4"/>
      <c r="N939" s="7"/>
      <c r="O939" s="7"/>
    </row>
    <row r="940" spans="1:15" ht="25.5" x14ac:dyDescent="0.2">
      <c r="A940" s="21">
        <v>45958</v>
      </c>
      <c r="B940" s="11">
        <f>+MONTH(A940)</f>
        <v>10</v>
      </c>
      <c r="C940" s="11">
        <f>+WEEKNUM(A940)</f>
        <v>44</v>
      </c>
      <c r="D940" s="4" t="s">
        <v>1862</v>
      </c>
      <c r="E940" s="4" t="s">
        <v>1863</v>
      </c>
      <c r="F940" s="4">
        <v>573203338210</v>
      </c>
      <c r="G940" s="4">
        <v>71299</v>
      </c>
      <c r="H940" s="8" t="s">
        <v>3326</v>
      </c>
      <c r="I940" s="8" t="s">
        <v>3326</v>
      </c>
      <c r="J940" s="4" t="s">
        <v>1864</v>
      </c>
      <c r="K940" s="4"/>
      <c r="M940" s="4"/>
      <c r="N940" s="7"/>
      <c r="O940" s="7"/>
    </row>
    <row r="941" spans="1:15" ht="38.25" x14ac:dyDescent="0.2">
      <c r="A941" s="21">
        <v>45958</v>
      </c>
      <c r="B941" s="11">
        <f>+MONTH(A941)</f>
        <v>10</v>
      </c>
      <c r="C941" s="11">
        <f>+WEEKNUM(A941)</f>
        <v>44</v>
      </c>
      <c r="D941" s="4" t="s">
        <v>1868</v>
      </c>
      <c r="E941" s="4" t="s">
        <v>1869</v>
      </c>
      <c r="F941" s="4">
        <v>573025319387</v>
      </c>
      <c r="G941" s="4">
        <v>70907</v>
      </c>
      <c r="H941" s="8" t="s">
        <v>3326</v>
      </c>
      <c r="I941" s="8" t="s">
        <v>22</v>
      </c>
      <c r="J941" s="4" t="s">
        <v>1870</v>
      </c>
      <c r="K941" s="4"/>
      <c r="M941" s="4"/>
      <c r="N941" s="7"/>
      <c r="O941" s="7"/>
    </row>
    <row r="942" spans="1:15" ht="25.5" x14ac:dyDescent="0.2">
      <c r="A942" s="21">
        <v>45958</v>
      </c>
      <c r="B942" s="11">
        <f>+MONTH(A942)</f>
        <v>10</v>
      </c>
      <c r="C942" s="11">
        <f>+WEEKNUM(A942)</f>
        <v>44</v>
      </c>
      <c r="D942" s="4" t="s">
        <v>1859</v>
      </c>
      <c r="E942" s="4" t="s">
        <v>1860</v>
      </c>
      <c r="F942" s="4">
        <v>573187943921</v>
      </c>
      <c r="G942" s="4">
        <v>69921</v>
      </c>
      <c r="H942" s="8" t="s">
        <v>3326</v>
      </c>
      <c r="I942" s="8" t="s">
        <v>3326</v>
      </c>
      <c r="J942" s="4" t="s">
        <v>1861</v>
      </c>
      <c r="K942" s="4"/>
      <c r="M942" s="4"/>
      <c r="N942" s="7"/>
      <c r="O942" s="7"/>
    </row>
    <row r="943" spans="1:15" ht="25.5" x14ac:dyDescent="0.2">
      <c r="A943" s="21">
        <v>45958</v>
      </c>
      <c r="B943" s="11">
        <f>+MONTH(A943)</f>
        <v>10</v>
      </c>
      <c r="C943" s="11">
        <f>+WEEKNUM(A943)</f>
        <v>44</v>
      </c>
      <c r="D943" s="4" t="s">
        <v>1857</v>
      </c>
      <c r="E943" s="4" t="s">
        <v>1858</v>
      </c>
      <c r="F943" s="4">
        <v>573213143364</v>
      </c>
      <c r="G943" s="4">
        <v>72196</v>
      </c>
      <c r="H943" s="8" t="s">
        <v>22</v>
      </c>
      <c r="I943" s="8" t="s">
        <v>3326</v>
      </c>
      <c r="J943" s="4"/>
      <c r="K943" s="4"/>
      <c r="M943" s="4"/>
      <c r="N943" s="7"/>
      <c r="O943" s="7"/>
    </row>
    <row r="944" spans="1:15" ht="25.5" x14ac:dyDescent="0.2">
      <c r="A944" s="21">
        <v>45958</v>
      </c>
      <c r="B944" s="11">
        <f>+MONTH(A944)</f>
        <v>10</v>
      </c>
      <c r="C944" s="11">
        <f>+WEEKNUM(A944)</f>
        <v>44</v>
      </c>
      <c r="D944" s="4" t="s">
        <v>1871</v>
      </c>
      <c r="E944" s="4" t="s">
        <v>1872</v>
      </c>
      <c r="F944" s="4">
        <v>573144118426</v>
      </c>
      <c r="G944" s="4">
        <v>72038</v>
      </c>
      <c r="H944" s="8" t="s">
        <v>3326</v>
      </c>
      <c r="I944" s="8" t="s">
        <v>3326</v>
      </c>
      <c r="J944" s="4"/>
      <c r="K944" s="4"/>
      <c r="M944" s="4"/>
      <c r="N944" s="7"/>
      <c r="O944" s="7"/>
    </row>
    <row r="945" spans="1:15" ht="25.5" x14ac:dyDescent="0.2">
      <c r="A945" s="21">
        <v>45958</v>
      </c>
      <c r="B945" s="11">
        <f>+MONTH(A945)</f>
        <v>10</v>
      </c>
      <c r="C945" s="11">
        <f>+WEEKNUM(A945)</f>
        <v>44</v>
      </c>
      <c r="D945" s="4" t="s">
        <v>1854</v>
      </c>
      <c r="E945" s="4" t="s">
        <v>1855</v>
      </c>
      <c r="F945" s="4">
        <v>573015394307</v>
      </c>
      <c r="G945" s="4">
        <v>71844</v>
      </c>
      <c r="H945" s="8" t="s">
        <v>3326</v>
      </c>
      <c r="I945" s="8" t="s">
        <v>3326</v>
      </c>
      <c r="J945" s="4" t="s">
        <v>1856</v>
      </c>
      <c r="K945" s="4"/>
      <c r="M945" s="4"/>
      <c r="N945" s="7"/>
      <c r="O945" s="7"/>
    </row>
    <row r="946" spans="1:15" ht="25.5" x14ac:dyDescent="0.2">
      <c r="A946" s="21">
        <v>45958</v>
      </c>
      <c r="B946" s="11">
        <f>+MONTH(A946)</f>
        <v>10</v>
      </c>
      <c r="C946" s="11">
        <f>+WEEKNUM(A946)</f>
        <v>44</v>
      </c>
      <c r="D946" s="4" t="s">
        <v>1853</v>
      </c>
      <c r="E946" s="4" t="s">
        <v>1853</v>
      </c>
      <c r="F946" s="4">
        <v>573214960780</v>
      </c>
      <c r="G946" s="4">
        <v>72133</v>
      </c>
      <c r="H946" s="8" t="s">
        <v>3326</v>
      </c>
      <c r="I946" s="8" t="s">
        <v>3326</v>
      </c>
      <c r="J946" s="4" t="s">
        <v>13</v>
      </c>
      <c r="K946" s="4"/>
      <c r="M946" s="4"/>
      <c r="N946" s="7"/>
      <c r="O946" s="7"/>
    </row>
    <row r="947" spans="1:15" ht="25.5" x14ac:dyDescent="0.2">
      <c r="A947" s="21">
        <v>45957</v>
      </c>
      <c r="B947" s="11">
        <f>+MONTH(A947)</f>
        <v>10</v>
      </c>
      <c r="C947" s="11">
        <f>+WEEKNUM(A947)</f>
        <v>44</v>
      </c>
      <c r="D947" s="4" t="s">
        <v>1670</v>
      </c>
      <c r="E947" s="4" t="s">
        <v>1851</v>
      </c>
      <c r="F947" s="4">
        <v>573202479333</v>
      </c>
      <c r="G947" s="4">
        <v>71586</v>
      </c>
      <c r="H947" s="8" t="s">
        <v>3326</v>
      </c>
      <c r="I947" s="8" t="s">
        <v>3326</v>
      </c>
      <c r="J947" s="4" t="s">
        <v>1852</v>
      </c>
      <c r="K947" s="4"/>
      <c r="M947" s="4"/>
      <c r="N947" s="7"/>
      <c r="O947" s="7"/>
    </row>
    <row r="948" spans="1:15" ht="25.5" x14ac:dyDescent="0.2">
      <c r="A948" s="21">
        <v>45957</v>
      </c>
      <c r="B948" s="11">
        <f>+MONTH(A948)</f>
        <v>10</v>
      </c>
      <c r="C948" s="11">
        <f>+WEEKNUM(A948)</f>
        <v>44</v>
      </c>
      <c r="D948" s="4" t="s">
        <v>1844</v>
      </c>
      <c r="E948" s="4" t="s">
        <v>1845</v>
      </c>
      <c r="F948" s="4">
        <v>573208235211</v>
      </c>
      <c r="G948" s="4">
        <v>71971</v>
      </c>
      <c r="H948" s="8" t="s">
        <v>3326</v>
      </c>
      <c r="I948" s="8" t="s">
        <v>3326</v>
      </c>
      <c r="J948" s="4" t="s">
        <v>1846</v>
      </c>
      <c r="K948" s="4"/>
      <c r="M948" s="4"/>
      <c r="N948" s="7"/>
      <c r="O948" s="7"/>
    </row>
    <row r="949" spans="1:15" ht="127.5" x14ac:dyDescent="0.2">
      <c r="A949" s="22">
        <v>45957</v>
      </c>
      <c r="B949" s="11">
        <f>+MONTH(A949)</f>
        <v>10</v>
      </c>
      <c r="C949" s="11">
        <f>+WEEKNUM(A949)</f>
        <v>44</v>
      </c>
      <c r="D949" s="12" t="s">
        <v>1847</v>
      </c>
      <c r="E949" s="12" t="s">
        <v>1848</v>
      </c>
      <c r="F949" s="12">
        <v>573134060590</v>
      </c>
      <c r="G949" s="12">
        <v>71876</v>
      </c>
      <c r="H949" s="12" t="s">
        <v>3326</v>
      </c>
      <c r="I949" s="12" t="s">
        <v>22</v>
      </c>
      <c r="J949" s="12" t="s">
        <v>1849</v>
      </c>
      <c r="K949" s="4" t="s">
        <v>186</v>
      </c>
      <c r="M949" s="4" t="s">
        <v>1850</v>
      </c>
      <c r="N949" s="7"/>
      <c r="O949" s="7"/>
    </row>
    <row r="950" spans="1:15" ht="25.5" x14ac:dyDescent="0.2">
      <c r="A950" s="21">
        <v>45957</v>
      </c>
      <c r="B950" s="11">
        <f>+MONTH(A950)</f>
        <v>10</v>
      </c>
      <c r="C950" s="11">
        <f>+WEEKNUM(A950)</f>
        <v>44</v>
      </c>
      <c r="D950" s="4" t="s">
        <v>1842</v>
      </c>
      <c r="E950" s="4" t="s">
        <v>1843</v>
      </c>
      <c r="F950" s="4">
        <v>573177999184</v>
      </c>
      <c r="G950" s="4">
        <v>71973</v>
      </c>
      <c r="H950" s="8" t="s">
        <v>3326</v>
      </c>
      <c r="I950" s="8" t="s">
        <v>3326</v>
      </c>
      <c r="J950" s="4" t="s">
        <v>13</v>
      </c>
      <c r="K950" s="4"/>
      <c r="M950" s="4"/>
      <c r="N950" s="7"/>
      <c r="O950" s="7"/>
    </row>
    <row r="951" spans="1:15" ht="25.5" x14ac:dyDescent="0.2">
      <c r="A951" s="21">
        <v>45957</v>
      </c>
      <c r="B951" s="11">
        <f>+MONTH(A951)</f>
        <v>10</v>
      </c>
      <c r="C951" s="11">
        <f>+WEEKNUM(A951)</f>
        <v>44</v>
      </c>
      <c r="D951" s="4" t="s">
        <v>1839</v>
      </c>
      <c r="E951" s="4" t="s">
        <v>1840</v>
      </c>
      <c r="F951" s="4">
        <v>573059290085</v>
      </c>
      <c r="G951" s="4">
        <v>72199</v>
      </c>
      <c r="H951" s="8" t="s">
        <v>3326</v>
      </c>
      <c r="I951" s="8" t="s">
        <v>3326</v>
      </c>
      <c r="J951" s="4" t="s">
        <v>1841</v>
      </c>
      <c r="K951" s="4"/>
      <c r="M951" s="4"/>
      <c r="N951" s="7"/>
      <c r="O951" s="7"/>
    </row>
    <row r="952" spans="1:15" ht="12.75" x14ac:dyDescent="0.2">
      <c r="A952" s="21">
        <v>45957</v>
      </c>
      <c r="B952" s="11">
        <f>+MONTH(A952)</f>
        <v>10</v>
      </c>
      <c r="C952" s="11">
        <f>+WEEKNUM(A952)</f>
        <v>44</v>
      </c>
      <c r="D952" s="4" t="s">
        <v>1837</v>
      </c>
      <c r="E952" s="4" t="s">
        <v>1838</v>
      </c>
      <c r="F952" s="4">
        <v>573013043134</v>
      </c>
      <c r="G952" s="4">
        <v>72112</v>
      </c>
      <c r="H952" s="8" t="s">
        <v>3326</v>
      </c>
      <c r="I952" s="8" t="s">
        <v>3326</v>
      </c>
      <c r="J952" s="4"/>
      <c r="K952" s="4"/>
      <c r="M952" s="4"/>
      <c r="N952" s="7"/>
      <c r="O952" s="7"/>
    </row>
    <row r="953" spans="1:15" ht="76.5" x14ac:dyDescent="0.2">
      <c r="A953" s="22">
        <v>45957</v>
      </c>
      <c r="B953" s="11">
        <f>+MONTH(A953)</f>
        <v>10</v>
      </c>
      <c r="C953" s="11">
        <f>+WEEKNUM(A953)</f>
        <v>44</v>
      </c>
      <c r="D953" s="12" t="s">
        <v>1834</v>
      </c>
      <c r="E953" s="12" t="s">
        <v>1835</v>
      </c>
      <c r="F953" s="12">
        <v>573132838429</v>
      </c>
      <c r="G953" s="12">
        <v>72135</v>
      </c>
      <c r="H953" s="12" t="s">
        <v>22</v>
      </c>
      <c r="I953" s="12" t="s">
        <v>22</v>
      </c>
      <c r="J953" s="12" t="s">
        <v>1836</v>
      </c>
      <c r="K953" s="4"/>
      <c r="M953" s="4"/>
      <c r="N953" s="7"/>
      <c r="O953" s="7"/>
    </row>
    <row r="954" spans="1:15" ht="25.5" x14ac:dyDescent="0.2">
      <c r="A954" s="21">
        <v>45957</v>
      </c>
      <c r="B954" s="11">
        <f>+MONTH(A954)</f>
        <v>10</v>
      </c>
      <c r="C954" s="11">
        <f>+WEEKNUM(A954)</f>
        <v>44</v>
      </c>
      <c r="D954" s="4" t="s">
        <v>1832</v>
      </c>
      <c r="E954" s="4" t="s">
        <v>1833</v>
      </c>
      <c r="F954" s="4">
        <v>573123369929</v>
      </c>
      <c r="G954" s="4">
        <v>71923</v>
      </c>
      <c r="H954" s="8" t="s">
        <v>3326</v>
      </c>
      <c r="I954" s="8" t="s">
        <v>3326</v>
      </c>
      <c r="J954" s="4" t="s">
        <v>64</v>
      </c>
      <c r="K954" s="4"/>
      <c r="M954" s="4"/>
      <c r="N954" s="7"/>
      <c r="O954" s="7"/>
    </row>
    <row r="955" spans="1:15" ht="25.5" x14ac:dyDescent="0.2">
      <c r="A955" s="21">
        <v>45955</v>
      </c>
      <c r="B955" s="11">
        <f>+MONTH(A955)</f>
        <v>10</v>
      </c>
      <c r="C955" s="11">
        <f>+WEEKNUM(A955)</f>
        <v>43</v>
      </c>
      <c r="D955" s="4" t="s">
        <v>1640</v>
      </c>
      <c r="E955" s="4" t="s">
        <v>1828</v>
      </c>
      <c r="F955" s="4">
        <v>573057131333</v>
      </c>
      <c r="G955" s="4">
        <v>72119</v>
      </c>
      <c r="H955" s="8" t="s">
        <v>3326</v>
      </c>
      <c r="I955" s="8" t="s">
        <v>3326</v>
      </c>
      <c r="J955" s="4" t="s">
        <v>1829</v>
      </c>
      <c r="K955" s="4"/>
      <c r="M955" s="4"/>
      <c r="N955" s="7"/>
      <c r="O955" s="7"/>
    </row>
    <row r="956" spans="1:15" ht="38.25" x14ac:dyDescent="0.2">
      <c r="A956" s="21">
        <v>45955</v>
      </c>
      <c r="B956" s="11">
        <f>+MONTH(A956)</f>
        <v>10</v>
      </c>
      <c r="C956" s="11">
        <f>+WEEKNUM(A956)</f>
        <v>43</v>
      </c>
      <c r="D956" s="4" t="s">
        <v>1822</v>
      </c>
      <c r="E956" s="4" t="s">
        <v>1823</v>
      </c>
      <c r="F956" s="4">
        <v>573006786580</v>
      </c>
      <c r="G956" s="4">
        <v>71885</v>
      </c>
      <c r="H956" s="8" t="s">
        <v>3326</v>
      </c>
      <c r="I956" s="8" t="s">
        <v>3326</v>
      </c>
      <c r="J956" s="4" t="s">
        <v>1824</v>
      </c>
      <c r="K956" s="4"/>
      <c r="M956" s="4"/>
      <c r="N956" s="7"/>
      <c r="O956" s="7"/>
    </row>
    <row r="957" spans="1:15" ht="25.5" x14ac:dyDescent="0.2">
      <c r="A957" s="21">
        <v>45955</v>
      </c>
      <c r="B957" s="11">
        <f>+MONTH(A957)</f>
        <v>10</v>
      </c>
      <c r="C957" s="11">
        <f>+WEEKNUM(A957)</f>
        <v>43</v>
      </c>
      <c r="D957" s="4" t="s">
        <v>1819</v>
      </c>
      <c r="E957" s="4" t="s">
        <v>1820</v>
      </c>
      <c r="F957" s="4">
        <v>573218213484</v>
      </c>
      <c r="G957" s="4">
        <v>71918</v>
      </c>
      <c r="H957" s="8" t="s">
        <v>3326</v>
      </c>
      <c r="I957" s="8" t="s">
        <v>3326</v>
      </c>
      <c r="J957" s="4" t="s">
        <v>1821</v>
      </c>
      <c r="K957" s="4"/>
      <c r="M957" s="4"/>
      <c r="N957" s="7"/>
      <c r="O957" s="7"/>
    </row>
    <row r="958" spans="1:15" ht="25.5" x14ac:dyDescent="0.2">
      <c r="A958" s="21">
        <v>45955</v>
      </c>
      <c r="B958" s="11">
        <f>+MONTH(A958)</f>
        <v>10</v>
      </c>
      <c r="C958" s="11">
        <f>+WEEKNUM(A958)</f>
        <v>43</v>
      </c>
      <c r="D958" s="4" t="s">
        <v>1817</v>
      </c>
      <c r="E958" s="4" t="s">
        <v>1818</v>
      </c>
      <c r="F958" s="4">
        <v>573115021680</v>
      </c>
      <c r="G958" s="4">
        <v>71580</v>
      </c>
      <c r="H958" s="8" t="s">
        <v>3326</v>
      </c>
      <c r="I958" s="8" t="s">
        <v>3326</v>
      </c>
      <c r="J958" s="4" t="s">
        <v>12</v>
      </c>
      <c r="K958" s="4"/>
      <c r="M958" s="4"/>
      <c r="N958" s="7"/>
      <c r="O958" s="7"/>
    </row>
    <row r="959" spans="1:15" ht="76.5" x14ac:dyDescent="0.2">
      <c r="A959" s="22">
        <v>45955</v>
      </c>
      <c r="B959" s="11">
        <f>+MONTH(A959)</f>
        <v>10</v>
      </c>
      <c r="C959" s="11">
        <f>+WEEKNUM(A959)</f>
        <v>43</v>
      </c>
      <c r="D959" s="12" t="s">
        <v>1762</v>
      </c>
      <c r="E959" s="12" t="s">
        <v>1825</v>
      </c>
      <c r="F959" s="12">
        <v>573213001361</v>
      </c>
      <c r="G959" s="12">
        <v>71264</v>
      </c>
      <c r="H959" s="12" t="s">
        <v>22</v>
      </c>
      <c r="I959" s="12" t="s">
        <v>22</v>
      </c>
      <c r="J959" s="12" t="s">
        <v>1826</v>
      </c>
      <c r="K959" s="4"/>
      <c r="M959" s="4"/>
      <c r="N959" s="7"/>
      <c r="O959" s="7"/>
    </row>
    <row r="960" spans="1:15" ht="12.75" x14ac:dyDescent="0.2">
      <c r="A960" s="21">
        <v>45955</v>
      </c>
      <c r="B960" s="11">
        <f>+MONTH(A960)</f>
        <v>10</v>
      </c>
      <c r="C960" s="11">
        <f>+WEEKNUM(A960)</f>
        <v>43</v>
      </c>
      <c r="D960" s="4" t="s">
        <v>1814</v>
      </c>
      <c r="E960" s="4" t="s">
        <v>1815</v>
      </c>
      <c r="F960" s="4">
        <v>573015420771</v>
      </c>
      <c r="G960" s="4">
        <v>71589</v>
      </c>
      <c r="H960" s="8" t="s">
        <v>3326</v>
      </c>
      <c r="I960" s="8" t="s">
        <v>3326</v>
      </c>
      <c r="J960" s="4" t="s">
        <v>1816</v>
      </c>
      <c r="K960" s="4"/>
      <c r="M960" s="4"/>
      <c r="N960" s="7"/>
      <c r="O960" s="7"/>
    </row>
    <row r="961" spans="1:15" ht="25.5" x14ac:dyDescent="0.2">
      <c r="A961" s="21">
        <v>45955</v>
      </c>
      <c r="B961" s="11">
        <f>+MONTH(A961)</f>
        <v>10</v>
      </c>
      <c r="C961" s="11">
        <f>+WEEKNUM(A961)</f>
        <v>43</v>
      </c>
      <c r="D961" s="4" t="s">
        <v>1830</v>
      </c>
      <c r="E961" s="4" t="s">
        <v>1831</v>
      </c>
      <c r="F961" s="4">
        <v>573168545631</v>
      </c>
      <c r="G961" s="4">
        <v>71567</v>
      </c>
      <c r="H961" s="8" t="s">
        <v>3326</v>
      </c>
      <c r="I961" s="8" t="s">
        <v>3326</v>
      </c>
      <c r="J961" s="4" t="s">
        <v>13</v>
      </c>
      <c r="K961" s="4"/>
      <c r="M961" s="4"/>
      <c r="N961" s="7"/>
      <c r="O961" s="7"/>
    </row>
    <row r="962" spans="1:15" ht="25.5" x14ac:dyDescent="0.2">
      <c r="A962" s="21">
        <v>45955</v>
      </c>
      <c r="B962" s="11">
        <f>+MONTH(A962)</f>
        <v>10</v>
      </c>
      <c r="C962" s="11">
        <f>+WEEKNUM(A962)</f>
        <v>43</v>
      </c>
      <c r="D962" s="4" t="s">
        <v>1803</v>
      </c>
      <c r="E962" s="4" t="s">
        <v>1804</v>
      </c>
      <c r="F962" s="4">
        <v>573192226952</v>
      </c>
      <c r="G962" s="4">
        <v>70194</v>
      </c>
      <c r="H962" s="8" t="s">
        <v>3326</v>
      </c>
      <c r="I962" s="8" t="s">
        <v>3326</v>
      </c>
      <c r="J962" s="4" t="s">
        <v>1805</v>
      </c>
      <c r="K962" s="4"/>
      <c r="M962" s="4"/>
      <c r="N962" s="7"/>
      <c r="O962" s="7"/>
    </row>
    <row r="963" spans="1:15" ht="25.5" x14ac:dyDescent="0.2">
      <c r="A963" s="21">
        <v>45955</v>
      </c>
      <c r="B963" s="11">
        <f>+MONTH(A963)</f>
        <v>10</v>
      </c>
      <c r="C963" s="11">
        <f>+WEEKNUM(A963)</f>
        <v>43</v>
      </c>
      <c r="D963" s="4" t="s">
        <v>1806</v>
      </c>
      <c r="E963" s="4" t="s">
        <v>1807</v>
      </c>
      <c r="F963" s="4">
        <v>573105662833</v>
      </c>
      <c r="G963" s="4">
        <v>71993</v>
      </c>
      <c r="H963" s="8" t="s">
        <v>3326</v>
      </c>
      <c r="I963" s="8" t="s">
        <v>3326</v>
      </c>
      <c r="J963" s="4" t="s">
        <v>1808</v>
      </c>
      <c r="K963" s="4" t="s">
        <v>1809</v>
      </c>
      <c r="M963" s="4" t="s">
        <v>1810</v>
      </c>
      <c r="N963" s="7"/>
      <c r="O963" s="7"/>
    </row>
    <row r="964" spans="1:15" ht="51" x14ac:dyDescent="0.2">
      <c r="A964" s="21">
        <v>45955</v>
      </c>
      <c r="B964" s="11">
        <f>+MONTH(A964)</f>
        <v>10</v>
      </c>
      <c r="C964" s="11">
        <f>+WEEKNUM(A964)</f>
        <v>43</v>
      </c>
      <c r="D964" s="4" t="s">
        <v>1462</v>
      </c>
      <c r="E964" s="4" t="s">
        <v>1801</v>
      </c>
      <c r="F964" s="4">
        <v>573214565030</v>
      </c>
      <c r="G964" s="4">
        <v>70993</v>
      </c>
      <c r="H964" s="8" t="s">
        <v>3326</v>
      </c>
      <c r="I964" s="8" t="s">
        <v>3326</v>
      </c>
      <c r="J964" s="4" t="s">
        <v>1802</v>
      </c>
      <c r="K964" s="4"/>
      <c r="M964" s="4"/>
      <c r="N964" s="7"/>
      <c r="O964" s="7"/>
    </row>
    <row r="965" spans="1:15" ht="25.5" x14ac:dyDescent="0.2">
      <c r="A965" s="21">
        <v>45954</v>
      </c>
      <c r="B965" s="11">
        <f>+MONTH(A965)</f>
        <v>10</v>
      </c>
      <c r="C965" s="11">
        <f>+WEEKNUM(A965)</f>
        <v>43</v>
      </c>
      <c r="D965" s="4" t="s">
        <v>1499</v>
      </c>
      <c r="E965" s="4" t="s">
        <v>1788</v>
      </c>
      <c r="F965" s="4">
        <v>573015260943</v>
      </c>
      <c r="G965" s="4">
        <v>71235</v>
      </c>
      <c r="H965" s="8" t="s">
        <v>3326</v>
      </c>
      <c r="I965" s="8" t="s">
        <v>3326</v>
      </c>
      <c r="J965" s="4" t="s">
        <v>1789</v>
      </c>
      <c r="K965" s="4"/>
      <c r="M965" s="4"/>
      <c r="N965" s="7"/>
      <c r="O965" s="7"/>
    </row>
    <row r="966" spans="1:15" ht="25.5" x14ac:dyDescent="0.2">
      <c r="A966" s="21">
        <v>45954</v>
      </c>
      <c r="B966" s="11">
        <f>+MONTH(A966)</f>
        <v>10</v>
      </c>
      <c r="C966" s="11">
        <f>+WEEKNUM(A966)</f>
        <v>43</v>
      </c>
      <c r="D966" s="4" t="s">
        <v>1796</v>
      </c>
      <c r="E966" s="4" t="s">
        <v>1797</v>
      </c>
      <c r="F966" s="4">
        <v>573022484199</v>
      </c>
      <c r="G966" s="4">
        <v>71996</v>
      </c>
      <c r="H966" s="8" t="s">
        <v>3326</v>
      </c>
      <c r="I966" s="8" t="s">
        <v>3326</v>
      </c>
      <c r="J966" s="4" t="s">
        <v>1798</v>
      </c>
      <c r="K966" s="4"/>
      <c r="M966" s="4"/>
      <c r="N966" s="7"/>
      <c r="O966" s="7"/>
    </row>
    <row r="967" spans="1:15" ht="25.5" x14ac:dyDescent="0.2">
      <c r="A967" s="21">
        <v>45954</v>
      </c>
      <c r="B967" s="11">
        <f>+MONTH(A967)</f>
        <v>10</v>
      </c>
      <c r="C967" s="11">
        <f>+WEEKNUM(A967)</f>
        <v>43</v>
      </c>
      <c r="D967" s="4" t="s">
        <v>1557</v>
      </c>
      <c r="E967" s="4" t="s">
        <v>1558</v>
      </c>
      <c r="F967" s="4">
        <v>573112644003</v>
      </c>
      <c r="G967" s="4">
        <v>72059</v>
      </c>
      <c r="H967" s="8" t="s">
        <v>3326</v>
      </c>
      <c r="I967" s="8" t="s">
        <v>3326</v>
      </c>
      <c r="J967" s="4" t="s">
        <v>1827</v>
      </c>
      <c r="K967" s="4"/>
      <c r="M967" s="4"/>
      <c r="N967" s="7"/>
      <c r="O967" s="7"/>
    </row>
    <row r="968" spans="1:15" ht="51" x14ac:dyDescent="0.2">
      <c r="A968" s="21">
        <v>45954</v>
      </c>
      <c r="B968" s="11">
        <f>+MONTH(A968)</f>
        <v>10</v>
      </c>
      <c r="C968" s="11">
        <f>+WEEKNUM(A968)</f>
        <v>43</v>
      </c>
      <c r="D968" s="4" t="s">
        <v>1473</v>
      </c>
      <c r="E968" s="4" t="s">
        <v>1740</v>
      </c>
      <c r="F968" s="4">
        <v>573164723180</v>
      </c>
      <c r="G968" s="4">
        <v>71114</v>
      </c>
      <c r="H968" s="8" t="s">
        <v>3326</v>
      </c>
      <c r="I968" s="8" t="s">
        <v>3326</v>
      </c>
      <c r="J968" s="4" t="s">
        <v>1741</v>
      </c>
      <c r="K968" s="4"/>
      <c r="M968" s="4"/>
      <c r="N968" s="7"/>
      <c r="O968" s="7"/>
    </row>
    <row r="969" spans="1:15" ht="51" x14ac:dyDescent="0.2">
      <c r="A969" s="21">
        <v>45954</v>
      </c>
      <c r="B969" s="11">
        <f>+MONTH(A969)</f>
        <v>10</v>
      </c>
      <c r="C969" s="11">
        <f>+WEEKNUM(A969)</f>
        <v>43</v>
      </c>
      <c r="D969" s="4" t="s">
        <v>1473</v>
      </c>
      <c r="E969" s="4" t="s">
        <v>1740</v>
      </c>
      <c r="F969" s="4">
        <v>573164723180</v>
      </c>
      <c r="G969" s="4">
        <v>71114</v>
      </c>
      <c r="H969" s="8" t="s">
        <v>3326</v>
      </c>
      <c r="I969" s="8" t="s">
        <v>3326</v>
      </c>
      <c r="J969" s="4" t="s">
        <v>1741</v>
      </c>
      <c r="K969" s="4"/>
      <c r="M969" s="4"/>
      <c r="N969" s="7"/>
      <c r="O969" s="7"/>
    </row>
    <row r="970" spans="1:15" ht="25.5" x14ac:dyDescent="0.2">
      <c r="A970" s="21">
        <v>45954</v>
      </c>
      <c r="B970" s="11">
        <f>+MONTH(A970)</f>
        <v>10</v>
      </c>
      <c r="C970" s="11">
        <f>+WEEKNUM(A970)</f>
        <v>43</v>
      </c>
      <c r="D970" s="4" t="s">
        <v>1790</v>
      </c>
      <c r="E970" s="4" t="s">
        <v>1791</v>
      </c>
      <c r="F970" s="4">
        <v>573112204031</v>
      </c>
      <c r="G970" s="4">
        <v>71509</v>
      </c>
      <c r="H970" s="8" t="s">
        <v>3326</v>
      </c>
      <c r="I970" s="8" t="s">
        <v>3326</v>
      </c>
      <c r="J970" s="4" t="s">
        <v>1792</v>
      </c>
      <c r="K970" s="4"/>
      <c r="M970" s="4"/>
      <c r="N970" s="7"/>
      <c r="O970" s="7"/>
    </row>
    <row r="971" spans="1:15" ht="25.5" x14ac:dyDescent="0.2">
      <c r="A971" s="21">
        <v>45954</v>
      </c>
      <c r="B971" s="11">
        <f>+MONTH(A971)</f>
        <v>10</v>
      </c>
      <c r="C971" s="11">
        <f>+WEEKNUM(A971)</f>
        <v>43</v>
      </c>
      <c r="D971" s="4" t="s">
        <v>1799</v>
      </c>
      <c r="E971" s="4" t="s">
        <v>1800</v>
      </c>
      <c r="F971" s="4">
        <v>573213776633</v>
      </c>
      <c r="G971" s="4">
        <v>71513</v>
      </c>
      <c r="H971" s="8" t="s">
        <v>3326</v>
      </c>
      <c r="I971" s="8" t="s">
        <v>3326</v>
      </c>
      <c r="J971" s="4"/>
      <c r="K971" s="4"/>
      <c r="M971" s="4"/>
      <c r="N971" s="7"/>
      <c r="O971" s="7"/>
    </row>
    <row r="972" spans="1:15" ht="25.5" x14ac:dyDescent="0.2">
      <c r="A972" s="21">
        <v>45954</v>
      </c>
      <c r="B972" s="11">
        <f>+MONTH(A972)</f>
        <v>10</v>
      </c>
      <c r="C972" s="11">
        <f>+WEEKNUM(A972)</f>
        <v>43</v>
      </c>
      <c r="D972" s="4" t="s">
        <v>1785</v>
      </c>
      <c r="E972" s="4" t="s">
        <v>1786</v>
      </c>
      <c r="F972" s="4">
        <v>573005481546</v>
      </c>
      <c r="G972" s="4">
        <v>71879</v>
      </c>
      <c r="H972" s="8" t="s">
        <v>3326</v>
      </c>
      <c r="I972" s="8" t="s">
        <v>3326</v>
      </c>
      <c r="J972" s="4" t="s">
        <v>1787</v>
      </c>
      <c r="K972" s="4"/>
      <c r="M972" s="4"/>
      <c r="N972" s="7"/>
      <c r="O972" s="7"/>
    </row>
    <row r="973" spans="1:15" ht="25.5" x14ac:dyDescent="0.2">
      <c r="A973" s="21">
        <v>45954</v>
      </c>
      <c r="B973" s="11">
        <f>+MONTH(A973)</f>
        <v>10</v>
      </c>
      <c r="C973" s="11">
        <f>+WEEKNUM(A973)</f>
        <v>43</v>
      </c>
      <c r="D973" s="4" t="s">
        <v>1782</v>
      </c>
      <c r="E973" s="4" t="s">
        <v>1783</v>
      </c>
      <c r="F973" s="4">
        <v>573142380098</v>
      </c>
      <c r="G973" s="4">
        <v>71967</v>
      </c>
      <c r="H973" s="8" t="s">
        <v>3326</v>
      </c>
      <c r="I973" s="8" t="s">
        <v>3326</v>
      </c>
      <c r="J973" s="4" t="s">
        <v>1784</v>
      </c>
      <c r="K973" s="4"/>
      <c r="M973" s="4"/>
      <c r="N973" s="7"/>
      <c r="O973" s="7"/>
    </row>
    <row r="974" spans="1:15" ht="25.5" x14ac:dyDescent="0.2">
      <c r="A974" s="21">
        <v>45954</v>
      </c>
      <c r="B974" s="11">
        <f>+MONTH(A974)</f>
        <v>10</v>
      </c>
      <c r="C974" s="11">
        <f>+WEEKNUM(A974)</f>
        <v>43</v>
      </c>
      <c r="D974" s="38" t="s">
        <v>1793</v>
      </c>
      <c r="E974" s="38" t="s">
        <v>1794</v>
      </c>
      <c r="F974" s="38">
        <v>573052096777</v>
      </c>
      <c r="G974" s="38">
        <v>71598</v>
      </c>
      <c r="H974" s="39" t="s">
        <v>3325</v>
      </c>
      <c r="I974" s="39" t="s">
        <v>3325</v>
      </c>
      <c r="J974" s="38" t="s">
        <v>1795</v>
      </c>
      <c r="K974" s="4"/>
      <c r="M974" s="4"/>
      <c r="N974" s="7"/>
      <c r="O974" s="7"/>
    </row>
    <row r="975" spans="1:15" ht="25.5" x14ac:dyDescent="0.2">
      <c r="A975" s="21">
        <v>45954</v>
      </c>
      <c r="B975" s="11">
        <f>+MONTH(A975)</f>
        <v>10</v>
      </c>
      <c r="C975" s="11">
        <f>+WEEKNUM(A975)</f>
        <v>43</v>
      </c>
      <c r="D975" s="4" t="s">
        <v>1780</v>
      </c>
      <c r="E975" s="4" t="s">
        <v>1781</v>
      </c>
      <c r="F975" s="4">
        <v>573192258298</v>
      </c>
      <c r="G975" s="4">
        <v>71777</v>
      </c>
      <c r="H975" s="8" t="s">
        <v>3326</v>
      </c>
      <c r="I975" s="8" t="s">
        <v>3326</v>
      </c>
      <c r="J975" s="4"/>
      <c r="K975" s="4"/>
      <c r="M975" s="4"/>
      <c r="N975" s="7"/>
      <c r="O975" s="7"/>
    </row>
    <row r="976" spans="1:15" ht="25.5" x14ac:dyDescent="0.2">
      <c r="A976" s="21">
        <v>45954</v>
      </c>
      <c r="B976" s="11">
        <f>+MONTH(A976)</f>
        <v>10</v>
      </c>
      <c r="C976" s="11">
        <f>+WEEKNUM(A976)</f>
        <v>43</v>
      </c>
      <c r="D976" s="4" t="s">
        <v>1778</v>
      </c>
      <c r="E976" s="4" t="s">
        <v>1779</v>
      </c>
      <c r="F976" s="4">
        <v>573202554316</v>
      </c>
      <c r="G976" s="4">
        <v>71969</v>
      </c>
      <c r="H976" s="8" t="s">
        <v>3326</v>
      </c>
      <c r="I976" s="8" t="s">
        <v>3326</v>
      </c>
      <c r="J976" s="4" t="s">
        <v>13</v>
      </c>
      <c r="K976" s="4"/>
      <c r="M976" s="4"/>
      <c r="N976" s="7"/>
      <c r="O976" s="7"/>
    </row>
    <row r="977" spans="1:15" ht="25.5" x14ac:dyDescent="0.2">
      <c r="A977" s="21">
        <v>45954</v>
      </c>
      <c r="B977" s="11">
        <f>+MONTH(A977)</f>
        <v>10</v>
      </c>
      <c r="C977" s="11">
        <f>+WEEKNUM(A977)</f>
        <v>43</v>
      </c>
      <c r="D977" s="4" t="s">
        <v>1772</v>
      </c>
      <c r="E977" s="4" t="s">
        <v>1773</v>
      </c>
      <c r="F977" s="4">
        <v>573105585562</v>
      </c>
      <c r="G977" s="4">
        <v>71999</v>
      </c>
      <c r="H977" s="8" t="s">
        <v>3326</v>
      </c>
      <c r="I977" s="8" t="s">
        <v>3326</v>
      </c>
      <c r="J977" s="4" t="s">
        <v>1774</v>
      </c>
      <c r="K977" s="4"/>
      <c r="M977" s="4"/>
      <c r="N977" s="7"/>
      <c r="O977" s="7"/>
    </row>
    <row r="978" spans="1:15" ht="38.25" x14ac:dyDescent="0.2">
      <c r="A978" s="21">
        <v>45954</v>
      </c>
      <c r="B978" s="11">
        <f>+MONTH(A978)</f>
        <v>10</v>
      </c>
      <c r="C978" s="11">
        <f>+WEEKNUM(A978)</f>
        <v>43</v>
      </c>
      <c r="D978" s="4" t="s">
        <v>1770</v>
      </c>
      <c r="E978" s="4" t="s">
        <v>1770</v>
      </c>
      <c r="F978" s="4">
        <v>573006949362</v>
      </c>
      <c r="G978" s="4">
        <v>71343</v>
      </c>
      <c r="H978" s="8" t="s">
        <v>3326</v>
      </c>
      <c r="I978" s="8" t="s">
        <v>3326</v>
      </c>
      <c r="J978" s="4" t="s">
        <v>1771</v>
      </c>
      <c r="K978" s="4"/>
      <c r="M978" s="4"/>
      <c r="N978" s="7"/>
      <c r="O978" s="7"/>
    </row>
    <row r="979" spans="1:15" ht="12.75" x14ac:dyDescent="0.2">
      <c r="A979" s="21">
        <v>45954</v>
      </c>
      <c r="B979" s="11">
        <f>+MONTH(A979)</f>
        <v>10</v>
      </c>
      <c r="C979" s="11">
        <f>+WEEKNUM(A979)</f>
        <v>43</v>
      </c>
      <c r="D979" s="4" t="s">
        <v>1775</v>
      </c>
      <c r="E979" s="4" t="s">
        <v>1776</v>
      </c>
      <c r="F979" s="4">
        <v>573192080761</v>
      </c>
      <c r="G979" s="4">
        <v>71957</v>
      </c>
      <c r="H979" s="8" t="s">
        <v>3326</v>
      </c>
      <c r="I979" s="8" t="s">
        <v>3326</v>
      </c>
      <c r="J979" s="4" t="s">
        <v>1777</v>
      </c>
      <c r="K979" s="4"/>
      <c r="M979" s="4"/>
      <c r="N979" s="7"/>
      <c r="O979" s="7"/>
    </row>
    <row r="980" spans="1:15" ht="25.5" x14ac:dyDescent="0.2">
      <c r="A980" s="21">
        <v>45954</v>
      </c>
      <c r="B980" s="11">
        <f>+MONTH(A980)</f>
        <v>10</v>
      </c>
      <c r="C980" s="11">
        <f>+WEEKNUM(A980)</f>
        <v>43</v>
      </c>
      <c r="D980" s="4" t="s">
        <v>1811</v>
      </c>
      <c r="E980" s="4" t="s">
        <v>1812</v>
      </c>
      <c r="F980" s="4">
        <v>573057087065</v>
      </c>
      <c r="G980" s="4">
        <v>71869</v>
      </c>
      <c r="H980" s="8" t="s">
        <v>3326</v>
      </c>
      <c r="I980" s="8" t="s">
        <v>3326</v>
      </c>
      <c r="J980" s="4" t="s">
        <v>1813</v>
      </c>
      <c r="K980" s="4"/>
      <c r="M980" s="4"/>
      <c r="N980" s="7"/>
      <c r="O980" s="7"/>
    </row>
    <row r="981" spans="1:15" ht="25.5" x14ac:dyDescent="0.2">
      <c r="A981" s="21">
        <v>45954</v>
      </c>
      <c r="B981" s="11">
        <f>+MONTH(A981)</f>
        <v>10</v>
      </c>
      <c r="C981" s="11">
        <f>+WEEKNUM(A981)</f>
        <v>43</v>
      </c>
      <c r="D981" s="4" t="s">
        <v>1767</v>
      </c>
      <c r="E981" s="4" t="s">
        <v>1768</v>
      </c>
      <c r="F981" s="4">
        <v>573007184360</v>
      </c>
      <c r="G981" s="4">
        <v>72023</v>
      </c>
      <c r="H981" s="8" t="s">
        <v>3326</v>
      </c>
      <c r="I981" s="8" t="s">
        <v>3326</v>
      </c>
      <c r="J981" s="4" t="s">
        <v>1769</v>
      </c>
      <c r="K981" s="4"/>
      <c r="M981" s="4"/>
      <c r="N981" s="7"/>
      <c r="O981" s="7"/>
    </row>
    <row r="982" spans="1:15" ht="25.5" x14ac:dyDescent="0.2">
      <c r="A982" s="21">
        <v>45953</v>
      </c>
      <c r="B982" s="11">
        <f>+MONTH(A982)</f>
        <v>10</v>
      </c>
      <c r="C982" s="11">
        <f>+WEEKNUM(A982)</f>
        <v>43</v>
      </c>
      <c r="D982" s="4" t="s">
        <v>1640</v>
      </c>
      <c r="E982" s="4" t="s">
        <v>1765</v>
      </c>
      <c r="F982" s="4">
        <v>573046259804</v>
      </c>
      <c r="G982" s="4">
        <v>71811</v>
      </c>
      <c r="H982" s="8" t="s">
        <v>3326</v>
      </c>
      <c r="I982" s="8" t="s">
        <v>22</v>
      </c>
      <c r="J982" s="4" t="s">
        <v>1766</v>
      </c>
      <c r="K982" s="4"/>
      <c r="M982" s="4"/>
      <c r="N982" s="7"/>
      <c r="O982" s="7"/>
    </row>
    <row r="983" spans="1:15" ht="25.5" x14ac:dyDescent="0.2">
      <c r="A983" s="21">
        <v>45953</v>
      </c>
      <c r="B983" s="11">
        <f>+MONTH(A983)</f>
        <v>10</v>
      </c>
      <c r="C983" s="11">
        <f>+WEEKNUM(A983)</f>
        <v>43</v>
      </c>
      <c r="D983" s="4" t="s">
        <v>1760</v>
      </c>
      <c r="E983" s="4" t="s">
        <v>1761</v>
      </c>
      <c r="F983" s="4">
        <v>573173700552</v>
      </c>
      <c r="G983" s="4">
        <v>71884</v>
      </c>
      <c r="H983" s="8" t="s">
        <v>3326</v>
      </c>
      <c r="I983" s="8" t="s">
        <v>3326</v>
      </c>
      <c r="J983" s="4" t="s">
        <v>64</v>
      </c>
      <c r="K983" s="4"/>
      <c r="M983" s="4"/>
      <c r="N983" s="7"/>
      <c r="O983" s="7"/>
    </row>
    <row r="984" spans="1:15" ht="25.5" x14ac:dyDescent="0.2">
      <c r="A984" s="21">
        <v>45953</v>
      </c>
      <c r="B984" s="11">
        <f>+MONTH(A984)</f>
        <v>10</v>
      </c>
      <c r="C984" s="11">
        <f>+WEEKNUM(A984)</f>
        <v>43</v>
      </c>
      <c r="D984" s="4" t="s">
        <v>1758</v>
      </c>
      <c r="E984" s="4" t="s">
        <v>1759</v>
      </c>
      <c r="F984" s="4">
        <v>573025448493</v>
      </c>
      <c r="G984" s="4">
        <v>71702</v>
      </c>
      <c r="H984" s="8" t="s">
        <v>3326</v>
      </c>
      <c r="I984" s="8" t="s">
        <v>3326</v>
      </c>
      <c r="J984" s="4"/>
      <c r="K984" s="4"/>
      <c r="M984" s="4"/>
      <c r="N984" s="7"/>
      <c r="O984" s="7"/>
    </row>
    <row r="985" spans="1:15" ht="25.5" x14ac:dyDescent="0.2">
      <c r="A985" s="21">
        <v>45953</v>
      </c>
      <c r="B985" s="11">
        <f>+MONTH(A985)</f>
        <v>10</v>
      </c>
      <c r="C985" s="11">
        <f>+WEEKNUM(A985)</f>
        <v>43</v>
      </c>
      <c r="D985" s="4" t="s">
        <v>1752</v>
      </c>
      <c r="E985" s="4" t="s">
        <v>1753</v>
      </c>
      <c r="F985" s="4">
        <v>573158990871</v>
      </c>
      <c r="G985" s="4">
        <v>71775</v>
      </c>
      <c r="H985" s="8" t="s">
        <v>3326</v>
      </c>
      <c r="I985" s="8" t="s">
        <v>3326</v>
      </c>
      <c r="J985" s="4" t="s">
        <v>1754</v>
      </c>
      <c r="K985" s="4"/>
      <c r="M985" s="4"/>
      <c r="N985" s="7"/>
      <c r="O985" s="7"/>
    </row>
    <row r="986" spans="1:15" ht="25.5" x14ac:dyDescent="0.2">
      <c r="A986" s="21">
        <v>45953</v>
      </c>
      <c r="B986" s="11">
        <f>+MONTH(A986)</f>
        <v>10</v>
      </c>
      <c r="C986" s="11">
        <f>+WEEKNUM(A986)</f>
        <v>43</v>
      </c>
      <c r="D986" s="4" t="s">
        <v>1755</v>
      </c>
      <c r="E986" s="4" t="s">
        <v>1756</v>
      </c>
      <c r="F986" s="4">
        <v>573204490943</v>
      </c>
      <c r="G986" s="4">
        <v>71868</v>
      </c>
      <c r="H986" s="8" t="s">
        <v>3326</v>
      </c>
      <c r="I986" s="8" t="s">
        <v>3326</v>
      </c>
      <c r="J986" s="4" t="s">
        <v>1757</v>
      </c>
      <c r="K986" s="4"/>
      <c r="M986" s="4"/>
      <c r="N986" s="7"/>
      <c r="O986" s="7"/>
    </row>
    <row r="987" spans="1:15" ht="12.75" x14ac:dyDescent="0.2">
      <c r="A987" s="21">
        <v>45953</v>
      </c>
      <c r="B987" s="11">
        <f>+MONTH(A987)</f>
        <v>10</v>
      </c>
      <c r="C987" s="11">
        <f>+WEEKNUM(A987)</f>
        <v>43</v>
      </c>
      <c r="D987" s="4" t="s">
        <v>1670</v>
      </c>
      <c r="E987" s="4" t="s">
        <v>1750</v>
      </c>
      <c r="F987" s="4">
        <v>573134221637</v>
      </c>
      <c r="G987" s="4">
        <v>71824</v>
      </c>
      <c r="H987" s="8" t="s">
        <v>3326</v>
      </c>
      <c r="I987" s="8" t="s">
        <v>3326</v>
      </c>
      <c r="J987" s="4" t="s">
        <v>1751</v>
      </c>
      <c r="K987" s="4"/>
      <c r="M987" s="4"/>
      <c r="N987" s="7"/>
      <c r="O987" s="7"/>
    </row>
    <row r="988" spans="1:15" ht="25.5" x14ac:dyDescent="0.2">
      <c r="A988" s="21">
        <v>45953</v>
      </c>
      <c r="B988" s="11">
        <f>+MONTH(A988)</f>
        <v>10</v>
      </c>
      <c r="C988" s="11">
        <f>+WEEKNUM(A988)</f>
        <v>43</v>
      </c>
      <c r="D988" s="4" t="s">
        <v>1747</v>
      </c>
      <c r="E988" s="4" t="s">
        <v>1748</v>
      </c>
      <c r="F988" s="4">
        <v>573228136150</v>
      </c>
      <c r="G988" s="4">
        <v>71941</v>
      </c>
      <c r="H988" s="8" t="s">
        <v>3326</v>
      </c>
      <c r="I988" s="8" t="s">
        <v>3326</v>
      </c>
      <c r="J988" s="4" t="s">
        <v>1749</v>
      </c>
      <c r="K988" s="4"/>
      <c r="M988" s="4"/>
      <c r="N988" s="7"/>
      <c r="O988" s="7"/>
    </row>
    <row r="989" spans="1:15" ht="51" x14ac:dyDescent="0.2">
      <c r="A989" s="21">
        <v>45953</v>
      </c>
      <c r="B989" s="11">
        <f>+MONTH(A989)</f>
        <v>10</v>
      </c>
      <c r="C989" s="11">
        <f>+WEEKNUM(A989)</f>
        <v>43</v>
      </c>
      <c r="D989" s="4" t="s">
        <v>1744</v>
      </c>
      <c r="E989" s="4" t="s">
        <v>1745</v>
      </c>
      <c r="F989" s="4">
        <v>573002153669</v>
      </c>
      <c r="G989" s="4">
        <v>71803</v>
      </c>
      <c r="H989" s="8" t="s">
        <v>3326</v>
      </c>
      <c r="I989" s="8" t="s">
        <v>3326</v>
      </c>
      <c r="J989" s="4" t="s">
        <v>1746</v>
      </c>
      <c r="K989" s="4"/>
      <c r="M989" s="4"/>
      <c r="N989" s="7"/>
      <c r="O989" s="7"/>
    </row>
    <row r="990" spans="1:15" ht="51" x14ac:dyDescent="0.2">
      <c r="A990" s="21">
        <v>45953</v>
      </c>
      <c r="B990" s="11">
        <f>+MONTH(A990)</f>
        <v>10</v>
      </c>
      <c r="C990" s="11">
        <f>+WEEKNUM(A990)</f>
        <v>43</v>
      </c>
      <c r="D990" s="4" t="s">
        <v>1473</v>
      </c>
      <c r="E990" s="4" t="s">
        <v>1740</v>
      </c>
      <c r="F990" s="4">
        <v>573164723180</v>
      </c>
      <c r="G990" s="4">
        <v>71822</v>
      </c>
      <c r="H990" s="8" t="s">
        <v>3326</v>
      </c>
      <c r="I990" s="8" t="s">
        <v>3326</v>
      </c>
      <c r="J990" s="4" t="s">
        <v>1741</v>
      </c>
      <c r="K990" s="4"/>
      <c r="M990" s="4"/>
      <c r="N990" s="7"/>
      <c r="O990" s="7"/>
    </row>
    <row r="991" spans="1:15" ht="25.5" x14ac:dyDescent="0.2">
      <c r="A991" s="21">
        <v>45953</v>
      </c>
      <c r="B991" s="11">
        <f>+MONTH(A991)</f>
        <v>10</v>
      </c>
      <c r="C991" s="11">
        <f>+WEEKNUM(A991)</f>
        <v>43</v>
      </c>
      <c r="D991" s="4" t="s">
        <v>1734</v>
      </c>
      <c r="E991" s="4" t="s">
        <v>1735</v>
      </c>
      <c r="F991" s="4">
        <v>573057300010</v>
      </c>
      <c r="G991" s="4">
        <v>71948</v>
      </c>
      <c r="H991" s="8" t="s">
        <v>3326</v>
      </c>
      <c r="I991" s="8" t="s">
        <v>3326</v>
      </c>
      <c r="J991" s="4" t="s">
        <v>1736</v>
      </c>
      <c r="K991" s="4"/>
      <c r="M991" s="4"/>
      <c r="N991" s="7"/>
      <c r="O991" s="7"/>
    </row>
    <row r="992" spans="1:15" ht="38.25" x14ac:dyDescent="0.2">
      <c r="A992" s="21">
        <v>45953</v>
      </c>
      <c r="B992" s="11">
        <f>+MONTH(A992)</f>
        <v>10</v>
      </c>
      <c r="C992" s="11">
        <f>+WEEKNUM(A992)</f>
        <v>43</v>
      </c>
      <c r="D992" s="4" t="s">
        <v>1737</v>
      </c>
      <c r="E992" s="4" t="s">
        <v>1738</v>
      </c>
      <c r="F992" s="4">
        <v>573174022362</v>
      </c>
      <c r="G992" s="4">
        <v>71362</v>
      </c>
      <c r="H992" s="8" t="s">
        <v>22</v>
      </c>
      <c r="I992" s="8" t="s">
        <v>3325</v>
      </c>
      <c r="J992" s="4" t="s">
        <v>1739</v>
      </c>
      <c r="K992" s="4"/>
      <c r="M992" s="4"/>
      <c r="N992" s="7"/>
      <c r="O992" s="7"/>
    </row>
    <row r="993" spans="1:15" ht="25.5" x14ac:dyDescent="0.2">
      <c r="A993" s="21">
        <v>45953</v>
      </c>
      <c r="B993" s="11">
        <f>+MONTH(A993)</f>
        <v>10</v>
      </c>
      <c r="C993" s="11">
        <f>+WEEKNUM(A993)</f>
        <v>43</v>
      </c>
      <c r="D993" s="4" t="s">
        <v>1742</v>
      </c>
      <c r="E993" s="4" t="s">
        <v>1743</v>
      </c>
      <c r="F993" s="4">
        <v>573203110804</v>
      </c>
      <c r="G993" s="4">
        <v>71692</v>
      </c>
      <c r="H993" s="8" t="s">
        <v>3326</v>
      </c>
      <c r="I993" s="8" t="s">
        <v>3326</v>
      </c>
      <c r="J993" s="4"/>
      <c r="K993" s="4"/>
      <c r="M993" s="4"/>
      <c r="N993" s="7"/>
      <c r="O993" s="7"/>
    </row>
    <row r="994" spans="1:15" ht="25.5" x14ac:dyDescent="0.2">
      <c r="A994" s="21">
        <v>45953</v>
      </c>
      <c r="B994" s="11">
        <f>+MONTH(A994)</f>
        <v>10</v>
      </c>
      <c r="C994" s="11">
        <f>+WEEKNUM(A994)</f>
        <v>43</v>
      </c>
      <c r="D994" s="4" t="s">
        <v>1732</v>
      </c>
      <c r="E994" s="4" t="s">
        <v>1733</v>
      </c>
      <c r="F994" s="4">
        <v>573107173832</v>
      </c>
      <c r="G994" s="4">
        <v>71797</v>
      </c>
      <c r="H994" s="8" t="s">
        <v>3326</v>
      </c>
      <c r="I994" s="8" t="s">
        <v>3326</v>
      </c>
      <c r="J994" s="4" t="s">
        <v>39</v>
      </c>
      <c r="K994" s="4"/>
      <c r="M994" s="4"/>
      <c r="N994" s="7"/>
      <c r="O994" s="7"/>
    </row>
    <row r="995" spans="1:15" ht="38.25" x14ac:dyDescent="0.2">
      <c r="A995" s="21">
        <v>45953</v>
      </c>
      <c r="B995" s="11">
        <f>+MONTH(A995)</f>
        <v>10</v>
      </c>
      <c r="C995" s="11">
        <f>+WEEKNUM(A995)</f>
        <v>43</v>
      </c>
      <c r="D995" s="4" t="s">
        <v>1729</v>
      </c>
      <c r="E995" s="4" t="s">
        <v>1730</v>
      </c>
      <c r="F995" s="4">
        <v>573053625713</v>
      </c>
      <c r="G995" s="4">
        <v>71842</v>
      </c>
      <c r="H995" s="8" t="s">
        <v>22</v>
      </c>
      <c r="I995" s="8" t="s">
        <v>22</v>
      </c>
      <c r="J995" s="4" t="s">
        <v>1731</v>
      </c>
      <c r="K995" s="4"/>
      <c r="M995" s="4"/>
      <c r="N995" s="7"/>
      <c r="O995" s="7"/>
    </row>
    <row r="996" spans="1:15" ht="25.5" x14ac:dyDescent="0.2">
      <c r="A996" s="21">
        <v>45953</v>
      </c>
      <c r="B996" s="11">
        <f>+MONTH(A996)</f>
        <v>10</v>
      </c>
      <c r="C996" s="11">
        <f>+WEEKNUM(A996)</f>
        <v>43</v>
      </c>
      <c r="D996" s="4" t="s">
        <v>1726</v>
      </c>
      <c r="E996" s="4" t="s">
        <v>1727</v>
      </c>
      <c r="F996" s="4">
        <v>573142377987</v>
      </c>
      <c r="G996" s="4">
        <v>71780</v>
      </c>
      <c r="H996" s="8" t="s">
        <v>3326</v>
      </c>
      <c r="I996" s="8" t="s">
        <v>3326</v>
      </c>
      <c r="J996" s="4" t="s">
        <v>1728</v>
      </c>
      <c r="K996" s="4"/>
      <c r="M996" s="4"/>
      <c r="N996" s="7"/>
      <c r="O996" s="7"/>
    </row>
    <row r="997" spans="1:15" ht="25.5" x14ac:dyDescent="0.2">
      <c r="A997" s="21">
        <v>45953</v>
      </c>
      <c r="B997" s="11">
        <f>+MONTH(A997)</f>
        <v>10</v>
      </c>
      <c r="C997" s="11">
        <f>+WEEKNUM(A997)</f>
        <v>43</v>
      </c>
      <c r="D997" s="4" t="s">
        <v>1723</v>
      </c>
      <c r="E997" s="4" t="s">
        <v>1724</v>
      </c>
      <c r="F997" s="4">
        <v>573205725218</v>
      </c>
      <c r="G997" s="4">
        <v>71718</v>
      </c>
      <c r="H997" s="8" t="s">
        <v>3326</v>
      </c>
      <c r="I997" s="8" t="s">
        <v>3326</v>
      </c>
      <c r="J997" s="4" t="s">
        <v>1725</v>
      </c>
      <c r="K997" s="4"/>
      <c r="M997" s="4"/>
      <c r="N997" s="7"/>
      <c r="O997" s="7"/>
    </row>
    <row r="998" spans="1:15" ht="25.5" x14ac:dyDescent="0.2">
      <c r="A998" s="21">
        <v>45953</v>
      </c>
      <c r="B998" s="11">
        <f>+MONTH(A998)</f>
        <v>10</v>
      </c>
      <c r="C998" s="11">
        <f>+WEEKNUM(A998)</f>
        <v>43</v>
      </c>
      <c r="D998" s="4" t="s">
        <v>1720</v>
      </c>
      <c r="E998" s="4" t="s">
        <v>1721</v>
      </c>
      <c r="F998" s="4">
        <v>573012552644</v>
      </c>
      <c r="G998" s="4">
        <v>71771</v>
      </c>
      <c r="H998" s="8" t="s">
        <v>3326</v>
      </c>
      <c r="I998" s="8" t="s">
        <v>3326</v>
      </c>
      <c r="J998" s="4" t="s">
        <v>1722</v>
      </c>
      <c r="K998" s="4"/>
      <c r="M998" s="4"/>
      <c r="N998" s="7"/>
      <c r="O998" s="7"/>
    </row>
    <row r="999" spans="1:15" ht="12.75" x14ac:dyDescent="0.2">
      <c r="A999" s="21">
        <v>45953</v>
      </c>
      <c r="B999" s="11">
        <f>+MONTH(A999)</f>
        <v>10</v>
      </c>
      <c r="C999" s="11">
        <f>+WEEKNUM(A999)</f>
        <v>43</v>
      </c>
      <c r="D999" s="4" t="s">
        <v>1717</v>
      </c>
      <c r="E999" s="4" t="s">
        <v>1718</v>
      </c>
      <c r="F999" s="4">
        <v>573143718658</v>
      </c>
      <c r="G999" s="4">
        <v>71675</v>
      </c>
      <c r="H999" s="8" t="s">
        <v>3326</v>
      </c>
      <c r="I999" s="8" t="s">
        <v>3326</v>
      </c>
      <c r="J999" s="4" t="s">
        <v>1719</v>
      </c>
      <c r="K999" s="4"/>
      <c r="M999" s="4"/>
      <c r="N999" s="7"/>
      <c r="O999" s="7"/>
    </row>
    <row r="1000" spans="1:15" ht="25.5" x14ac:dyDescent="0.2">
      <c r="A1000" s="21">
        <v>45953</v>
      </c>
      <c r="B1000" s="11">
        <f>+MONTH(A1000)</f>
        <v>10</v>
      </c>
      <c r="C1000" s="11">
        <f>+WEEKNUM(A1000)</f>
        <v>43</v>
      </c>
      <c r="D1000" s="4" t="s">
        <v>1762</v>
      </c>
      <c r="E1000" s="4" t="s">
        <v>1763</v>
      </c>
      <c r="F1000" s="4">
        <v>573154771538</v>
      </c>
      <c r="G1000" s="4">
        <v>71520</v>
      </c>
      <c r="H1000" s="8" t="s">
        <v>3326</v>
      </c>
      <c r="I1000" s="8" t="s">
        <v>3326</v>
      </c>
      <c r="J1000" s="4" t="s">
        <v>1764</v>
      </c>
      <c r="K1000" s="4"/>
      <c r="M1000" s="4"/>
      <c r="N1000" s="7"/>
      <c r="O1000" s="7"/>
    </row>
    <row r="1001" spans="1:15" ht="25.5" x14ac:dyDescent="0.2">
      <c r="A1001" s="21">
        <v>45953</v>
      </c>
      <c r="B1001" s="11">
        <f>+MONTH(A1001)</f>
        <v>10</v>
      </c>
      <c r="C1001" s="11">
        <f>+WEEKNUM(A1001)</f>
        <v>43</v>
      </c>
      <c r="D1001" s="4" t="s">
        <v>1715</v>
      </c>
      <c r="E1001" s="4" t="s">
        <v>1716</v>
      </c>
      <c r="F1001" s="4">
        <v>573108213734</v>
      </c>
      <c r="G1001" s="4">
        <v>71751</v>
      </c>
      <c r="H1001" s="8" t="s">
        <v>3326</v>
      </c>
      <c r="I1001" s="8" t="s">
        <v>3326</v>
      </c>
      <c r="J1001" s="4" t="s">
        <v>501</v>
      </c>
      <c r="K1001" s="4"/>
      <c r="M1001" s="4"/>
      <c r="N1001" s="7"/>
      <c r="O1001" s="7"/>
    </row>
    <row r="1002" spans="1:15" ht="25.5" x14ac:dyDescent="0.2">
      <c r="A1002" s="21">
        <v>45952</v>
      </c>
      <c r="B1002" s="11">
        <f>+MONTH(A1002)</f>
        <v>10</v>
      </c>
      <c r="C1002" s="11">
        <f>+WEEKNUM(A1002)</f>
        <v>43</v>
      </c>
      <c r="D1002" s="4" t="s">
        <v>1707</v>
      </c>
      <c r="E1002" s="4" t="s">
        <v>1708</v>
      </c>
      <c r="F1002" s="4">
        <v>573003704143</v>
      </c>
      <c r="G1002" s="4">
        <v>71852</v>
      </c>
      <c r="H1002" s="8" t="s">
        <v>3326</v>
      </c>
      <c r="I1002" s="8" t="s">
        <v>3326</v>
      </c>
      <c r="J1002" s="4"/>
      <c r="K1002" s="4"/>
      <c r="M1002" s="4"/>
      <c r="N1002" s="7"/>
      <c r="O1002" s="7"/>
    </row>
    <row r="1003" spans="1:15" ht="25.5" x14ac:dyDescent="0.2">
      <c r="A1003" s="21">
        <v>45952</v>
      </c>
      <c r="B1003" s="11">
        <f>+MONTH(A1003)</f>
        <v>10</v>
      </c>
      <c r="C1003" s="11">
        <f>+WEEKNUM(A1003)</f>
        <v>43</v>
      </c>
      <c r="D1003" s="4" t="s">
        <v>1707</v>
      </c>
      <c r="E1003" s="4" t="s">
        <v>1708</v>
      </c>
      <c r="F1003" s="4">
        <v>573003704143</v>
      </c>
      <c r="G1003" s="4">
        <v>71852</v>
      </c>
      <c r="H1003" s="8" t="s">
        <v>3326</v>
      </c>
      <c r="I1003" s="8" t="s">
        <v>3326</v>
      </c>
      <c r="J1003" s="4" t="s">
        <v>1711</v>
      </c>
      <c r="K1003" s="4"/>
      <c r="M1003" s="4"/>
      <c r="N1003" s="7"/>
      <c r="O1003" s="7"/>
    </row>
    <row r="1004" spans="1:15" ht="63.75" x14ac:dyDescent="0.2">
      <c r="A1004" s="21">
        <v>45952</v>
      </c>
      <c r="B1004" s="11">
        <f>+MONTH(A1004)</f>
        <v>10</v>
      </c>
      <c r="C1004" s="11">
        <f>+WEEKNUM(A1004)</f>
        <v>43</v>
      </c>
      <c r="D1004" s="4" t="s">
        <v>1712</v>
      </c>
      <c r="E1004" s="4" t="s">
        <v>1713</v>
      </c>
      <c r="F1004" s="4">
        <v>573152952029</v>
      </c>
      <c r="G1004" s="4">
        <v>71076</v>
      </c>
      <c r="H1004" s="8" t="s">
        <v>22</v>
      </c>
      <c r="I1004" s="8" t="s">
        <v>3326</v>
      </c>
      <c r="J1004" s="4" t="s">
        <v>1714</v>
      </c>
      <c r="K1004" s="4"/>
      <c r="M1004" s="4"/>
      <c r="N1004" s="7"/>
      <c r="O1004" s="7"/>
    </row>
    <row r="1005" spans="1:15" ht="25.5" x14ac:dyDescent="0.2">
      <c r="A1005" s="21">
        <v>45952</v>
      </c>
      <c r="B1005" s="11">
        <f>+MONTH(A1005)</f>
        <v>10</v>
      </c>
      <c r="C1005" s="11">
        <f>+WEEKNUM(A1005)</f>
        <v>43</v>
      </c>
      <c r="D1005" s="4" t="s">
        <v>1709</v>
      </c>
      <c r="E1005" s="4" t="s">
        <v>1710</v>
      </c>
      <c r="F1005" s="4">
        <v>573142819694</v>
      </c>
      <c r="G1005" s="4">
        <v>71545</v>
      </c>
      <c r="H1005" s="8" t="s">
        <v>3326</v>
      </c>
      <c r="I1005" s="8" t="s">
        <v>3326</v>
      </c>
      <c r="J1005" s="4"/>
      <c r="K1005" s="4"/>
      <c r="M1005" s="4"/>
      <c r="N1005" s="7"/>
      <c r="O1005" s="7"/>
    </row>
    <row r="1006" spans="1:15" ht="25.5" x14ac:dyDescent="0.2">
      <c r="A1006" s="21">
        <v>45952</v>
      </c>
      <c r="B1006" s="11">
        <f>+MONTH(A1006)</f>
        <v>10</v>
      </c>
      <c r="C1006" s="11">
        <f>+WEEKNUM(A1006)</f>
        <v>43</v>
      </c>
      <c r="D1006" s="4" t="s">
        <v>1705</v>
      </c>
      <c r="E1006" s="4" t="s">
        <v>1706</v>
      </c>
      <c r="F1006" s="4">
        <v>573156233482</v>
      </c>
      <c r="G1006" s="4">
        <v>71814</v>
      </c>
      <c r="H1006" s="8" t="s">
        <v>3326</v>
      </c>
      <c r="I1006" s="8" t="s">
        <v>3326</v>
      </c>
      <c r="J1006" s="4"/>
      <c r="K1006" s="4"/>
      <c r="M1006" s="4"/>
      <c r="N1006" s="7"/>
      <c r="O1006" s="7"/>
    </row>
    <row r="1007" spans="1:15" ht="25.5" x14ac:dyDescent="0.2">
      <c r="A1007" s="21">
        <v>45952</v>
      </c>
      <c r="B1007" s="11">
        <f>+MONTH(A1007)</f>
        <v>10</v>
      </c>
      <c r="C1007" s="11">
        <f>+WEEKNUM(A1007)</f>
        <v>43</v>
      </c>
      <c r="D1007" s="4" t="s">
        <v>1625</v>
      </c>
      <c r="E1007" s="4" t="s">
        <v>1704</v>
      </c>
      <c r="F1007" s="4">
        <v>573213931468</v>
      </c>
      <c r="G1007" s="4">
        <v>71730</v>
      </c>
      <c r="H1007" s="8" t="s">
        <v>3326</v>
      </c>
      <c r="I1007" s="8" t="s">
        <v>3326</v>
      </c>
      <c r="J1007" s="4" t="s">
        <v>226</v>
      </c>
      <c r="K1007" s="4"/>
      <c r="M1007" s="4"/>
      <c r="N1007" s="7"/>
      <c r="O1007" s="7"/>
    </row>
    <row r="1008" spans="1:15" ht="25.5" x14ac:dyDescent="0.2">
      <c r="A1008" s="21">
        <v>45952</v>
      </c>
      <c r="B1008" s="11">
        <f>+MONTH(A1008)</f>
        <v>10</v>
      </c>
      <c r="C1008" s="11">
        <f>+WEEKNUM(A1008)</f>
        <v>43</v>
      </c>
      <c r="D1008" s="4" t="s">
        <v>1701</v>
      </c>
      <c r="E1008" s="4" t="s">
        <v>1702</v>
      </c>
      <c r="F1008" s="4">
        <v>573208785871</v>
      </c>
      <c r="G1008" s="4">
        <v>71325</v>
      </c>
      <c r="H1008" s="8" t="s">
        <v>3326</v>
      </c>
      <c r="I1008" s="8" t="s">
        <v>3326</v>
      </c>
      <c r="J1008" s="4" t="s">
        <v>1703</v>
      </c>
      <c r="K1008" s="4"/>
      <c r="M1008" s="4"/>
      <c r="N1008" s="7"/>
      <c r="O1008" s="7"/>
    </row>
    <row r="1009" spans="1:15" ht="25.5" x14ac:dyDescent="0.2">
      <c r="A1009" s="21">
        <v>45952</v>
      </c>
      <c r="B1009" s="11">
        <f>+MONTH(A1009)</f>
        <v>10</v>
      </c>
      <c r="C1009" s="11">
        <f>+WEEKNUM(A1009)</f>
        <v>43</v>
      </c>
      <c r="D1009" s="4" t="s">
        <v>1539</v>
      </c>
      <c r="E1009" s="4" t="s">
        <v>1699</v>
      </c>
      <c r="F1009" s="4">
        <v>573213729706</v>
      </c>
      <c r="G1009" s="4">
        <v>71832</v>
      </c>
      <c r="H1009" s="8" t="s">
        <v>3326</v>
      </c>
      <c r="I1009" s="8" t="s">
        <v>3326</v>
      </c>
      <c r="J1009" s="4" t="s">
        <v>1700</v>
      </c>
      <c r="K1009" s="4"/>
      <c r="M1009" s="4"/>
      <c r="N1009" s="7"/>
      <c r="O1009" s="7"/>
    </row>
    <row r="1010" spans="1:15" ht="12.75" x14ac:dyDescent="0.2">
      <c r="A1010" s="21">
        <v>45952</v>
      </c>
      <c r="B1010" s="11">
        <f>+MONTH(A1010)</f>
        <v>10</v>
      </c>
      <c r="C1010" s="11">
        <f>+WEEKNUM(A1010)</f>
        <v>43</v>
      </c>
      <c r="D1010" s="4" t="s">
        <v>1697</v>
      </c>
      <c r="E1010" s="4" t="s">
        <v>1698</v>
      </c>
      <c r="F1010" s="4">
        <v>573174223676</v>
      </c>
      <c r="G1010" s="4">
        <v>65586</v>
      </c>
      <c r="H1010" s="8" t="s">
        <v>3326</v>
      </c>
      <c r="I1010" s="8" t="s">
        <v>3326</v>
      </c>
      <c r="J1010" s="4" t="s">
        <v>211</v>
      </c>
      <c r="K1010" s="4"/>
      <c r="M1010" s="4"/>
      <c r="N1010" s="7"/>
      <c r="O1010" s="7"/>
    </row>
    <row r="1011" spans="1:15" ht="38.25" x14ac:dyDescent="0.2">
      <c r="A1011" s="21">
        <v>45952</v>
      </c>
      <c r="B1011" s="11">
        <f>+MONTH(A1011)</f>
        <v>10</v>
      </c>
      <c r="C1011" s="11">
        <f>+WEEKNUM(A1011)</f>
        <v>43</v>
      </c>
      <c r="D1011" s="4" t="s">
        <v>1694</v>
      </c>
      <c r="E1011" s="4" t="s">
        <v>1695</v>
      </c>
      <c r="F1011" s="4">
        <v>573213505198</v>
      </c>
      <c r="G1011" s="4">
        <v>71256</v>
      </c>
      <c r="H1011" s="8" t="s">
        <v>3326</v>
      </c>
      <c r="I1011" s="8" t="s">
        <v>3326</v>
      </c>
      <c r="J1011" s="4" t="s">
        <v>1696</v>
      </c>
      <c r="K1011" s="4"/>
      <c r="M1011" s="4"/>
      <c r="N1011" s="7"/>
      <c r="O1011" s="7"/>
    </row>
    <row r="1012" spans="1:15" ht="25.5" x14ac:dyDescent="0.2">
      <c r="A1012" s="21">
        <v>45951</v>
      </c>
      <c r="B1012" s="11">
        <f>+MONTH(A1012)</f>
        <v>10</v>
      </c>
      <c r="C1012" s="11">
        <f>+WEEKNUM(A1012)</f>
        <v>43</v>
      </c>
      <c r="D1012" s="4" t="s">
        <v>1691</v>
      </c>
      <c r="E1012" s="4" t="s">
        <v>1692</v>
      </c>
      <c r="F1012" s="4">
        <v>573116922344</v>
      </c>
      <c r="G1012" s="4">
        <v>71485</v>
      </c>
      <c r="H1012" s="8" t="s">
        <v>3326</v>
      </c>
      <c r="I1012" s="8" t="s">
        <v>22</v>
      </c>
      <c r="J1012" s="4" t="s">
        <v>1693</v>
      </c>
      <c r="K1012" s="4"/>
      <c r="M1012" s="4"/>
      <c r="N1012" s="7"/>
      <c r="O1012" s="7"/>
    </row>
    <row r="1013" spans="1:15" ht="12.75" x14ac:dyDescent="0.2">
      <c r="A1013" s="21">
        <v>45941</v>
      </c>
      <c r="B1013" s="11">
        <f>+MONTH(A1013)</f>
        <v>10</v>
      </c>
      <c r="C1013" s="11">
        <f>+WEEKNUM(A1013)</f>
        <v>41</v>
      </c>
      <c r="D1013" s="4" t="s">
        <v>1686</v>
      </c>
      <c r="E1013" s="4" t="s">
        <v>1687</v>
      </c>
      <c r="F1013" s="4">
        <v>573102548992</v>
      </c>
      <c r="G1013" s="4">
        <v>71146</v>
      </c>
      <c r="H1013" s="8" t="s">
        <v>22</v>
      </c>
      <c r="I1013" s="8" t="s">
        <v>22</v>
      </c>
      <c r="J1013" s="4"/>
      <c r="K1013" s="4"/>
      <c r="M1013" s="4"/>
      <c r="N1013" s="7"/>
      <c r="O1013" s="7"/>
    </row>
    <row r="1014" spans="1:15" ht="25.5" x14ac:dyDescent="0.2">
      <c r="A1014" s="21">
        <v>45941</v>
      </c>
      <c r="B1014" s="11">
        <f>+MONTH(A1014)</f>
        <v>10</v>
      </c>
      <c r="C1014" s="11">
        <f>+WEEKNUM(A1014)</f>
        <v>41</v>
      </c>
      <c r="D1014" s="4" t="s">
        <v>1684</v>
      </c>
      <c r="E1014" s="4" t="s">
        <v>1685</v>
      </c>
      <c r="F1014" s="4">
        <v>573124813136</v>
      </c>
      <c r="G1014" s="4">
        <v>71186</v>
      </c>
      <c r="H1014" s="8" t="s">
        <v>3326</v>
      </c>
      <c r="I1014" s="8" t="s">
        <v>3326</v>
      </c>
      <c r="J1014" s="4" t="s">
        <v>61</v>
      </c>
      <c r="K1014" s="4"/>
      <c r="M1014" s="4"/>
      <c r="N1014" s="7"/>
      <c r="O1014" s="7"/>
    </row>
    <row r="1015" spans="1:15" ht="12.75" x14ac:dyDescent="0.2">
      <c r="A1015" s="21">
        <v>45941</v>
      </c>
      <c r="B1015" s="11">
        <f>+MONTH(A1015)</f>
        <v>10</v>
      </c>
      <c r="C1015" s="11">
        <f>+WEEKNUM(A1015)</f>
        <v>41</v>
      </c>
      <c r="D1015" s="4" t="s">
        <v>1676</v>
      </c>
      <c r="E1015" s="4" t="s">
        <v>1677</v>
      </c>
      <c r="F1015" s="4">
        <v>573145270271</v>
      </c>
      <c r="G1015" s="4">
        <v>71027</v>
      </c>
      <c r="H1015" s="8" t="s">
        <v>3326</v>
      </c>
      <c r="I1015" s="8" t="s">
        <v>3326</v>
      </c>
      <c r="J1015" s="4" t="s">
        <v>1678</v>
      </c>
      <c r="K1015" s="4"/>
      <c r="M1015" s="4"/>
      <c r="N1015" s="7"/>
      <c r="O1015" s="7"/>
    </row>
    <row r="1016" spans="1:15" ht="25.5" x14ac:dyDescent="0.2">
      <c r="A1016" s="21">
        <v>45941</v>
      </c>
      <c r="B1016" s="11">
        <f>+MONTH(A1016)</f>
        <v>10</v>
      </c>
      <c r="C1016" s="11">
        <f>+WEEKNUM(A1016)</f>
        <v>41</v>
      </c>
      <c r="D1016" s="4" t="s">
        <v>1682</v>
      </c>
      <c r="E1016" s="4" t="s">
        <v>1683</v>
      </c>
      <c r="F1016" s="4">
        <v>573123444470</v>
      </c>
      <c r="G1016" s="4">
        <v>70151</v>
      </c>
      <c r="H1016" s="8" t="s">
        <v>3326</v>
      </c>
      <c r="I1016" s="8" t="s">
        <v>3326</v>
      </c>
      <c r="J1016" s="4"/>
      <c r="K1016" s="4"/>
      <c r="M1016" s="4"/>
      <c r="N1016" s="7"/>
      <c r="O1016" s="7"/>
    </row>
    <row r="1017" spans="1:15" ht="25.5" x14ac:dyDescent="0.2">
      <c r="A1017" s="21">
        <v>45941</v>
      </c>
      <c r="B1017" s="11">
        <f>+MONTH(A1017)</f>
        <v>10</v>
      </c>
      <c r="C1017" s="11">
        <f>+WEEKNUM(A1017)</f>
        <v>41</v>
      </c>
      <c r="D1017" s="4" t="s">
        <v>1679</v>
      </c>
      <c r="E1017" s="4" t="s">
        <v>1680</v>
      </c>
      <c r="F1017" s="4">
        <v>573012741837</v>
      </c>
      <c r="G1017" s="4">
        <v>70809</v>
      </c>
      <c r="H1017" s="8" t="s">
        <v>3326</v>
      </c>
      <c r="I1017" s="8" t="s">
        <v>3326</v>
      </c>
      <c r="J1017" s="4" t="s">
        <v>1681</v>
      </c>
      <c r="K1017" s="4"/>
      <c r="M1017" s="4"/>
      <c r="N1017" s="7"/>
      <c r="O1017" s="7"/>
    </row>
    <row r="1018" spans="1:15" ht="25.5" x14ac:dyDescent="0.2">
      <c r="A1018" s="21">
        <v>45941</v>
      </c>
      <c r="B1018" s="11">
        <f>+MONTH(A1018)</f>
        <v>10</v>
      </c>
      <c r="C1018" s="11">
        <f>+WEEKNUM(A1018)</f>
        <v>41</v>
      </c>
      <c r="D1018" s="4" t="s">
        <v>1673</v>
      </c>
      <c r="E1018" s="4" t="s">
        <v>1674</v>
      </c>
      <c r="F1018" s="4">
        <v>573150008854</v>
      </c>
      <c r="G1018" s="4">
        <v>52988</v>
      </c>
      <c r="H1018" s="8" t="s">
        <v>3326</v>
      </c>
      <c r="I1018" s="8" t="s">
        <v>3326</v>
      </c>
      <c r="J1018" s="4" t="s">
        <v>1675</v>
      </c>
      <c r="K1018" s="4"/>
      <c r="M1018" s="4"/>
      <c r="N1018" s="7"/>
      <c r="O1018" s="7"/>
    </row>
    <row r="1019" spans="1:15" ht="12.75" x14ac:dyDescent="0.2">
      <c r="A1019" s="21">
        <v>45941</v>
      </c>
      <c r="B1019" s="11">
        <f>+MONTH(A1019)</f>
        <v>10</v>
      </c>
      <c r="C1019" s="11">
        <f>+WEEKNUM(A1019)</f>
        <v>41</v>
      </c>
      <c r="D1019" s="4" t="s">
        <v>1670</v>
      </c>
      <c r="E1019" s="4" t="s">
        <v>1671</v>
      </c>
      <c r="F1019" s="4">
        <v>573014772992</v>
      </c>
      <c r="G1019" s="4">
        <v>70970</v>
      </c>
      <c r="H1019" s="8" t="s">
        <v>3326</v>
      </c>
      <c r="I1019" s="8" t="s">
        <v>3326</v>
      </c>
      <c r="J1019" s="4" t="s">
        <v>1672</v>
      </c>
      <c r="K1019" s="4"/>
      <c r="M1019" s="4"/>
      <c r="N1019" s="7"/>
      <c r="O1019" s="7"/>
    </row>
    <row r="1020" spans="1:15" ht="25.5" x14ac:dyDescent="0.2">
      <c r="A1020" s="21">
        <v>45941</v>
      </c>
      <c r="B1020" s="11">
        <f>+MONTH(A1020)</f>
        <v>10</v>
      </c>
      <c r="C1020" s="11">
        <f>+WEEKNUM(A1020)</f>
        <v>41</v>
      </c>
      <c r="D1020" s="4" t="s">
        <v>1688</v>
      </c>
      <c r="E1020" s="4" t="s">
        <v>1689</v>
      </c>
      <c r="F1020" s="4">
        <v>573232285900</v>
      </c>
      <c r="G1020" s="4">
        <v>70798</v>
      </c>
      <c r="H1020" s="8" t="s">
        <v>3326</v>
      </c>
      <c r="I1020" s="8" t="s">
        <v>3326</v>
      </c>
      <c r="J1020" s="4" t="s">
        <v>1690</v>
      </c>
      <c r="K1020" s="4"/>
      <c r="M1020" s="4"/>
      <c r="N1020" s="7"/>
      <c r="O1020" s="7"/>
    </row>
    <row r="1021" spans="1:15" ht="25.5" x14ac:dyDescent="0.2">
      <c r="A1021" s="21">
        <v>45940</v>
      </c>
      <c r="B1021" s="11">
        <f>+MONTH(A1021)</f>
        <v>10</v>
      </c>
      <c r="C1021" s="11">
        <f>+WEEKNUM(A1021)</f>
        <v>41</v>
      </c>
      <c r="D1021" s="4" t="s">
        <v>1625</v>
      </c>
      <c r="E1021" s="4" t="s">
        <v>1662</v>
      </c>
      <c r="F1021" s="4">
        <v>573023158933</v>
      </c>
      <c r="G1021" s="4">
        <v>71086</v>
      </c>
      <c r="H1021" s="8" t="s">
        <v>3326</v>
      </c>
      <c r="I1021" s="8" t="s">
        <v>3326</v>
      </c>
      <c r="J1021" s="4" t="s">
        <v>1663</v>
      </c>
      <c r="K1021" s="4"/>
      <c r="M1021" s="4"/>
      <c r="N1021" s="7"/>
      <c r="O1021" s="7"/>
    </row>
    <row r="1022" spans="1:15" ht="25.5" x14ac:dyDescent="0.2">
      <c r="A1022" s="21">
        <v>45940</v>
      </c>
      <c r="B1022" s="11">
        <f>+MONTH(A1022)</f>
        <v>10</v>
      </c>
      <c r="C1022" s="11">
        <f>+WEEKNUM(A1022)</f>
        <v>41</v>
      </c>
      <c r="D1022" s="4" t="s">
        <v>1659</v>
      </c>
      <c r="E1022" s="4" t="s">
        <v>1660</v>
      </c>
      <c r="F1022" s="4">
        <v>573217775093</v>
      </c>
      <c r="G1022" s="4">
        <v>70609</v>
      </c>
      <c r="H1022" s="8" t="s">
        <v>3326</v>
      </c>
      <c r="I1022" s="8" t="s">
        <v>3326</v>
      </c>
      <c r="J1022" s="4" t="s">
        <v>1661</v>
      </c>
      <c r="K1022" s="4"/>
      <c r="M1022" s="4"/>
      <c r="N1022" s="7"/>
      <c r="O1022" s="7"/>
    </row>
    <row r="1023" spans="1:15" ht="51" x14ac:dyDescent="0.2">
      <c r="A1023" s="21">
        <v>45940</v>
      </c>
      <c r="B1023" s="11">
        <f>+MONTH(A1023)</f>
        <v>10</v>
      </c>
      <c r="C1023" s="11">
        <f>+WEEKNUM(A1023)</f>
        <v>41</v>
      </c>
      <c r="D1023" s="4" t="s">
        <v>1664</v>
      </c>
      <c r="E1023" s="4" t="s">
        <v>1665</v>
      </c>
      <c r="F1023" s="4">
        <v>573012338211</v>
      </c>
      <c r="G1023" s="4">
        <v>71105</v>
      </c>
      <c r="H1023" s="8" t="s">
        <v>3326</v>
      </c>
      <c r="I1023" s="8" t="s">
        <v>3326</v>
      </c>
      <c r="J1023" s="4" t="s">
        <v>1666</v>
      </c>
      <c r="K1023" s="4"/>
      <c r="M1023" s="4"/>
      <c r="N1023" s="7"/>
      <c r="O1023" s="7"/>
    </row>
    <row r="1024" spans="1:15" ht="38.25" x14ac:dyDescent="0.2">
      <c r="A1024" s="21">
        <v>45940</v>
      </c>
      <c r="B1024" s="11">
        <f>+MONTH(A1024)</f>
        <v>10</v>
      </c>
      <c r="C1024" s="11">
        <f>+WEEKNUM(A1024)</f>
        <v>41</v>
      </c>
      <c r="D1024" s="4" t="s">
        <v>1654</v>
      </c>
      <c r="E1024" s="4" t="s">
        <v>1655</v>
      </c>
      <c r="F1024" s="4">
        <v>573016624321</v>
      </c>
      <c r="G1024" s="4">
        <v>69764</v>
      </c>
      <c r="H1024" s="8" t="s">
        <v>22</v>
      </c>
      <c r="I1024" s="8" t="s">
        <v>22</v>
      </c>
      <c r="J1024" s="4" t="s">
        <v>1656</v>
      </c>
      <c r="K1024" s="4"/>
      <c r="M1024" s="4"/>
      <c r="N1024" s="7"/>
      <c r="O1024" s="7"/>
    </row>
    <row r="1025" spans="1:15" ht="76.5" x14ac:dyDescent="0.2">
      <c r="A1025" s="21">
        <v>45940</v>
      </c>
      <c r="B1025" s="11">
        <f>+MONTH(A1025)</f>
        <v>10</v>
      </c>
      <c r="C1025" s="11">
        <f>+WEEKNUM(A1025)</f>
        <v>41</v>
      </c>
      <c r="D1025" s="4" t="s">
        <v>1651</v>
      </c>
      <c r="E1025" s="4" t="s">
        <v>1652</v>
      </c>
      <c r="F1025" s="4">
        <v>573124316582</v>
      </c>
      <c r="G1025" s="4">
        <v>70617</v>
      </c>
      <c r="H1025" s="8" t="s">
        <v>3326</v>
      </c>
      <c r="I1025" s="8" t="s">
        <v>3326</v>
      </c>
      <c r="J1025" s="4" t="s">
        <v>1653</v>
      </c>
      <c r="K1025" s="4"/>
      <c r="M1025" s="4"/>
      <c r="N1025" s="7"/>
      <c r="O1025" s="7"/>
    </row>
    <row r="1026" spans="1:15" ht="25.5" x14ac:dyDescent="0.2">
      <c r="A1026" s="21">
        <v>45940</v>
      </c>
      <c r="B1026" s="11">
        <f>+MONTH(A1026)</f>
        <v>10</v>
      </c>
      <c r="C1026" s="11">
        <f>+WEEKNUM(A1026)</f>
        <v>41</v>
      </c>
      <c r="D1026" s="4" t="s">
        <v>1522</v>
      </c>
      <c r="E1026" s="4" t="s">
        <v>1649</v>
      </c>
      <c r="F1026" s="4">
        <v>573016731684</v>
      </c>
      <c r="G1026" s="4">
        <v>71001</v>
      </c>
      <c r="H1026" s="8" t="s">
        <v>3326</v>
      </c>
      <c r="I1026" s="8" t="s">
        <v>3326</v>
      </c>
      <c r="J1026" s="4" t="s">
        <v>1650</v>
      </c>
      <c r="K1026" s="4"/>
      <c r="M1026" s="4"/>
      <c r="N1026" s="7"/>
      <c r="O1026" s="7"/>
    </row>
    <row r="1027" spans="1:15" ht="76.5" x14ac:dyDescent="0.2">
      <c r="A1027" s="21">
        <v>45940</v>
      </c>
      <c r="B1027" s="11">
        <f>+MONTH(A1027)</f>
        <v>10</v>
      </c>
      <c r="C1027" s="11">
        <f>+WEEKNUM(A1027)</f>
        <v>41</v>
      </c>
      <c r="D1027" s="4" t="s">
        <v>1667</v>
      </c>
      <c r="E1027" s="4" t="s">
        <v>1668</v>
      </c>
      <c r="F1027" s="4">
        <v>573173031731</v>
      </c>
      <c r="G1027" s="4">
        <v>70903</v>
      </c>
      <c r="H1027" s="8" t="s">
        <v>3326</v>
      </c>
      <c r="I1027" s="8" t="s">
        <v>3326</v>
      </c>
      <c r="J1027" s="4" t="s">
        <v>1669</v>
      </c>
      <c r="K1027" s="4"/>
      <c r="M1027" s="4"/>
      <c r="N1027" s="7"/>
      <c r="O1027" s="7"/>
    </row>
    <row r="1028" spans="1:15" ht="25.5" x14ac:dyDescent="0.2">
      <c r="A1028" s="21">
        <v>45940</v>
      </c>
      <c r="B1028" s="11">
        <f>+MONTH(A1028)</f>
        <v>10</v>
      </c>
      <c r="C1028" s="11">
        <f>+WEEKNUM(A1028)</f>
        <v>41</v>
      </c>
      <c r="D1028" s="4" t="s">
        <v>1657</v>
      </c>
      <c r="E1028" s="4" t="s">
        <v>1658</v>
      </c>
      <c r="F1028" s="4">
        <v>573104928077</v>
      </c>
      <c r="G1028" s="4">
        <v>71045</v>
      </c>
      <c r="H1028" s="8" t="s">
        <v>22</v>
      </c>
      <c r="I1028" s="8" t="s">
        <v>22</v>
      </c>
      <c r="J1028" s="4"/>
      <c r="K1028" s="4"/>
      <c r="M1028" s="4"/>
      <c r="N1028" s="7"/>
      <c r="O1028" s="7"/>
    </row>
    <row r="1029" spans="1:15" ht="25.5" x14ac:dyDescent="0.2">
      <c r="A1029" s="21">
        <v>45940</v>
      </c>
      <c r="B1029" s="11">
        <f>+MONTH(A1029)</f>
        <v>10</v>
      </c>
      <c r="C1029" s="11">
        <f>+WEEKNUM(A1029)</f>
        <v>41</v>
      </c>
      <c r="D1029" s="4" t="s">
        <v>1657</v>
      </c>
      <c r="E1029" s="4" t="s">
        <v>1658</v>
      </c>
      <c r="F1029" s="4">
        <v>573104928077</v>
      </c>
      <c r="G1029" s="4">
        <v>71045</v>
      </c>
      <c r="H1029" s="8" t="s">
        <v>22</v>
      </c>
      <c r="I1029" s="8" t="s">
        <v>22</v>
      </c>
      <c r="J1029" s="4"/>
      <c r="K1029" s="4"/>
      <c r="M1029" s="4"/>
      <c r="N1029" s="7"/>
      <c r="O1029" s="7"/>
    </row>
    <row r="1030" spans="1:15" ht="25.5" x14ac:dyDescent="0.2">
      <c r="A1030" s="21">
        <v>45940</v>
      </c>
      <c r="B1030" s="11">
        <f>+MONTH(A1030)</f>
        <v>10</v>
      </c>
      <c r="C1030" s="11">
        <f>+WEEKNUM(A1030)</f>
        <v>41</v>
      </c>
      <c r="D1030" s="4" t="s">
        <v>1643</v>
      </c>
      <c r="E1030" s="4" t="s">
        <v>1644</v>
      </c>
      <c r="F1030" s="4">
        <v>573124715942</v>
      </c>
      <c r="G1030" s="4">
        <v>70591</v>
      </c>
      <c r="H1030" s="8" t="s">
        <v>3326</v>
      </c>
      <c r="I1030" s="8" t="s">
        <v>3326</v>
      </c>
      <c r="J1030" s="4" t="s">
        <v>1645</v>
      </c>
      <c r="K1030" s="4"/>
      <c r="M1030" s="4"/>
      <c r="N1030" s="7"/>
      <c r="O1030" s="7"/>
    </row>
    <row r="1031" spans="1:15" ht="25.5" x14ac:dyDescent="0.2">
      <c r="A1031" s="21">
        <v>45940</v>
      </c>
      <c r="B1031" s="11">
        <f>+MONTH(A1031)</f>
        <v>10</v>
      </c>
      <c r="C1031" s="11">
        <f>+WEEKNUM(A1031)</f>
        <v>41</v>
      </c>
      <c r="D1031" s="4" t="s">
        <v>1640</v>
      </c>
      <c r="E1031" s="4" t="s">
        <v>1641</v>
      </c>
      <c r="F1031" s="4">
        <v>573183437769</v>
      </c>
      <c r="G1031" s="4">
        <v>70571</v>
      </c>
      <c r="H1031" s="8" t="s">
        <v>3326</v>
      </c>
      <c r="I1031" s="8" t="s">
        <v>3326</v>
      </c>
      <c r="J1031" s="4" t="s">
        <v>1642</v>
      </c>
      <c r="K1031" s="4"/>
      <c r="M1031" s="4"/>
      <c r="N1031" s="7"/>
      <c r="O1031" s="7"/>
    </row>
    <row r="1032" spans="1:15" ht="12.75" x14ac:dyDescent="0.2">
      <c r="A1032" s="21">
        <v>45940</v>
      </c>
      <c r="B1032" s="11">
        <f>+MONTH(A1032)</f>
        <v>10</v>
      </c>
      <c r="C1032" s="11">
        <f>+WEEKNUM(A1032)</f>
        <v>41</v>
      </c>
      <c r="D1032" s="4" t="s">
        <v>1637</v>
      </c>
      <c r="E1032" s="4" t="s">
        <v>1638</v>
      </c>
      <c r="F1032" s="4">
        <v>573180765198</v>
      </c>
      <c r="G1032" s="4">
        <v>70730</v>
      </c>
      <c r="H1032" s="8" t="s">
        <v>3326</v>
      </c>
      <c r="I1032" s="8" t="s">
        <v>3326</v>
      </c>
      <c r="J1032" s="4" t="s">
        <v>1639</v>
      </c>
      <c r="K1032" s="4"/>
      <c r="M1032" s="4"/>
      <c r="N1032" s="7"/>
      <c r="O1032" s="7"/>
    </row>
    <row r="1033" spans="1:15" ht="51" x14ac:dyDescent="0.2">
      <c r="A1033" s="21">
        <v>45940</v>
      </c>
      <c r="B1033" s="11">
        <f>+MONTH(A1033)</f>
        <v>10</v>
      </c>
      <c r="C1033" s="11">
        <f>+WEEKNUM(A1033)</f>
        <v>41</v>
      </c>
      <c r="D1033" s="4" t="s">
        <v>1631</v>
      </c>
      <c r="E1033" s="4" t="s">
        <v>1632</v>
      </c>
      <c r="F1033" s="4">
        <v>573108466025</v>
      </c>
      <c r="G1033" s="4">
        <v>70748</v>
      </c>
      <c r="H1033" s="8" t="s">
        <v>3326</v>
      </c>
      <c r="I1033" s="8" t="s">
        <v>3326</v>
      </c>
      <c r="J1033" s="4" t="s">
        <v>1633</v>
      </c>
      <c r="K1033" s="4"/>
      <c r="M1033" s="4"/>
      <c r="N1033" s="7"/>
      <c r="O1033" s="7"/>
    </row>
    <row r="1034" spans="1:15" ht="25.5" x14ac:dyDescent="0.2">
      <c r="A1034" s="21">
        <v>45940</v>
      </c>
      <c r="B1034" s="11">
        <f>+MONTH(A1034)</f>
        <v>10</v>
      </c>
      <c r="C1034" s="11">
        <f>+WEEKNUM(A1034)</f>
        <v>41</v>
      </c>
      <c r="D1034" s="4" t="s">
        <v>1402</v>
      </c>
      <c r="E1034" s="4" t="s">
        <v>1629</v>
      </c>
      <c r="F1034" s="4">
        <v>573007575295</v>
      </c>
      <c r="G1034" s="4">
        <v>70604</v>
      </c>
      <c r="H1034" s="8" t="s">
        <v>3326</v>
      </c>
      <c r="I1034" s="8" t="s">
        <v>3326</v>
      </c>
      <c r="J1034" s="4" t="s">
        <v>1630</v>
      </c>
      <c r="K1034" s="4"/>
      <c r="M1034" s="4"/>
      <c r="N1034" s="7"/>
      <c r="O1034" s="7"/>
    </row>
    <row r="1035" spans="1:15" ht="38.25" x14ac:dyDescent="0.2">
      <c r="A1035" s="21">
        <v>45940</v>
      </c>
      <c r="B1035" s="11">
        <f>+MONTH(A1035)</f>
        <v>10</v>
      </c>
      <c r="C1035" s="11">
        <f>+WEEKNUM(A1035)</f>
        <v>41</v>
      </c>
      <c r="D1035" s="4" t="s">
        <v>1634</v>
      </c>
      <c r="E1035" s="4" t="s">
        <v>1635</v>
      </c>
      <c r="F1035" s="4">
        <v>573507408240</v>
      </c>
      <c r="G1035" s="4">
        <v>70948</v>
      </c>
      <c r="H1035" s="8" t="s">
        <v>3326</v>
      </c>
      <c r="I1035" s="8" t="s">
        <v>3326</v>
      </c>
      <c r="J1035" s="4" t="s">
        <v>1636</v>
      </c>
      <c r="K1035" s="4"/>
      <c r="M1035" s="4"/>
      <c r="N1035" s="7"/>
      <c r="O1035" s="7"/>
    </row>
    <row r="1036" spans="1:15" ht="38.25" x14ac:dyDescent="0.2">
      <c r="A1036" s="21">
        <v>45939</v>
      </c>
      <c r="B1036" s="11">
        <f>+MONTH(A1036)</f>
        <v>10</v>
      </c>
      <c r="C1036" s="11">
        <f>+WEEKNUM(A1036)</f>
        <v>41</v>
      </c>
      <c r="D1036" s="4" t="s">
        <v>1622</v>
      </c>
      <c r="E1036" s="4" t="s">
        <v>1623</v>
      </c>
      <c r="F1036" s="4">
        <v>573168754789</v>
      </c>
      <c r="G1036" s="4">
        <v>70759</v>
      </c>
      <c r="H1036" s="8" t="s">
        <v>3326</v>
      </c>
      <c r="I1036" s="8" t="s">
        <v>3326</v>
      </c>
      <c r="J1036" s="4" t="s">
        <v>1624</v>
      </c>
      <c r="K1036" s="4"/>
      <c r="M1036" s="4"/>
      <c r="N1036" s="7"/>
      <c r="O1036" s="7"/>
    </row>
    <row r="1037" spans="1:15" ht="25.5" x14ac:dyDescent="0.2">
      <c r="A1037" s="21">
        <v>45939</v>
      </c>
      <c r="B1037" s="11">
        <f>+MONTH(A1037)</f>
        <v>10</v>
      </c>
      <c r="C1037" s="11">
        <f>+WEEKNUM(A1037)</f>
        <v>41</v>
      </c>
      <c r="D1037" s="4" t="s">
        <v>1617</v>
      </c>
      <c r="E1037" s="4" t="s">
        <v>1618</v>
      </c>
      <c r="F1037" s="4">
        <v>573006976004</v>
      </c>
      <c r="G1037" s="4">
        <v>69046</v>
      </c>
      <c r="H1037" s="8" t="s">
        <v>3326</v>
      </c>
      <c r="I1037" s="8" t="s">
        <v>3326</v>
      </c>
      <c r="J1037" s="4" t="s">
        <v>1619</v>
      </c>
      <c r="K1037" s="4"/>
      <c r="M1037" s="4"/>
      <c r="N1037" s="7"/>
      <c r="O1037" s="7"/>
    </row>
    <row r="1038" spans="1:15" ht="25.5" x14ac:dyDescent="0.2">
      <c r="A1038" s="21">
        <v>45939</v>
      </c>
      <c r="B1038" s="11">
        <f>+MONTH(A1038)</f>
        <v>10</v>
      </c>
      <c r="C1038" s="11">
        <f>+WEEKNUM(A1038)</f>
        <v>41</v>
      </c>
      <c r="D1038" s="4" t="s">
        <v>1476</v>
      </c>
      <c r="E1038" s="4" t="s">
        <v>1627</v>
      </c>
      <c r="F1038" s="4">
        <v>573223967588</v>
      </c>
      <c r="G1038" s="4">
        <v>70639</v>
      </c>
      <c r="H1038" s="8" t="s">
        <v>3326</v>
      </c>
      <c r="I1038" s="8" t="s">
        <v>3326</v>
      </c>
      <c r="J1038" s="4" t="s">
        <v>1628</v>
      </c>
      <c r="K1038" s="4"/>
      <c r="M1038" s="4"/>
      <c r="N1038" s="7"/>
      <c r="O1038" s="7"/>
    </row>
    <row r="1039" spans="1:15" ht="25.5" x14ac:dyDescent="0.2">
      <c r="A1039" s="21">
        <v>45939</v>
      </c>
      <c r="B1039" s="11">
        <f>+MONTH(A1039)</f>
        <v>10</v>
      </c>
      <c r="C1039" s="11">
        <f>+WEEKNUM(A1039)</f>
        <v>41</v>
      </c>
      <c r="D1039" s="4" t="s">
        <v>1579</v>
      </c>
      <c r="E1039" s="4" t="s">
        <v>1615</v>
      </c>
      <c r="F1039" s="4">
        <v>573144141911</v>
      </c>
      <c r="G1039" s="4">
        <v>70752</v>
      </c>
      <c r="H1039" s="8" t="s">
        <v>3326</v>
      </c>
      <c r="I1039" s="8" t="s">
        <v>22</v>
      </c>
      <c r="J1039" s="4" t="s">
        <v>1616</v>
      </c>
      <c r="K1039" s="4"/>
      <c r="M1039" s="4"/>
      <c r="N1039" s="7"/>
      <c r="O1039" s="7"/>
    </row>
    <row r="1040" spans="1:15" ht="102" x14ac:dyDescent="0.2">
      <c r="A1040" s="21">
        <v>45939</v>
      </c>
      <c r="B1040" s="11">
        <f>+MONTH(A1040)</f>
        <v>10</v>
      </c>
      <c r="C1040" s="11">
        <f>+WEEKNUM(A1040)</f>
        <v>41</v>
      </c>
      <c r="D1040" s="4" t="s">
        <v>1612</v>
      </c>
      <c r="E1040" s="4" t="s">
        <v>1613</v>
      </c>
      <c r="F1040" s="4">
        <v>573004535064</v>
      </c>
      <c r="G1040" s="4">
        <v>70736</v>
      </c>
      <c r="H1040" s="8" t="s">
        <v>22</v>
      </c>
      <c r="I1040" s="8" t="s">
        <v>3326</v>
      </c>
      <c r="J1040" s="4" t="s">
        <v>1614</v>
      </c>
      <c r="K1040" s="4"/>
      <c r="M1040" s="4"/>
      <c r="N1040" s="7"/>
      <c r="O1040" s="7"/>
    </row>
    <row r="1041" spans="1:15" ht="25.5" x14ac:dyDescent="0.2">
      <c r="A1041" s="21">
        <v>45939</v>
      </c>
      <c r="B1041" s="11">
        <f>+MONTH(A1041)</f>
        <v>10</v>
      </c>
      <c r="C1041" s="11">
        <f>+WEEKNUM(A1041)</f>
        <v>41</v>
      </c>
      <c r="D1041" s="4" t="s">
        <v>1625</v>
      </c>
      <c r="E1041" s="4" t="s">
        <v>1626</v>
      </c>
      <c r="F1041" s="4">
        <v>573186310037</v>
      </c>
      <c r="G1041" s="4">
        <v>68374</v>
      </c>
      <c r="H1041" s="8" t="s">
        <v>3326</v>
      </c>
      <c r="I1041" s="8" t="s">
        <v>3326</v>
      </c>
      <c r="J1041" s="4"/>
      <c r="K1041" s="4"/>
      <c r="M1041" s="4"/>
      <c r="N1041" s="7"/>
      <c r="O1041" s="7"/>
    </row>
    <row r="1042" spans="1:15" ht="25.5" x14ac:dyDescent="0.2">
      <c r="A1042" s="21">
        <v>45939</v>
      </c>
      <c r="B1042" s="11">
        <f>+MONTH(A1042)</f>
        <v>10</v>
      </c>
      <c r="C1042" s="11">
        <f>+WEEKNUM(A1042)</f>
        <v>41</v>
      </c>
      <c r="D1042" s="4" t="s">
        <v>1610</v>
      </c>
      <c r="E1042" s="4" t="s">
        <v>1611</v>
      </c>
      <c r="F1042" s="4">
        <v>573057468938</v>
      </c>
      <c r="G1042" s="4">
        <v>70584</v>
      </c>
      <c r="H1042" s="8" t="s">
        <v>3326</v>
      </c>
      <c r="I1042" s="8" t="s">
        <v>3326</v>
      </c>
      <c r="J1042" s="4"/>
      <c r="K1042" s="4"/>
      <c r="M1042" s="4"/>
      <c r="N1042" s="7"/>
      <c r="O1042" s="7"/>
    </row>
    <row r="1043" spans="1:15" ht="25.5" x14ac:dyDescent="0.2">
      <c r="A1043" s="21">
        <v>45939</v>
      </c>
      <c r="B1043" s="11">
        <f>+MONTH(A1043)</f>
        <v>10</v>
      </c>
      <c r="C1043" s="11">
        <f>+WEEKNUM(A1043)</f>
        <v>41</v>
      </c>
      <c r="D1043" s="4" t="s">
        <v>1607</v>
      </c>
      <c r="E1043" s="4" t="s">
        <v>1608</v>
      </c>
      <c r="F1043" s="4">
        <v>573124571216</v>
      </c>
      <c r="G1043" s="4">
        <v>70710</v>
      </c>
      <c r="H1043" s="8" t="s">
        <v>22</v>
      </c>
      <c r="I1043" s="8" t="s">
        <v>22</v>
      </c>
      <c r="J1043" s="4" t="s">
        <v>1609</v>
      </c>
      <c r="K1043" s="4"/>
      <c r="M1043" s="4"/>
      <c r="N1043" s="7"/>
      <c r="O1043" s="7"/>
    </row>
    <row r="1044" spans="1:15" ht="38.25" x14ac:dyDescent="0.2">
      <c r="A1044" s="21">
        <v>45939</v>
      </c>
      <c r="B1044" s="11">
        <f>+MONTH(A1044)</f>
        <v>10</v>
      </c>
      <c r="C1044" s="11">
        <f>+WEEKNUM(A1044)</f>
        <v>41</v>
      </c>
      <c r="D1044" s="4" t="s">
        <v>1496</v>
      </c>
      <c r="E1044" s="4" t="s">
        <v>1620</v>
      </c>
      <c r="F1044" s="4">
        <v>573107767503</v>
      </c>
      <c r="G1044" s="4">
        <v>70888</v>
      </c>
      <c r="H1044" s="8" t="s">
        <v>3326</v>
      </c>
      <c r="I1044" s="8" t="s">
        <v>3326</v>
      </c>
      <c r="J1044" s="4" t="s">
        <v>1621</v>
      </c>
      <c r="K1044" s="4"/>
      <c r="M1044" s="4"/>
      <c r="N1044" s="7"/>
      <c r="O1044" s="7"/>
    </row>
    <row r="1045" spans="1:15" ht="25.5" x14ac:dyDescent="0.2">
      <c r="A1045" s="21">
        <v>45939</v>
      </c>
      <c r="B1045" s="11">
        <f>+MONTH(A1045)</f>
        <v>10</v>
      </c>
      <c r="C1045" s="11">
        <f>+WEEKNUM(A1045)</f>
        <v>41</v>
      </c>
      <c r="D1045" s="4" t="s">
        <v>1604</v>
      </c>
      <c r="E1045" s="4" t="s">
        <v>1605</v>
      </c>
      <c r="F1045" s="4">
        <v>573053876259</v>
      </c>
      <c r="G1045" s="4">
        <v>70862</v>
      </c>
      <c r="H1045" s="8" t="s">
        <v>3326</v>
      </c>
      <c r="I1045" s="8" t="s">
        <v>3326</v>
      </c>
      <c r="J1045" s="4" t="s">
        <v>1606</v>
      </c>
      <c r="K1045" s="4"/>
      <c r="M1045" s="4"/>
      <c r="N1045" s="7"/>
      <c r="O1045" s="7"/>
    </row>
    <row r="1046" spans="1:15" ht="25.5" x14ac:dyDescent="0.2">
      <c r="A1046" s="21">
        <v>45939</v>
      </c>
      <c r="B1046" s="11">
        <f>+MONTH(A1046)</f>
        <v>10</v>
      </c>
      <c r="C1046" s="11">
        <f>+WEEKNUM(A1046)</f>
        <v>41</v>
      </c>
      <c r="D1046" s="4" t="s">
        <v>1601</v>
      </c>
      <c r="E1046" s="4" t="s">
        <v>1602</v>
      </c>
      <c r="F1046" s="4">
        <v>573024032169</v>
      </c>
      <c r="G1046" s="4">
        <v>70870</v>
      </c>
      <c r="H1046" s="8" t="s">
        <v>3326</v>
      </c>
      <c r="I1046" s="8" t="s">
        <v>3326</v>
      </c>
      <c r="J1046" s="4" t="s">
        <v>1603</v>
      </c>
      <c r="K1046" s="4"/>
      <c r="M1046" s="4"/>
      <c r="N1046" s="7"/>
      <c r="O1046" s="7"/>
    </row>
    <row r="1047" spans="1:15" ht="25.5" x14ac:dyDescent="0.2">
      <c r="A1047" s="21">
        <v>45939</v>
      </c>
      <c r="B1047" s="11">
        <f>+MONTH(A1047)</f>
        <v>10</v>
      </c>
      <c r="C1047" s="11">
        <f>+WEEKNUM(A1047)</f>
        <v>41</v>
      </c>
      <c r="D1047" s="4" t="s">
        <v>1598</v>
      </c>
      <c r="E1047" s="4" t="s">
        <v>1599</v>
      </c>
      <c r="F1047" s="4">
        <v>573157697167</v>
      </c>
      <c r="G1047" s="4">
        <v>69297</v>
      </c>
      <c r="H1047" s="8" t="s">
        <v>3326</v>
      </c>
      <c r="I1047" s="8" t="s">
        <v>3326</v>
      </c>
      <c r="J1047" s="4" t="s">
        <v>1600</v>
      </c>
      <c r="K1047" s="4"/>
      <c r="M1047" s="4"/>
      <c r="N1047" s="7"/>
      <c r="O1047" s="7"/>
    </row>
    <row r="1048" spans="1:15" ht="25.5" x14ac:dyDescent="0.2">
      <c r="A1048" s="21">
        <v>45939</v>
      </c>
      <c r="B1048" s="11">
        <f>+MONTH(A1048)</f>
        <v>10</v>
      </c>
      <c r="C1048" s="11">
        <f>+WEEKNUM(A1048)</f>
        <v>41</v>
      </c>
      <c r="D1048" s="4" t="s">
        <v>1345</v>
      </c>
      <c r="E1048" s="4" t="s">
        <v>1594</v>
      </c>
      <c r="F1048" s="4">
        <v>573154411011</v>
      </c>
      <c r="G1048" s="4">
        <v>70714</v>
      </c>
      <c r="H1048" s="8" t="s">
        <v>22</v>
      </c>
      <c r="I1048" s="8" t="s">
        <v>3326</v>
      </c>
      <c r="J1048" s="4" t="s">
        <v>1595</v>
      </c>
      <c r="K1048" s="4"/>
      <c r="M1048" s="4"/>
      <c r="N1048" s="7"/>
      <c r="O1048" s="7"/>
    </row>
    <row r="1049" spans="1:15" ht="12.75" x14ac:dyDescent="0.2">
      <c r="A1049" s="21">
        <v>45939</v>
      </c>
      <c r="B1049" s="11">
        <f>+MONTH(A1049)</f>
        <v>10</v>
      </c>
      <c r="C1049" s="11">
        <f>+WEEKNUM(A1049)</f>
        <v>41</v>
      </c>
      <c r="D1049" s="4" t="s">
        <v>1596</v>
      </c>
      <c r="E1049" s="4" t="s">
        <v>1597</v>
      </c>
      <c r="F1049" s="4">
        <v>573006994121</v>
      </c>
      <c r="G1049" s="4">
        <v>70211</v>
      </c>
      <c r="H1049" s="8" t="s">
        <v>3326</v>
      </c>
      <c r="I1049" s="8" t="s">
        <v>3326</v>
      </c>
      <c r="J1049" s="4"/>
      <c r="K1049" s="4"/>
      <c r="M1049" s="4"/>
      <c r="N1049" s="7"/>
      <c r="O1049" s="7"/>
    </row>
    <row r="1050" spans="1:15" ht="63.75" x14ac:dyDescent="0.2">
      <c r="A1050" s="21">
        <v>45939</v>
      </c>
      <c r="B1050" s="11">
        <f>+MONTH(A1050)</f>
        <v>10</v>
      </c>
      <c r="C1050" s="11">
        <f>+WEEKNUM(A1050)</f>
        <v>41</v>
      </c>
      <c r="D1050" s="4" t="s">
        <v>1646</v>
      </c>
      <c r="E1050" s="4" t="s">
        <v>1647</v>
      </c>
      <c r="F1050" s="4">
        <v>573123623475</v>
      </c>
      <c r="G1050" s="4">
        <v>70523</v>
      </c>
      <c r="H1050" s="8" t="s">
        <v>22</v>
      </c>
      <c r="I1050" s="8" t="s">
        <v>3326</v>
      </c>
      <c r="J1050" s="4" t="s">
        <v>1648</v>
      </c>
      <c r="K1050" s="4"/>
      <c r="M1050" s="4"/>
      <c r="N1050" s="7"/>
      <c r="O1050" s="7"/>
    </row>
    <row r="1051" spans="1:15" ht="12.75" x14ac:dyDescent="0.2">
      <c r="A1051" s="21">
        <v>45938</v>
      </c>
      <c r="B1051" s="11">
        <f>+MONTH(A1051)</f>
        <v>10</v>
      </c>
      <c r="C1051" s="11">
        <f>+WEEKNUM(A1051)</f>
        <v>41</v>
      </c>
      <c r="D1051" s="4" t="s">
        <v>1592</v>
      </c>
      <c r="E1051" s="4" t="s">
        <v>1593</v>
      </c>
      <c r="F1051" s="4">
        <v>573114855584</v>
      </c>
      <c r="G1051" s="4">
        <v>70708</v>
      </c>
      <c r="H1051" s="8" t="s">
        <v>22</v>
      </c>
      <c r="I1051" s="8" t="s">
        <v>3326</v>
      </c>
      <c r="J1051" s="4"/>
      <c r="K1051" s="4"/>
      <c r="M1051" s="4"/>
      <c r="N1051" s="7"/>
      <c r="O1051" s="7"/>
    </row>
    <row r="1052" spans="1:15" ht="25.5" x14ac:dyDescent="0.2">
      <c r="A1052" s="21">
        <v>45938</v>
      </c>
      <c r="B1052" s="11">
        <f>+MONTH(A1052)</f>
        <v>10</v>
      </c>
      <c r="C1052" s="11">
        <f>+WEEKNUM(A1052)</f>
        <v>41</v>
      </c>
      <c r="D1052" s="4" t="s">
        <v>1588</v>
      </c>
      <c r="E1052" s="4" t="s">
        <v>1588</v>
      </c>
      <c r="F1052" s="4">
        <v>573164735991</v>
      </c>
      <c r="G1052" s="4">
        <v>69090</v>
      </c>
      <c r="H1052" s="8" t="s">
        <v>3326</v>
      </c>
      <c r="I1052" s="8" t="s">
        <v>3326</v>
      </c>
      <c r="J1052" s="4" t="s">
        <v>1589</v>
      </c>
      <c r="K1052" s="4"/>
      <c r="M1052" s="4"/>
      <c r="N1052" s="7"/>
      <c r="O1052" s="7"/>
    </row>
    <row r="1053" spans="1:15" ht="38.25" x14ac:dyDescent="0.2">
      <c r="A1053" s="21">
        <v>45938</v>
      </c>
      <c r="B1053" s="11">
        <f>+MONTH(A1053)</f>
        <v>10</v>
      </c>
      <c r="C1053" s="11">
        <f>+WEEKNUM(A1053)</f>
        <v>41</v>
      </c>
      <c r="D1053" s="4" t="s">
        <v>1585</v>
      </c>
      <c r="E1053" s="4" t="s">
        <v>1586</v>
      </c>
      <c r="F1053" s="4">
        <v>573212899543</v>
      </c>
      <c r="G1053" s="4">
        <v>70290</v>
      </c>
      <c r="H1053" s="8" t="s">
        <v>3326</v>
      </c>
      <c r="I1053" s="8" t="s">
        <v>3326</v>
      </c>
      <c r="J1053" s="4" t="s">
        <v>1587</v>
      </c>
      <c r="K1053" s="4"/>
      <c r="M1053" s="4"/>
      <c r="N1053" s="7"/>
      <c r="O1053" s="7"/>
    </row>
    <row r="1054" spans="1:15" ht="25.5" x14ac:dyDescent="0.2">
      <c r="A1054" s="21">
        <v>45938</v>
      </c>
      <c r="B1054" s="11">
        <f>+MONTH(A1054)</f>
        <v>10</v>
      </c>
      <c r="C1054" s="11">
        <f>+WEEKNUM(A1054)</f>
        <v>41</v>
      </c>
      <c r="D1054" s="4" t="s">
        <v>1582</v>
      </c>
      <c r="E1054" s="4" t="s">
        <v>1583</v>
      </c>
      <c r="F1054" s="4">
        <v>573166276493</v>
      </c>
      <c r="G1054" s="4">
        <v>70774</v>
      </c>
      <c r="H1054" s="8" t="s">
        <v>3326</v>
      </c>
      <c r="I1054" s="8" t="s">
        <v>3326</v>
      </c>
      <c r="J1054" s="4" t="s">
        <v>1584</v>
      </c>
      <c r="K1054" s="4"/>
      <c r="M1054" s="4"/>
      <c r="N1054" s="7"/>
      <c r="O1054" s="7"/>
    </row>
    <row r="1055" spans="1:15" ht="25.5" x14ac:dyDescent="0.2">
      <c r="A1055" s="21">
        <v>45938</v>
      </c>
      <c r="B1055" s="11">
        <f>+MONTH(A1055)</f>
        <v>10</v>
      </c>
      <c r="C1055" s="11">
        <f>+WEEKNUM(A1055)</f>
        <v>41</v>
      </c>
      <c r="D1055" s="4" t="s">
        <v>1579</v>
      </c>
      <c r="E1055" s="4" t="s">
        <v>1580</v>
      </c>
      <c r="F1055" s="4">
        <v>573228565504</v>
      </c>
      <c r="G1055" s="4">
        <v>70927</v>
      </c>
      <c r="H1055" s="8" t="s">
        <v>3326</v>
      </c>
      <c r="I1055" s="8" t="s">
        <v>3326</v>
      </c>
      <c r="J1055" s="4" t="s">
        <v>1581</v>
      </c>
      <c r="K1055" s="4"/>
      <c r="M1055" s="4"/>
      <c r="N1055" s="7"/>
      <c r="O1055" s="7"/>
    </row>
    <row r="1056" spans="1:15" ht="25.5" x14ac:dyDescent="0.2">
      <c r="A1056" s="21">
        <v>45938</v>
      </c>
      <c r="B1056" s="11">
        <f>+MONTH(A1056)</f>
        <v>10</v>
      </c>
      <c r="C1056" s="11">
        <f>+WEEKNUM(A1056)</f>
        <v>41</v>
      </c>
      <c r="D1056" s="4" t="s">
        <v>1577</v>
      </c>
      <c r="E1056" s="4" t="s">
        <v>1578</v>
      </c>
      <c r="F1056" s="4">
        <v>573142767341</v>
      </c>
      <c r="G1056" s="4">
        <v>70833</v>
      </c>
      <c r="H1056" s="8" t="s">
        <v>3326</v>
      </c>
      <c r="I1056" s="8" t="s">
        <v>3326</v>
      </c>
      <c r="J1056" s="4" t="s">
        <v>12</v>
      </c>
      <c r="K1056" s="4"/>
      <c r="M1056" s="4"/>
      <c r="N1056" s="7"/>
      <c r="O1056" s="7"/>
    </row>
    <row r="1057" spans="1:15" ht="12.75" x14ac:dyDescent="0.2">
      <c r="A1057" s="21">
        <v>45938</v>
      </c>
      <c r="B1057" s="11">
        <f>+MONTH(A1057)</f>
        <v>10</v>
      </c>
      <c r="C1057" s="11">
        <f>+WEEKNUM(A1057)</f>
        <v>41</v>
      </c>
      <c r="D1057" s="4" t="s">
        <v>1572</v>
      </c>
      <c r="E1057" s="4" t="s">
        <v>1573</v>
      </c>
      <c r="F1057" s="4">
        <v>573002414100</v>
      </c>
      <c r="G1057" s="4">
        <v>70559</v>
      </c>
      <c r="H1057" s="8" t="s">
        <v>3326</v>
      </c>
      <c r="I1057" s="8" t="s">
        <v>3326</v>
      </c>
      <c r="J1057" s="4" t="s">
        <v>1574</v>
      </c>
      <c r="K1057" s="4"/>
      <c r="M1057" s="4"/>
      <c r="N1057" s="7"/>
      <c r="O1057" s="7"/>
    </row>
    <row r="1058" spans="1:15" ht="25.5" x14ac:dyDescent="0.2">
      <c r="A1058" s="21">
        <v>45938</v>
      </c>
      <c r="B1058" s="11">
        <f>+MONTH(A1058)</f>
        <v>10</v>
      </c>
      <c r="C1058" s="11">
        <f>+WEEKNUM(A1058)</f>
        <v>41</v>
      </c>
      <c r="D1058" s="4" t="s">
        <v>1575</v>
      </c>
      <c r="E1058" s="4" t="s">
        <v>1576</v>
      </c>
      <c r="F1058" s="4">
        <v>573124242298</v>
      </c>
      <c r="G1058" s="4">
        <v>70860</v>
      </c>
      <c r="H1058" s="8" t="s">
        <v>3325</v>
      </c>
      <c r="I1058" s="8" t="s">
        <v>3326</v>
      </c>
      <c r="J1058" s="4"/>
      <c r="K1058" s="4"/>
      <c r="M1058" s="4"/>
      <c r="N1058" s="7"/>
      <c r="O1058" s="7"/>
    </row>
    <row r="1059" spans="1:15" ht="12.75" x14ac:dyDescent="0.2">
      <c r="A1059" s="21">
        <v>45938</v>
      </c>
      <c r="B1059" s="11">
        <f>+MONTH(A1059)</f>
        <v>10</v>
      </c>
      <c r="C1059" s="11">
        <f>+WEEKNUM(A1059)</f>
        <v>41</v>
      </c>
      <c r="D1059" s="4" t="s">
        <v>1590</v>
      </c>
      <c r="E1059" s="4" t="s">
        <v>1591</v>
      </c>
      <c r="F1059" s="4">
        <v>573209682722</v>
      </c>
      <c r="G1059" s="4">
        <v>70506</v>
      </c>
      <c r="H1059" s="8" t="s">
        <v>3326</v>
      </c>
      <c r="I1059" s="8" t="s">
        <v>3326</v>
      </c>
      <c r="J1059" s="4"/>
      <c r="K1059" s="4"/>
      <c r="M1059" s="4"/>
      <c r="N1059" s="7"/>
      <c r="O1059" s="7"/>
    </row>
    <row r="1060" spans="1:15" ht="12.75" x14ac:dyDescent="0.2">
      <c r="A1060" s="21">
        <v>45938</v>
      </c>
      <c r="B1060" s="11">
        <f>+MONTH(A1060)</f>
        <v>10</v>
      </c>
      <c r="C1060" s="11">
        <f>+WEEKNUM(A1060)</f>
        <v>41</v>
      </c>
      <c r="D1060" s="4" t="s">
        <v>1569</v>
      </c>
      <c r="E1060" s="4" t="s">
        <v>1570</v>
      </c>
      <c r="F1060" s="4">
        <v>573143231387</v>
      </c>
      <c r="G1060" s="4">
        <v>70850</v>
      </c>
      <c r="H1060" s="8" t="s">
        <v>3326</v>
      </c>
      <c r="I1060" s="8" t="s">
        <v>3326</v>
      </c>
      <c r="J1060" s="4" t="s">
        <v>1571</v>
      </c>
      <c r="K1060" s="4"/>
      <c r="M1060" s="4"/>
      <c r="N1060" s="7"/>
      <c r="O1060" s="7"/>
    </row>
    <row r="1061" spans="1:15" ht="12.75" x14ac:dyDescent="0.2">
      <c r="A1061" s="21">
        <v>45938</v>
      </c>
      <c r="B1061" s="11">
        <f>+MONTH(A1061)</f>
        <v>10</v>
      </c>
      <c r="C1061" s="11">
        <f>+WEEKNUM(A1061)</f>
        <v>41</v>
      </c>
      <c r="D1061" s="4" t="s">
        <v>1566</v>
      </c>
      <c r="E1061" s="4" t="s">
        <v>1567</v>
      </c>
      <c r="F1061" s="4">
        <v>573143339248</v>
      </c>
      <c r="G1061" s="4">
        <v>70893</v>
      </c>
      <c r="H1061" s="8" t="s">
        <v>3326</v>
      </c>
      <c r="I1061" s="8" t="s">
        <v>3326</v>
      </c>
      <c r="J1061" s="4" t="s">
        <v>1568</v>
      </c>
      <c r="K1061" s="4"/>
      <c r="M1061" s="4"/>
      <c r="N1061" s="7"/>
      <c r="O1061" s="7"/>
    </row>
    <row r="1062" spans="1:15" ht="12.75" x14ac:dyDescent="0.2">
      <c r="A1062" s="21">
        <v>45937</v>
      </c>
      <c r="B1062" s="11">
        <f>+MONTH(A1062)</f>
        <v>10</v>
      </c>
      <c r="C1062" s="11">
        <f>+WEEKNUM(A1062)</f>
        <v>41</v>
      </c>
      <c r="D1062" s="4" t="s">
        <v>1473</v>
      </c>
      <c r="E1062" s="4" t="s">
        <v>1553</v>
      </c>
      <c r="F1062" s="4">
        <v>573176461517</v>
      </c>
      <c r="G1062" s="4">
        <v>70631</v>
      </c>
      <c r="H1062" s="8" t="s">
        <v>3326</v>
      </c>
      <c r="I1062" s="8" t="s">
        <v>3326</v>
      </c>
      <c r="J1062" s="4"/>
      <c r="K1062" s="4"/>
      <c r="M1062" s="4"/>
      <c r="N1062" s="7"/>
      <c r="O1062" s="7"/>
    </row>
    <row r="1063" spans="1:15" ht="25.5" x14ac:dyDescent="0.2">
      <c r="A1063" s="21">
        <v>45937</v>
      </c>
      <c r="B1063" s="11">
        <f>+MONTH(A1063)</f>
        <v>10</v>
      </c>
      <c r="C1063" s="11">
        <f>+WEEKNUM(A1063)</f>
        <v>41</v>
      </c>
      <c r="D1063" s="4" t="s">
        <v>1557</v>
      </c>
      <c r="E1063" s="4" t="s">
        <v>1558</v>
      </c>
      <c r="F1063" s="4">
        <v>573112644003</v>
      </c>
      <c r="G1063" s="4">
        <v>70011</v>
      </c>
      <c r="H1063" s="8" t="s">
        <v>3326</v>
      </c>
      <c r="I1063" s="8" t="s">
        <v>3326</v>
      </c>
      <c r="J1063" s="4" t="s">
        <v>1559</v>
      </c>
      <c r="K1063" s="4"/>
      <c r="M1063" s="4"/>
      <c r="N1063" s="7"/>
      <c r="O1063" s="7"/>
    </row>
    <row r="1064" spans="1:15" ht="38.25" x14ac:dyDescent="0.2">
      <c r="A1064" s="21">
        <v>45937</v>
      </c>
      <c r="B1064" s="11">
        <f>+MONTH(A1064)</f>
        <v>10</v>
      </c>
      <c r="C1064" s="11">
        <f>+WEEKNUM(A1064)</f>
        <v>41</v>
      </c>
      <c r="D1064" s="4" t="s">
        <v>1551</v>
      </c>
      <c r="E1064" s="4" t="s">
        <v>1551</v>
      </c>
      <c r="F1064" s="4">
        <v>573209490395</v>
      </c>
      <c r="G1064" s="4">
        <v>70884</v>
      </c>
      <c r="H1064" s="8" t="s">
        <v>3326</v>
      </c>
      <c r="I1064" s="8" t="s">
        <v>3326</v>
      </c>
      <c r="J1064" s="4" t="s">
        <v>1552</v>
      </c>
      <c r="K1064" s="4"/>
      <c r="M1064" s="4"/>
      <c r="N1064" s="7"/>
      <c r="O1064" s="7"/>
    </row>
    <row r="1065" spans="1:15" ht="51" x14ac:dyDescent="0.2">
      <c r="A1065" s="21">
        <v>45937</v>
      </c>
      <c r="B1065" s="11">
        <f>+MONTH(A1065)</f>
        <v>10</v>
      </c>
      <c r="C1065" s="11">
        <f>+WEEKNUM(A1065)</f>
        <v>41</v>
      </c>
      <c r="D1065" s="4" t="s">
        <v>1563</v>
      </c>
      <c r="E1065" s="4" t="s">
        <v>1564</v>
      </c>
      <c r="F1065" s="4">
        <v>573102199997</v>
      </c>
      <c r="G1065" s="4">
        <v>70066</v>
      </c>
      <c r="H1065" s="8" t="s">
        <v>22</v>
      </c>
      <c r="I1065" s="8" t="s">
        <v>3326</v>
      </c>
      <c r="J1065" s="4" t="s">
        <v>1565</v>
      </c>
      <c r="K1065" s="4"/>
      <c r="M1065" s="4"/>
      <c r="N1065" s="7"/>
      <c r="O1065" s="7"/>
    </row>
    <row r="1066" spans="1:15" ht="38.25" x14ac:dyDescent="0.2">
      <c r="A1066" s="21">
        <v>45937</v>
      </c>
      <c r="B1066" s="11">
        <f>+MONTH(A1066)</f>
        <v>10</v>
      </c>
      <c r="C1066" s="11">
        <f>+WEEKNUM(A1066)</f>
        <v>41</v>
      </c>
      <c r="D1066" s="4" t="s">
        <v>1554</v>
      </c>
      <c r="E1066" s="4" t="s">
        <v>1555</v>
      </c>
      <c r="F1066" s="4">
        <v>573004274481</v>
      </c>
      <c r="G1066" s="4">
        <v>70384</v>
      </c>
      <c r="H1066" s="8" t="s">
        <v>3326</v>
      </c>
      <c r="I1066" s="8" t="s">
        <v>3326</v>
      </c>
      <c r="J1066" s="4" t="s">
        <v>1556</v>
      </c>
      <c r="K1066" s="4"/>
      <c r="M1066" s="4"/>
      <c r="N1066" s="7"/>
      <c r="O1066" s="7"/>
    </row>
    <row r="1067" spans="1:15" ht="38.25" x14ac:dyDescent="0.2">
      <c r="A1067" s="21">
        <v>45937</v>
      </c>
      <c r="B1067" s="11">
        <f>+MONTH(A1067)</f>
        <v>10</v>
      </c>
      <c r="C1067" s="11">
        <f>+WEEKNUM(A1067)</f>
        <v>41</v>
      </c>
      <c r="D1067" s="4" t="s">
        <v>1548</v>
      </c>
      <c r="E1067" s="4" t="s">
        <v>1549</v>
      </c>
      <c r="F1067" s="4">
        <v>573204279679</v>
      </c>
      <c r="G1067" s="4">
        <v>70849</v>
      </c>
      <c r="H1067" s="8" t="s">
        <v>3326</v>
      </c>
      <c r="I1067" s="8" t="s">
        <v>3326</v>
      </c>
      <c r="J1067" s="4" t="s">
        <v>1550</v>
      </c>
      <c r="K1067" s="4"/>
      <c r="M1067" s="4"/>
      <c r="N1067" s="7"/>
      <c r="O1067" s="7"/>
    </row>
    <row r="1068" spans="1:15" ht="51" x14ac:dyDescent="0.2">
      <c r="A1068" s="21">
        <v>45937</v>
      </c>
      <c r="B1068" s="11">
        <f>+MONTH(A1068)</f>
        <v>10</v>
      </c>
      <c r="C1068" s="11">
        <f>+WEEKNUM(A1068)</f>
        <v>41</v>
      </c>
      <c r="D1068" s="4" t="s">
        <v>1545</v>
      </c>
      <c r="E1068" s="4" t="s">
        <v>1546</v>
      </c>
      <c r="F1068" s="4">
        <v>573123591063</v>
      </c>
      <c r="G1068" s="4">
        <v>69904</v>
      </c>
      <c r="H1068" s="8" t="s">
        <v>3326</v>
      </c>
      <c r="I1068" s="8" t="s">
        <v>3326</v>
      </c>
      <c r="J1068" s="4" t="s">
        <v>1547</v>
      </c>
      <c r="K1068" s="4"/>
      <c r="M1068" s="4"/>
      <c r="N1068" s="7"/>
      <c r="O1068" s="7"/>
    </row>
    <row r="1069" spans="1:15" ht="25.5" x14ac:dyDescent="0.2">
      <c r="A1069" s="21">
        <v>45937</v>
      </c>
      <c r="B1069" s="11">
        <f>+MONTH(A1069)</f>
        <v>10</v>
      </c>
      <c r="C1069" s="11">
        <f>+WEEKNUM(A1069)</f>
        <v>41</v>
      </c>
      <c r="D1069" s="4" t="s">
        <v>1542</v>
      </c>
      <c r="E1069" s="4" t="s">
        <v>1543</v>
      </c>
      <c r="F1069" s="4">
        <v>573103278772</v>
      </c>
      <c r="G1069" s="4">
        <v>70585</v>
      </c>
      <c r="H1069" s="8" t="s">
        <v>3326</v>
      </c>
      <c r="I1069" s="8" t="s">
        <v>22</v>
      </c>
      <c r="J1069" s="4" t="s">
        <v>1544</v>
      </c>
      <c r="K1069" s="4"/>
      <c r="M1069" s="4"/>
      <c r="N1069" s="7"/>
      <c r="O1069" s="7"/>
    </row>
    <row r="1070" spans="1:15" ht="25.5" x14ac:dyDescent="0.2">
      <c r="A1070" s="21">
        <v>45937</v>
      </c>
      <c r="B1070" s="11">
        <f>+MONTH(A1070)</f>
        <v>10</v>
      </c>
      <c r="C1070" s="11">
        <f>+WEEKNUM(A1070)</f>
        <v>41</v>
      </c>
      <c r="D1070" s="4" t="s">
        <v>1402</v>
      </c>
      <c r="E1070" s="4" t="s">
        <v>1537</v>
      </c>
      <c r="F1070" s="4">
        <v>573003986514</v>
      </c>
      <c r="G1070" s="4">
        <v>70685</v>
      </c>
      <c r="H1070" s="8" t="s">
        <v>3326</v>
      </c>
      <c r="I1070" s="8" t="s">
        <v>3326</v>
      </c>
      <c r="J1070" s="4" t="s">
        <v>1538</v>
      </c>
      <c r="K1070" s="4"/>
      <c r="M1070" s="4"/>
      <c r="N1070" s="7"/>
      <c r="O1070" s="7"/>
    </row>
    <row r="1071" spans="1:15" ht="25.5" x14ac:dyDescent="0.2">
      <c r="A1071" s="21">
        <v>45937</v>
      </c>
      <c r="B1071" s="11">
        <f>+MONTH(A1071)</f>
        <v>10</v>
      </c>
      <c r="C1071" s="11">
        <f>+WEEKNUM(A1071)</f>
        <v>41</v>
      </c>
      <c r="D1071" s="4" t="s">
        <v>1560</v>
      </c>
      <c r="E1071" s="4" t="s">
        <v>1561</v>
      </c>
      <c r="F1071" s="4">
        <v>573017919938</v>
      </c>
      <c r="G1071" s="4">
        <v>70777</v>
      </c>
      <c r="H1071" s="8" t="s">
        <v>3326</v>
      </c>
      <c r="I1071" s="8" t="s">
        <v>3326</v>
      </c>
      <c r="J1071" s="4" t="s">
        <v>1562</v>
      </c>
      <c r="K1071" s="4"/>
      <c r="M1071" s="4"/>
      <c r="N1071" s="7"/>
      <c r="O1071" s="7"/>
    </row>
    <row r="1072" spans="1:15" ht="25.5" x14ac:dyDescent="0.2">
      <c r="A1072" s="21">
        <v>45937</v>
      </c>
      <c r="B1072" s="11">
        <f>+MONTH(A1072)</f>
        <v>10</v>
      </c>
      <c r="C1072" s="11">
        <f>+WEEKNUM(A1072)</f>
        <v>41</v>
      </c>
      <c r="D1072" s="4" t="s">
        <v>1539</v>
      </c>
      <c r="E1072" s="4" t="s">
        <v>1540</v>
      </c>
      <c r="F1072" s="4">
        <v>573105709077</v>
      </c>
      <c r="G1072" s="4">
        <v>70086</v>
      </c>
      <c r="H1072" s="8" t="s">
        <v>22</v>
      </c>
      <c r="I1072" s="8" t="s">
        <v>3326</v>
      </c>
      <c r="J1072" s="4" t="s">
        <v>1541</v>
      </c>
      <c r="K1072" s="4"/>
      <c r="M1072" s="4"/>
      <c r="N1072" s="7"/>
      <c r="O1072" s="7"/>
    </row>
    <row r="1073" spans="1:15" ht="12.75" x14ac:dyDescent="0.2">
      <c r="A1073" s="21">
        <v>45937</v>
      </c>
      <c r="B1073" s="11">
        <f>+MONTH(A1073)</f>
        <v>10</v>
      </c>
      <c r="C1073" s="11">
        <f>+WEEKNUM(A1073)</f>
        <v>41</v>
      </c>
      <c r="D1073" s="4" t="s">
        <v>1535</v>
      </c>
      <c r="E1073" s="4" t="s">
        <v>1536</v>
      </c>
      <c r="F1073" s="4">
        <v>573103370363</v>
      </c>
      <c r="G1073" s="4">
        <v>70658</v>
      </c>
      <c r="H1073" s="8" t="s">
        <v>3326</v>
      </c>
      <c r="I1073" s="8" t="s">
        <v>3326</v>
      </c>
      <c r="J1073" s="4" t="s">
        <v>217</v>
      </c>
      <c r="K1073" s="4"/>
      <c r="M1073" s="4"/>
      <c r="N1073" s="7"/>
      <c r="O1073" s="7"/>
    </row>
    <row r="1074" spans="1:15" ht="25.5" x14ac:dyDescent="0.2">
      <c r="A1074" s="21">
        <v>45936</v>
      </c>
      <c r="B1074" s="11">
        <f>+MONTH(A1074)</f>
        <v>10</v>
      </c>
      <c r="C1074" s="11">
        <f>+WEEKNUM(A1074)</f>
        <v>41</v>
      </c>
      <c r="D1074" s="4" t="s">
        <v>1527</v>
      </c>
      <c r="E1074" s="4" t="s">
        <v>1528</v>
      </c>
      <c r="F1074" s="4">
        <v>573164964457</v>
      </c>
      <c r="G1074" s="4">
        <v>70532</v>
      </c>
      <c r="H1074" s="8" t="s">
        <v>3326</v>
      </c>
      <c r="I1074" s="8" t="s">
        <v>3326</v>
      </c>
      <c r="J1074" s="4" t="s">
        <v>1529</v>
      </c>
      <c r="K1074" s="4"/>
      <c r="M1074" s="4"/>
      <c r="N1074" s="7"/>
      <c r="O1074" s="7"/>
    </row>
    <row r="1075" spans="1:15" ht="25.5" x14ac:dyDescent="0.2">
      <c r="A1075" s="21">
        <v>45936</v>
      </c>
      <c r="B1075" s="11">
        <f>+MONTH(A1075)</f>
        <v>10</v>
      </c>
      <c r="C1075" s="11">
        <f>+WEEKNUM(A1075)</f>
        <v>41</v>
      </c>
      <c r="D1075" s="4" t="s">
        <v>1470</v>
      </c>
      <c r="E1075" s="4" t="s">
        <v>1530</v>
      </c>
      <c r="F1075" s="4">
        <v>573045927935</v>
      </c>
      <c r="G1075" s="4">
        <v>70693</v>
      </c>
      <c r="H1075" s="8" t="s">
        <v>3325</v>
      </c>
      <c r="I1075" s="8" t="s">
        <v>3325</v>
      </c>
      <c r="J1075" s="4" t="s">
        <v>1531</v>
      </c>
      <c r="K1075" s="4"/>
      <c r="M1075" s="4"/>
      <c r="N1075" s="7"/>
      <c r="O1075" s="7"/>
    </row>
    <row r="1076" spans="1:15" ht="25.5" x14ac:dyDescent="0.2">
      <c r="A1076" s="21">
        <v>45936</v>
      </c>
      <c r="B1076" s="11">
        <f>+MONTH(A1076)</f>
        <v>10</v>
      </c>
      <c r="C1076" s="11">
        <f>+WEEKNUM(A1076)</f>
        <v>41</v>
      </c>
      <c r="D1076" s="4" t="s">
        <v>1532</v>
      </c>
      <c r="E1076" s="4" t="s">
        <v>1533</v>
      </c>
      <c r="F1076" s="4">
        <v>573103476975</v>
      </c>
      <c r="G1076" s="4">
        <v>70753</v>
      </c>
      <c r="H1076" s="8" t="s">
        <v>3326</v>
      </c>
      <c r="I1076" s="8" t="s">
        <v>3326</v>
      </c>
      <c r="J1076" s="4" t="s">
        <v>1534</v>
      </c>
      <c r="K1076" s="4"/>
      <c r="M1076" s="4"/>
      <c r="N1076" s="7"/>
      <c r="O1076" s="7"/>
    </row>
    <row r="1077" spans="1:15" ht="12.75" x14ac:dyDescent="0.2">
      <c r="A1077" s="21">
        <v>45936</v>
      </c>
      <c r="B1077" s="11">
        <f>+MONTH(A1077)</f>
        <v>10</v>
      </c>
      <c r="C1077" s="11">
        <f>+WEEKNUM(A1077)</f>
        <v>41</v>
      </c>
      <c r="D1077" s="4" t="s">
        <v>1525</v>
      </c>
      <c r="E1077" s="4" t="s">
        <v>1526</v>
      </c>
      <c r="F1077" s="4">
        <v>573004533773</v>
      </c>
      <c r="G1077" s="4">
        <v>68833</v>
      </c>
      <c r="H1077" s="8" t="s">
        <v>3326</v>
      </c>
      <c r="I1077" s="8" t="s">
        <v>3326</v>
      </c>
      <c r="J1077" s="4" t="s">
        <v>61</v>
      </c>
      <c r="K1077" s="4"/>
      <c r="M1077" s="4"/>
      <c r="N1077" s="7"/>
      <c r="O1077" s="7"/>
    </row>
    <row r="1078" spans="1:15" ht="38.25" x14ac:dyDescent="0.2">
      <c r="A1078" s="21">
        <v>45936</v>
      </c>
      <c r="B1078" s="11">
        <f>+MONTH(A1078)</f>
        <v>10</v>
      </c>
      <c r="C1078" s="11">
        <f>+WEEKNUM(A1078)</f>
        <v>41</v>
      </c>
      <c r="D1078" s="4" t="s">
        <v>1522</v>
      </c>
      <c r="E1078" s="4" t="s">
        <v>1523</v>
      </c>
      <c r="F1078" s="4">
        <v>573167295020</v>
      </c>
      <c r="G1078" s="4">
        <v>70336</v>
      </c>
      <c r="H1078" s="8" t="s">
        <v>3325</v>
      </c>
      <c r="I1078" s="8" t="s">
        <v>22</v>
      </c>
      <c r="J1078" s="4" t="s">
        <v>1524</v>
      </c>
      <c r="K1078" s="4"/>
      <c r="M1078" s="4"/>
      <c r="N1078" s="7"/>
      <c r="O1078" s="7"/>
    </row>
    <row r="1079" spans="1:15" ht="12.75" x14ac:dyDescent="0.2">
      <c r="A1079" s="21">
        <v>45936</v>
      </c>
      <c r="B1079" s="11">
        <f>+MONTH(A1079)</f>
        <v>10</v>
      </c>
      <c r="C1079" s="11">
        <f>+WEEKNUM(A1079)</f>
        <v>41</v>
      </c>
      <c r="D1079" s="4" t="s">
        <v>1519</v>
      </c>
      <c r="E1079" s="4" t="s">
        <v>1520</v>
      </c>
      <c r="F1079" s="4">
        <v>573024611512</v>
      </c>
      <c r="G1079" s="4">
        <v>70620</v>
      </c>
      <c r="H1079" s="8" t="s">
        <v>3326</v>
      </c>
      <c r="I1079" s="8" t="s">
        <v>3326</v>
      </c>
      <c r="J1079" s="4" t="s">
        <v>1521</v>
      </c>
      <c r="K1079" s="4"/>
      <c r="M1079" s="4"/>
      <c r="N1079" s="7"/>
      <c r="O1079" s="7"/>
    </row>
    <row r="1080" spans="1:15" ht="25.5" x14ac:dyDescent="0.2">
      <c r="A1080" s="21">
        <v>45936</v>
      </c>
      <c r="B1080" s="11">
        <f>+MONTH(A1080)</f>
        <v>10</v>
      </c>
      <c r="C1080" s="11">
        <f>+WEEKNUM(A1080)</f>
        <v>41</v>
      </c>
      <c r="D1080" s="4" t="s">
        <v>1516</v>
      </c>
      <c r="E1080" s="4" t="s">
        <v>1517</v>
      </c>
      <c r="F1080" s="4">
        <v>573138624997</v>
      </c>
      <c r="G1080" s="4">
        <v>70627</v>
      </c>
      <c r="H1080" s="8" t="s">
        <v>3326</v>
      </c>
      <c r="I1080" s="8" t="s">
        <v>3326</v>
      </c>
      <c r="J1080" s="4" t="s">
        <v>1518</v>
      </c>
      <c r="K1080" s="4"/>
      <c r="M1080" s="4"/>
      <c r="N1080" s="7"/>
      <c r="O1080" s="7"/>
    </row>
    <row r="1081" spans="1:15" ht="25.5" x14ac:dyDescent="0.2">
      <c r="A1081" s="21">
        <v>45936</v>
      </c>
      <c r="B1081" s="11">
        <f>+MONTH(A1081)</f>
        <v>10</v>
      </c>
      <c r="C1081" s="11">
        <f>+WEEKNUM(A1081)</f>
        <v>41</v>
      </c>
      <c r="D1081" s="4" t="s">
        <v>1513</v>
      </c>
      <c r="E1081" s="4" t="s">
        <v>1514</v>
      </c>
      <c r="F1081" s="4">
        <v>573124901709</v>
      </c>
      <c r="G1081" s="4">
        <v>70481</v>
      </c>
      <c r="H1081" s="8" t="s">
        <v>3326</v>
      </c>
      <c r="I1081" s="8" t="s">
        <v>3326</v>
      </c>
      <c r="J1081" s="4" t="s">
        <v>1515</v>
      </c>
      <c r="K1081" s="4"/>
      <c r="M1081" s="4"/>
      <c r="N1081" s="7"/>
      <c r="O1081" s="7"/>
    </row>
    <row r="1082" spans="1:15" ht="89.25" x14ac:dyDescent="0.2">
      <c r="A1082" s="21">
        <v>45936</v>
      </c>
      <c r="B1082" s="11">
        <f>+MONTH(A1082)</f>
        <v>10</v>
      </c>
      <c r="C1082" s="11">
        <f>+WEEKNUM(A1082)</f>
        <v>41</v>
      </c>
      <c r="D1082" s="4" t="s">
        <v>1510</v>
      </c>
      <c r="E1082" s="4" t="s">
        <v>1511</v>
      </c>
      <c r="F1082" s="4">
        <v>573134403104</v>
      </c>
      <c r="G1082" s="4">
        <v>69331</v>
      </c>
      <c r="H1082" s="8" t="s">
        <v>3326</v>
      </c>
      <c r="I1082" s="8" t="s">
        <v>22</v>
      </c>
      <c r="J1082" s="4" t="s">
        <v>1512</v>
      </c>
      <c r="K1082" s="4"/>
      <c r="M1082" s="4"/>
      <c r="N1082" s="7"/>
      <c r="O1082" s="7"/>
    </row>
    <row r="1083" spans="1:15" ht="38.25" x14ac:dyDescent="0.2">
      <c r="A1083" s="21">
        <v>45936</v>
      </c>
      <c r="B1083" s="11">
        <f>+MONTH(A1083)</f>
        <v>10</v>
      </c>
      <c r="C1083" s="11">
        <f>+WEEKNUM(A1083)</f>
        <v>41</v>
      </c>
      <c r="D1083" s="4" t="s">
        <v>1507</v>
      </c>
      <c r="E1083" s="4" t="s">
        <v>1508</v>
      </c>
      <c r="F1083" s="4">
        <v>573127718065</v>
      </c>
      <c r="G1083" s="4">
        <v>70766</v>
      </c>
      <c r="H1083" s="8" t="s">
        <v>3326</v>
      </c>
      <c r="I1083" s="8" t="s">
        <v>3326</v>
      </c>
      <c r="J1083" s="4" t="s">
        <v>1509</v>
      </c>
      <c r="K1083" s="4"/>
      <c r="M1083" s="4"/>
      <c r="N1083" s="7"/>
      <c r="O1083" s="7"/>
    </row>
    <row r="1084" spans="1:15" ht="76.5" x14ac:dyDescent="0.2">
      <c r="A1084" s="21">
        <v>45936</v>
      </c>
      <c r="B1084" s="11">
        <f>+MONTH(A1084)</f>
        <v>10</v>
      </c>
      <c r="C1084" s="11">
        <f>+WEEKNUM(A1084)</f>
        <v>41</v>
      </c>
      <c r="D1084" s="4" t="s">
        <v>1506</v>
      </c>
      <c r="E1084" s="4" t="s">
        <v>1506</v>
      </c>
      <c r="F1084" s="4">
        <v>573165314287</v>
      </c>
      <c r="G1084" s="4">
        <v>70569</v>
      </c>
      <c r="H1084" s="8" t="s">
        <v>22</v>
      </c>
      <c r="I1084" s="8" t="s">
        <v>22</v>
      </c>
      <c r="J1084" s="4"/>
      <c r="K1084" s="4"/>
      <c r="M1084" s="4"/>
      <c r="N1084" s="7"/>
      <c r="O1084" s="7"/>
    </row>
    <row r="1085" spans="1:15" ht="12.75" x14ac:dyDescent="0.2">
      <c r="A1085" s="21">
        <v>45934</v>
      </c>
      <c r="B1085" s="11">
        <f>+MONTH(A1085)</f>
        <v>10</v>
      </c>
      <c r="C1085" s="11">
        <f>+WEEKNUM(A1085)</f>
        <v>40</v>
      </c>
      <c r="D1085" s="4" t="s">
        <v>1499</v>
      </c>
      <c r="E1085" s="4" t="s">
        <v>1500</v>
      </c>
      <c r="F1085" s="4">
        <v>573164729099</v>
      </c>
      <c r="G1085" s="4">
        <v>70091</v>
      </c>
      <c r="H1085" s="8" t="s">
        <v>22</v>
      </c>
      <c r="I1085" s="8" t="s">
        <v>22</v>
      </c>
      <c r="J1085" s="4"/>
      <c r="K1085" s="4"/>
      <c r="M1085" s="4"/>
      <c r="N1085" s="7"/>
      <c r="O1085" s="7"/>
    </row>
    <row r="1086" spans="1:15" ht="51" x14ac:dyDescent="0.2">
      <c r="A1086" s="21">
        <v>45934</v>
      </c>
      <c r="B1086" s="11">
        <f>+MONTH(A1086)</f>
        <v>10</v>
      </c>
      <c r="C1086" s="11">
        <f>+WEEKNUM(A1086)</f>
        <v>40</v>
      </c>
      <c r="D1086" s="4" t="s">
        <v>1493</v>
      </c>
      <c r="E1086" s="4" t="s">
        <v>1494</v>
      </c>
      <c r="F1086" s="4">
        <v>573505816828</v>
      </c>
      <c r="G1086" s="4">
        <v>70526</v>
      </c>
      <c r="H1086" s="8" t="s">
        <v>3326</v>
      </c>
      <c r="I1086" s="8" t="s">
        <v>3326</v>
      </c>
      <c r="J1086" s="4" t="s">
        <v>1495</v>
      </c>
      <c r="K1086" s="4"/>
      <c r="M1086" s="4"/>
      <c r="N1086" s="7"/>
      <c r="O1086" s="7"/>
    </row>
    <row r="1087" spans="1:15" ht="25.5" x14ac:dyDescent="0.2">
      <c r="A1087" s="21">
        <v>45934</v>
      </c>
      <c r="B1087" s="11">
        <f>+MONTH(A1087)</f>
        <v>10</v>
      </c>
      <c r="C1087" s="11">
        <f>+WEEKNUM(A1087)</f>
        <v>40</v>
      </c>
      <c r="D1087" s="4" t="s">
        <v>1496</v>
      </c>
      <c r="E1087" s="4" t="s">
        <v>1497</v>
      </c>
      <c r="F1087" s="4">
        <v>573137319209</v>
      </c>
      <c r="G1087" s="4">
        <v>69629</v>
      </c>
      <c r="H1087" s="8" t="s">
        <v>3326</v>
      </c>
      <c r="I1087" s="8" t="s">
        <v>3326</v>
      </c>
      <c r="J1087" s="4" t="s">
        <v>1498</v>
      </c>
      <c r="K1087" s="4"/>
      <c r="M1087" s="4"/>
      <c r="N1087" s="7"/>
      <c r="O1087" s="7"/>
    </row>
    <row r="1088" spans="1:15" ht="25.5" x14ac:dyDescent="0.2">
      <c r="A1088" s="21">
        <v>45934</v>
      </c>
      <c r="B1088" s="11">
        <f>+MONTH(A1088)</f>
        <v>10</v>
      </c>
      <c r="C1088" s="11">
        <f>+WEEKNUM(A1088)</f>
        <v>40</v>
      </c>
      <c r="D1088" s="4" t="s">
        <v>1503</v>
      </c>
      <c r="E1088" s="4" t="s">
        <v>1504</v>
      </c>
      <c r="F1088" s="4">
        <v>573105544342</v>
      </c>
      <c r="G1088" s="4">
        <v>70085</v>
      </c>
      <c r="H1088" s="8" t="s">
        <v>3326</v>
      </c>
      <c r="I1088" s="8" t="s">
        <v>3326</v>
      </c>
      <c r="J1088" s="4" t="s">
        <v>1505</v>
      </c>
      <c r="K1088" s="4"/>
      <c r="M1088" s="4"/>
      <c r="N1088" s="7"/>
      <c r="O1088" s="7"/>
    </row>
    <row r="1089" spans="1:15" ht="51" x14ac:dyDescent="0.2">
      <c r="A1089" s="21">
        <v>45934</v>
      </c>
      <c r="B1089" s="11">
        <f>+MONTH(A1089)</f>
        <v>10</v>
      </c>
      <c r="C1089" s="11">
        <f>+WEEKNUM(A1089)</f>
        <v>40</v>
      </c>
      <c r="D1089" s="4" t="s">
        <v>1484</v>
      </c>
      <c r="E1089" s="4" t="s">
        <v>1485</v>
      </c>
      <c r="F1089" s="4">
        <v>573226858232</v>
      </c>
      <c r="G1089" s="4">
        <v>70337</v>
      </c>
      <c r="H1089" s="8" t="s">
        <v>3326</v>
      </c>
      <c r="I1089" s="8" t="s">
        <v>3326</v>
      </c>
      <c r="J1089" s="4" t="s">
        <v>1486</v>
      </c>
      <c r="K1089" s="4"/>
      <c r="M1089" s="4"/>
      <c r="N1089" s="7"/>
      <c r="O1089" s="7"/>
    </row>
    <row r="1090" spans="1:15" ht="76.5" x14ac:dyDescent="0.2">
      <c r="A1090" s="21">
        <v>45934</v>
      </c>
      <c r="B1090" s="11">
        <f>+MONTH(A1090)</f>
        <v>10</v>
      </c>
      <c r="C1090" s="11">
        <f>+WEEKNUM(A1090)</f>
        <v>40</v>
      </c>
      <c r="D1090" s="4" t="s">
        <v>1487</v>
      </c>
      <c r="E1090" s="4" t="s">
        <v>1488</v>
      </c>
      <c r="F1090" s="4">
        <v>573013290493</v>
      </c>
      <c r="G1090" s="4">
        <v>70159</v>
      </c>
      <c r="H1090" s="8" t="s">
        <v>3326</v>
      </c>
      <c r="I1090" s="8" t="s">
        <v>22</v>
      </c>
      <c r="J1090" s="4" t="s">
        <v>1489</v>
      </c>
      <c r="K1090" s="4"/>
      <c r="M1090" s="4"/>
      <c r="N1090" s="7"/>
      <c r="O1090" s="7"/>
    </row>
    <row r="1091" spans="1:15" ht="25.5" x14ac:dyDescent="0.2">
      <c r="A1091" s="21">
        <v>45934</v>
      </c>
      <c r="B1091" s="11">
        <f>+MONTH(A1091)</f>
        <v>10</v>
      </c>
      <c r="C1091" s="11">
        <f>+WEEKNUM(A1091)</f>
        <v>40</v>
      </c>
      <c r="D1091" s="4" t="s">
        <v>1490</v>
      </c>
      <c r="E1091" s="4" t="s">
        <v>1491</v>
      </c>
      <c r="F1091" s="4">
        <v>573102058710</v>
      </c>
      <c r="G1091" s="4">
        <v>69631</v>
      </c>
      <c r="H1091" s="8" t="s">
        <v>3326</v>
      </c>
      <c r="I1091" s="8" t="s">
        <v>3326</v>
      </c>
      <c r="J1091" s="4" t="s">
        <v>1492</v>
      </c>
      <c r="K1091" s="4"/>
      <c r="M1091" s="4"/>
      <c r="N1091" s="7"/>
      <c r="O1091" s="7"/>
    </row>
    <row r="1092" spans="1:15" ht="12.75" x14ac:dyDescent="0.2">
      <c r="A1092" s="21">
        <v>45934</v>
      </c>
      <c r="B1092" s="11">
        <f>+MONTH(A1092)</f>
        <v>10</v>
      </c>
      <c r="C1092" s="11">
        <f>+WEEKNUM(A1092)</f>
        <v>40</v>
      </c>
      <c r="D1092" s="4" t="s">
        <v>1481</v>
      </c>
      <c r="E1092" s="4" t="s">
        <v>1482</v>
      </c>
      <c r="F1092" s="4">
        <v>573107503032</v>
      </c>
      <c r="G1092" s="4">
        <v>70501</v>
      </c>
      <c r="H1092" s="8" t="s">
        <v>3326</v>
      </c>
      <c r="I1092" s="8" t="s">
        <v>3326</v>
      </c>
      <c r="J1092" s="4" t="s">
        <v>1483</v>
      </c>
      <c r="K1092" s="4"/>
      <c r="M1092" s="4"/>
      <c r="N1092" s="7"/>
      <c r="O1092" s="7"/>
    </row>
    <row r="1093" spans="1:15" ht="25.5" x14ac:dyDescent="0.2">
      <c r="A1093" s="21">
        <v>45934</v>
      </c>
      <c r="B1093" s="11">
        <f>+MONTH(A1093)</f>
        <v>10</v>
      </c>
      <c r="C1093" s="11">
        <f>+WEEKNUM(A1093)</f>
        <v>40</v>
      </c>
      <c r="D1093" s="4" t="s">
        <v>1501</v>
      </c>
      <c r="E1093" s="4" t="s">
        <v>1502</v>
      </c>
      <c r="F1093" s="4">
        <v>573112974457</v>
      </c>
      <c r="G1093" s="4">
        <v>70562</v>
      </c>
      <c r="H1093" s="8" t="s">
        <v>3326</v>
      </c>
      <c r="I1093" s="8" t="s">
        <v>3326</v>
      </c>
      <c r="J1093" s="4" t="s">
        <v>31</v>
      </c>
      <c r="K1093" s="4"/>
      <c r="M1093" s="4"/>
      <c r="N1093" s="7"/>
      <c r="O1093" s="7"/>
    </row>
    <row r="1094" spans="1:15" ht="25.5" x14ac:dyDescent="0.2">
      <c r="A1094" s="21">
        <v>45934</v>
      </c>
      <c r="B1094" s="11">
        <f>+MONTH(A1094)</f>
        <v>10</v>
      </c>
      <c r="C1094" s="11">
        <f>+WEEKNUM(A1094)</f>
        <v>40</v>
      </c>
      <c r="D1094" s="4" t="s">
        <v>1479</v>
      </c>
      <c r="E1094" s="4" t="s">
        <v>1480</v>
      </c>
      <c r="F1094" s="4">
        <v>573124145562</v>
      </c>
      <c r="G1094" s="4">
        <v>70176</v>
      </c>
      <c r="H1094" s="8" t="s">
        <v>3326</v>
      </c>
      <c r="I1094" s="8" t="s">
        <v>3326</v>
      </c>
      <c r="J1094" s="4" t="s">
        <v>64</v>
      </c>
      <c r="K1094" s="4"/>
      <c r="M1094" s="4"/>
      <c r="N1094" s="7"/>
      <c r="O1094" s="7"/>
    </row>
    <row r="1095" spans="1:15" ht="25.5" x14ac:dyDescent="0.2">
      <c r="A1095" s="21">
        <v>45934</v>
      </c>
      <c r="B1095" s="11">
        <f>+MONTH(A1095)</f>
        <v>10</v>
      </c>
      <c r="C1095" s="11">
        <f>+WEEKNUM(A1095)</f>
        <v>40</v>
      </c>
      <c r="D1095" s="4" t="s">
        <v>1476</v>
      </c>
      <c r="E1095" s="4" t="s">
        <v>1477</v>
      </c>
      <c r="F1095" s="4">
        <v>573177841020</v>
      </c>
      <c r="G1095" s="4">
        <v>70161</v>
      </c>
      <c r="H1095" s="8" t="s">
        <v>3326</v>
      </c>
      <c r="I1095" s="8" t="s">
        <v>3326</v>
      </c>
      <c r="J1095" s="4" t="s">
        <v>1478</v>
      </c>
      <c r="K1095" s="4"/>
      <c r="M1095" s="4"/>
      <c r="N1095" s="7"/>
      <c r="O1095" s="7"/>
    </row>
    <row r="1096" spans="1:15" ht="25.5" x14ac:dyDescent="0.2">
      <c r="A1096" s="21">
        <v>45933</v>
      </c>
      <c r="B1096" s="11">
        <f>+MONTH(A1096)</f>
        <v>10</v>
      </c>
      <c r="C1096" s="11">
        <f>+WEEKNUM(A1096)</f>
        <v>40</v>
      </c>
      <c r="D1096" s="4" t="s">
        <v>1465</v>
      </c>
      <c r="E1096" s="4" t="s">
        <v>1466</v>
      </c>
      <c r="F1096" s="4">
        <v>573053708688</v>
      </c>
      <c r="G1096" s="4">
        <v>70225</v>
      </c>
      <c r="H1096" s="8" t="s">
        <v>3326</v>
      </c>
      <c r="I1096" s="8" t="s">
        <v>3326</v>
      </c>
      <c r="J1096" s="4" t="s">
        <v>64</v>
      </c>
      <c r="K1096" s="4"/>
      <c r="M1096" s="4"/>
      <c r="N1096" s="7"/>
      <c r="O1096" s="7"/>
    </row>
    <row r="1097" spans="1:15" ht="63.75" x14ac:dyDescent="0.2">
      <c r="A1097" s="21">
        <v>45933</v>
      </c>
      <c r="B1097" s="11">
        <f>+MONTH(A1097)</f>
        <v>10</v>
      </c>
      <c r="C1097" s="11">
        <f>+WEEKNUM(A1097)</f>
        <v>40</v>
      </c>
      <c r="D1097" s="4" t="s">
        <v>1467</v>
      </c>
      <c r="E1097" s="4" t="s">
        <v>1468</v>
      </c>
      <c r="F1097" s="4">
        <v>573022532053</v>
      </c>
      <c r="G1097" s="4">
        <v>70365</v>
      </c>
      <c r="H1097" s="8" t="s">
        <v>3325</v>
      </c>
      <c r="I1097" s="8" t="s">
        <v>3325</v>
      </c>
      <c r="J1097" s="4" t="s">
        <v>1469</v>
      </c>
      <c r="K1097" s="4"/>
      <c r="M1097" s="4"/>
      <c r="N1097" s="7"/>
      <c r="O1097" s="7"/>
    </row>
    <row r="1098" spans="1:15" ht="63.75" x14ac:dyDescent="0.2">
      <c r="A1098" s="21">
        <v>45933</v>
      </c>
      <c r="B1098" s="11">
        <f>+MONTH(A1098)</f>
        <v>10</v>
      </c>
      <c r="C1098" s="11">
        <f>+WEEKNUM(A1098)</f>
        <v>40</v>
      </c>
      <c r="D1098" s="4" t="s">
        <v>1467</v>
      </c>
      <c r="E1098" s="4" t="s">
        <v>1468</v>
      </c>
      <c r="F1098" s="4">
        <v>573022532053</v>
      </c>
      <c r="G1098" s="4">
        <v>70365</v>
      </c>
      <c r="H1098" s="8" t="s">
        <v>3325</v>
      </c>
      <c r="I1098" s="8" t="s">
        <v>3325</v>
      </c>
      <c r="J1098" s="4" t="s">
        <v>1469</v>
      </c>
      <c r="K1098" s="4"/>
      <c r="M1098" s="4"/>
      <c r="N1098" s="7"/>
      <c r="O1098" s="7"/>
    </row>
    <row r="1099" spans="1:15" ht="12.75" x14ac:dyDescent="0.2">
      <c r="A1099" s="21">
        <v>45933</v>
      </c>
      <c r="B1099" s="11">
        <f>+MONTH(A1099)</f>
        <v>10</v>
      </c>
      <c r="C1099" s="11">
        <f>+WEEKNUM(A1099)</f>
        <v>40</v>
      </c>
      <c r="D1099" s="4" t="s">
        <v>1456</v>
      </c>
      <c r="E1099" s="4" t="s">
        <v>1457</v>
      </c>
      <c r="F1099" s="4">
        <v>573152833976</v>
      </c>
      <c r="G1099" s="4">
        <v>70570</v>
      </c>
      <c r="H1099" s="8" t="s">
        <v>3326</v>
      </c>
      <c r="I1099" s="8" t="s">
        <v>3326</v>
      </c>
      <c r="J1099" s="4" t="s">
        <v>1458</v>
      </c>
      <c r="K1099" s="4"/>
      <c r="M1099" s="4"/>
      <c r="N1099" s="7"/>
      <c r="O1099" s="7"/>
    </row>
    <row r="1100" spans="1:15" ht="25.5" x14ac:dyDescent="0.2">
      <c r="A1100" s="21">
        <v>45933</v>
      </c>
      <c r="B1100" s="11">
        <f>+MONTH(A1100)</f>
        <v>10</v>
      </c>
      <c r="C1100" s="11">
        <f>+WEEKNUM(A1100)</f>
        <v>40</v>
      </c>
      <c r="D1100" s="4" t="s">
        <v>1453</v>
      </c>
      <c r="E1100" s="4" t="s">
        <v>1454</v>
      </c>
      <c r="F1100" s="4">
        <v>573114831327</v>
      </c>
      <c r="G1100" s="4">
        <v>70632</v>
      </c>
      <c r="H1100" s="8" t="s">
        <v>3326</v>
      </c>
      <c r="I1100" s="8" t="s">
        <v>3326</v>
      </c>
      <c r="J1100" s="4" t="s">
        <v>1455</v>
      </c>
      <c r="K1100" s="4"/>
      <c r="M1100" s="4"/>
      <c r="N1100" s="7"/>
      <c r="O1100" s="7"/>
    </row>
    <row r="1101" spans="1:15" ht="25.5" x14ac:dyDescent="0.2">
      <c r="A1101" s="21">
        <v>45933</v>
      </c>
      <c r="B1101" s="11">
        <f>+MONTH(A1101)</f>
        <v>10</v>
      </c>
      <c r="C1101" s="11">
        <f>+WEEKNUM(A1101)</f>
        <v>40</v>
      </c>
      <c r="D1101" s="4" t="s">
        <v>1462</v>
      </c>
      <c r="E1101" s="4" t="s">
        <v>1463</v>
      </c>
      <c r="F1101" s="4">
        <v>573172739003</v>
      </c>
      <c r="G1101" s="4">
        <v>70565</v>
      </c>
      <c r="H1101" s="8" t="s">
        <v>3326</v>
      </c>
      <c r="I1101" s="8" t="s">
        <v>3326</v>
      </c>
      <c r="J1101" s="4" t="s">
        <v>1464</v>
      </c>
      <c r="K1101" s="4"/>
      <c r="M1101" s="4"/>
      <c r="N1101" s="7"/>
      <c r="O1101" s="7"/>
    </row>
    <row r="1102" spans="1:15" ht="25.5" x14ac:dyDescent="0.2">
      <c r="A1102" s="21">
        <v>45933</v>
      </c>
      <c r="B1102" s="11">
        <f>+MONTH(A1102)</f>
        <v>10</v>
      </c>
      <c r="C1102" s="11">
        <f>+WEEKNUM(A1102)</f>
        <v>40</v>
      </c>
      <c r="D1102" s="4" t="s">
        <v>1450</v>
      </c>
      <c r="E1102" s="4" t="s">
        <v>1451</v>
      </c>
      <c r="F1102" s="4">
        <v>573167522290</v>
      </c>
      <c r="G1102" s="4">
        <v>70543</v>
      </c>
      <c r="H1102" s="8" t="s">
        <v>3326</v>
      </c>
      <c r="I1102" s="8" t="s">
        <v>3326</v>
      </c>
      <c r="J1102" s="4" t="s">
        <v>1452</v>
      </c>
      <c r="K1102" s="4"/>
      <c r="M1102" s="4"/>
      <c r="N1102" s="7"/>
      <c r="O1102" s="7"/>
    </row>
    <row r="1103" spans="1:15" ht="12.75" x14ac:dyDescent="0.2">
      <c r="A1103" s="21">
        <v>45933</v>
      </c>
      <c r="B1103" s="11">
        <f>+MONTH(A1103)</f>
        <v>10</v>
      </c>
      <c r="C1103" s="11">
        <f>+WEEKNUM(A1103)</f>
        <v>40</v>
      </c>
      <c r="D1103" s="4" t="s">
        <v>1445</v>
      </c>
      <c r="E1103" s="4" t="s">
        <v>1446</v>
      </c>
      <c r="F1103" s="4">
        <v>573195909001</v>
      </c>
      <c r="G1103" s="4">
        <v>70556</v>
      </c>
      <c r="H1103" s="8" t="s">
        <v>3326</v>
      </c>
      <c r="I1103" s="8" t="s">
        <v>3326</v>
      </c>
      <c r="J1103" s="4" t="s">
        <v>174</v>
      </c>
      <c r="K1103" s="4"/>
      <c r="M1103" s="4"/>
      <c r="N1103" s="7"/>
      <c r="O1103" s="7"/>
    </row>
    <row r="1104" spans="1:15" ht="25.5" x14ac:dyDescent="0.2">
      <c r="A1104" s="21">
        <v>45933</v>
      </c>
      <c r="B1104" s="11">
        <f>+MONTH(A1104)</f>
        <v>10</v>
      </c>
      <c r="C1104" s="11">
        <f>+WEEKNUM(A1104)</f>
        <v>40</v>
      </c>
      <c r="D1104" s="4" t="s">
        <v>1459</v>
      </c>
      <c r="E1104" s="4" t="s">
        <v>1460</v>
      </c>
      <c r="F1104" s="4">
        <v>573214118647</v>
      </c>
      <c r="G1104" s="4">
        <v>70063</v>
      </c>
      <c r="H1104" s="8" t="s">
        <v>3326</v>
      </c>
      <c r="I1104" s="8" t="s">
        <v>3326</v>
      </c>
      <c r="J1104" s="4" t="s">
        <v>1461</v>
      </c>
      <c r="K1104" s="4"/>
      <c r="M1104" s="4"/>
      <c r="N1104" s="7"/>
      <c r="O1104" s="7"/>
    </row>
    <row r="1105" spans="1:15" ht="25.5" x14ac:dyDescent="0.2">
      <c r="A1105" s="21">
        <v>45933</v>
      </c>
      <c r="B1105" s="11">
        <f>+MONTH(A1105)</f>
        <v>10</v>
      </c>
      <c r="C1105" s="11">
        <f>+WEEKNUM(A1105)</f>
        <v>40</v>
      </c>
      <c r="D1105" s="4" t="s">
        <v>1447</v>
      </c>
      <c r="E1105" s="4" t="s">
        <v>1448</v>
      </c>
      <c r="F1105" s="4">
        <v>573167474592</v>
      </c>
      <c r="G1105" s="4">
        <v>70522</v>
      </c>
      <c r="H1105" s="8" t="s">
        <v>3326</v>
      </c>
      <c r="I1105" s="8" t="s">
        <v>3326</v>
      </c>
      <c r="J1105" s="4" t="s">
        <v>1449</v>
      </c>
      <c r="K1105" s="4"/>
      <c r="M1105" s="4"/>
      <c r="N1105" s="7"/>
      <c r="O1105" s="7"/>
    </row>
    <row r="1106" spans="1:15" ht="25.5" x14ac:dyDescent="0.2">
      <c r="A1106" s="21">
        <v>45933</v>
      </c>
      <c r="B1106" s="11">
        <f>+MONTH(A1106)</f>
        <v>10</v>
      </c>
      <c r="C1106" s="11">
        <f>+WEEKNUM(A1106)</f>
        <v>40</v>
      </c>
      <c r="D1106" s="4" t="s">
        <v>1470</v>
      </c>
      <c r="E1106" s="4" t="s">
        <v>1471</v>
      </c>
      <c r="F1106" s="4">
        <v>573155277625</v>
      </c>
      <c r="G1106" s="4">
        <v>70486</v>
      </c>
      <c r="H1106" s="8" t="s">
        <v>3326</v>
      </c>
      <c r="I1106" s="8" t="s">
        <v>3326</v>
      </c>
      <c r="J1106" s="4" t="s">
        <v>1472</v>
      </c>
      <c r="K1106" s="4"/>
      <c r="M1106" s="4"/>
      <c r="N1106" s="7"/>
      <c r="O1106" s="7"/>
    </row>
    <row r="1107" spans="1:15" ht="25.5" x14ac:dyDescent="0.2">
      <c r="A1107" s="21">
        <v>45933</v>
      </c>
      <c r="B1107" s="11">
        <f>+MONTH(A1107)</f>
        <v>10</v>
      </c>
      <c r="C1107" s="11">
        <f>+WEEKNUM(A1107)</f>
        <v>40</v>
      </c>
      <c r="D1107" s="4" t="s">
        <v>1442</v>
      </c>
      <c r="E1107" s="4" t="s">
        <v>1443</v>
      </c>
      <c r="F1107" s="4">
        <v>573208333020</v>
      </c>
      <c r="G1107" s="4">
        <v>69702</v>
      </c>
      <c r="H1107" s="8" t="s">
        <v>3326</v>
      </c>
      <c r="I1107" s="8" t="s">
        <v>3326</v>
      </c>
      <c r="J1107" s="4" t="s">
        <v>1444</v>
      </c>
      <c r="K1107" s="4"/>
      <c r="M1107" s="4"/>
      <c r="N1107" s="7"/>
      <c r="O1107" s="7"/>
    </row>
    <row r="1108" spans="1:15" ht="25.5" x14ac:dyDescent="0.2">
      <c r="A1108" s="21">
        <v>45933</v>
      </c>
      <c r="B1108" s="11">
        <f>+MONTH(A1108)</f>
        <v>10</v>
      </c>
      <c r="C1108" s="11">
        <f>+WEEKNUM(A1108)</f>
        <v>40</v>
      </c>
      <c r="D1108" s="4" t="s">
        <v>1438</v>
      </c>
      <c r="E1108" s="4" t="s">
        <v>1439</v>
      </c>
      <c r="F1108" s="4">
        <v>573152760538</v>
      </c>
      <c r="G1108" s="4">
        <v>69819</v>
      </c>
      <c r="H1108" s="8" t="s">
        <v>3326</v>
      </c>
      <c r="I1108" s="8" t="s">
        <v>3326</v>
      </c>
      <c r="J1108" s="4" t="s">
        <v>1440</v>
      </c>
      <c r="K1108" s="4" t="s">
        <v>90</v>
      </c>
      <c r="M1108" s="4" t="s">
        <v>1441</v>
      </c>
      <c r="N1108" s="7"/>
      <c r="O1108" s="7"/>
    </row>
    <row r="1109" spans="1:15" ht="25.5" x14ac:dyDescent="0.2">
      <c r="A1109" s="21">
        <v>45933</v>
      </c>
      <c r="B1109" s="11">
        <f>+MONTH(A1109)</f>
        <v>10</v>
      </c>
      <c r="C1109" s="11">
        <f>+WEEKNUM(A1109)</f>
        <v>40</v>
      </c>
      <c r="D1109" s="4" t="s">
        <v>1435</v>
      </c>
      <c r="E1109" s="4" t="s">
        <v>1436</v>
      </c>
      <c r="F1109" s="4">
        <v>573002263898</v>
      </c>
      <c r="G1109" s="4">
        <v>70447</v>
      </c>
      <c r="H1109" s="8" t="s">
        <v>3326</v>
      </c>
      <c r="I1109" s="8" t="s">
        <v>3326</v>
      </c>
      <c r="J1109" s="4" t="s">
        <v>1437</v>
      </c>
      <c r="K1109" s="4"/>
      <c r="M1109" s="4"/>
      <c r="N1109" s="7"/>
      <c r="O1109" s="7"/>
    </row>
    <row r="1110" spans="1:15" ht="12.75" x14ac:dyDescent="0.2">
      <c r="A1110" s="21">
        <v>45933</v>
      </c>
      <c r="B1110" s="11">
        <f>+MONTH(A1110)</f>
        <v>10</v>
      </c>
      <c r="C1110" s="11">
        <f>+WEEKNUM(A1110)</f>
        <v>40</v>
      </c>
      <c r="D1110" s="4" t="s">
        <v>1433</v>
      </c>
      <c r="E1110" s="4" t="s">
        <v>1434</v>
      </c>
      <c r="F1110" s="4">
        <v>573118400324</v>
      </c>
      <c r="G1110" s="4">
        <v>70466</v>
      </c>
      <c r="H1110" s="8" t="s">
        <v>3326</v>
      </c>
      <c r="I1110" s="8" t="s">
        <v>3326</v>
      </c>
      <c r="J1110" s="4" t="s">
        <v>120</v>
      </c>
      <c r="K1110" s="4"/>
      <c r="M1110" s="4"/>
      <c r="N1110" s="7"/>
      <c r="O1110" s="7"/>
    </row>
    <row r="1111" spans="1:15" ht="25.5" x14ac:dyDescent="0.2">
      <c r="A1111" s="21">
        <v>45933</v>
      </c>
      <c r="B1111" s="11">
        <f>+MONTH(A1111)</f>
        <v>10</v>
      </c>
      <c r="C1111" s="11">
        <f>+WEEKNUM(A1111)</f>
        <v>40</v>
      </c>
      <c r="D1111" s="4" t="s">
        <v>1430</v>
      </c>
      <c r="E1111" s="4" t="s">
        <v>1431</v>
      </c>
      <c r="F1111" s="4">
        <v>573102988470</v>
      </c>
      <c r="G1111" s="4">
        <v>70025</v>
      </c>
      <c r="H1111" s="8" t="s">
        <v>3326</v>
      </c>
      <c r="I1111" s="8" t="s">
        <v>3326</v>
      </c>
      <c r="J1111" s="4" t="s">
        <v>1432</v>
      </c>
      <c r="K1111" s="4"/>
      <c r="M1111" s="4"/>
      <c r="N1111" s="7"/>
      <c r="O1111" s="7"/>
    </row>
    <row r="1112" spans="1:15" ht="25.5" x14ac:dyDescent="0.2">
      <c r="A1112" s="21">
        <v>45932</v>
      </c>
      <c r="B1112" s="11">
        <f>+MONTH(A1112)</f>
        <v>10</v>
      </c>
      <c r="C1112" s="11">
        <f>+WEEKNUM(A1112)</f>
        <v>40</v>
      </c>
      <c r="D1112" s="4" t="s">
        <v>1424</v>
      </c>
      <c r="E1112" s="4" t="s">
        <v>1425</v>
      </c>
      <c r="F1112" s="4">
        <v>573102688114</v>
      </c>
      <c r="G1112" s="4">
        <v>70492</v>
      </c>
      <c r="H1112" s="8" t="s">
        <v>3326</v>
      </c>
      <c r="I1112" s="8" t="s">
        <v>3326</v>
      </c>
      <c r="J1112" s="4" t="s">
        <v>1426</v>
      </c>
      <c r="K1112" s="4"/>
      <c r="M1112" s="4"/>
      <c r="N1112" s="7"/>
      <c r="O1112" s="7"/>
    </row>
    <row r="1113" spans="1:15" ht="25.5" x14ac:dyDescent="0.2">
      <c r="A1113" s="21">
        <v>45932</v>
      </c>
      <c r="B1113" s="11">
        <f>+MONTH(A1113)</f>
        <v>10</v>
      </c>
      <c r="C1113" s="11">
        <f>+WEEKNUM(A1113)</f>
        <v>40</v>
      </c>
      <c r="D1113" s="4" t="s">
        <v>1427</v>
      </c>
      <c r="E1113" s="4" t="s">
        <v>1428</v>
      </c>
      <c r="F1113" s="4">
        <v>573008489988</v>
      </c>
      <c r="G1113" s="4">
        <v>70503</v>
      </c>
      <c r="H1113" s="8" t="s">
        <v>3326</v>
      </c>
      <c r="I1113" s="8" t="s">
        <v>3326</v>
      </c>
      <c r="J1113" s="4" t="s">
        <v>1429</v>
      </c>
      <c r="K1113" s="4"/>
      <c r="M1113" s="4"/>
      <c r="N1113" s="7"/>
      <c r="O1113" s="7"/>
    </row>
    <row r="1114" spans="1:15" ht="38.25" x14ac:dyDescent="0.2">
      <c r="A1114" s="10">
        <v>45932</v>
      </c>
      <c r="B1114" s="11">
        <f>+MONTH(A1114)</f>
        <v>10</v>
      </c>
      <c r="C1114" s="11">
        <f>+WEEKNUM(A1114)</f>
        <v>40</v>
      </c>
      <c r="D1114" s="4" t="s">
        <v>1421</v>
      </c>
      <c r="E1114" s="4" t="s">
        <v>1422</v>
      </c>
      <c r="F1114" s="4">
        <v>573208122310</v>
      </c>
      <c r="G1114" s="4">
        <v>69934</v>
      </c>
      <c r="H1114" s="8" t="s">
        <v>3326</v>
      </c>
      <c r="I1114" s="8" t="s">
        <v>3326</v>
      </c>
      <c r="J1114" s="4" t="s">
        <v>1423</v>
      </c>
      <c r="K1114" s="4"/>
      <c r="M1114" s="4"/>
      <c r="N1114" s="7"/>
      <c r="O1114" s="7"/>
    </row>
    <row r="1115" spans="1:15" ht="25.5" x14ac:dyDescent="0.2">
      <c r="A1115" s="10">
        <v>45932</v>
      </c>
      <c r="B1115" s="11">
        <f>+MONTH(A1115)</f>
        <v>10</v>
      </c>
      <c r="C1115" s="11">
        <f>+WEEKNUM(A1115)</f>
        <v>40</v>
      </c>
      <c r="D1115" s="4" t="s">
        <v>1418</v>
      </c>
      <c r="E1115" s="4" t="s">
        <v>1419</v>
      </c>
      <c r="F1115" s="4">
        <v>573183831271</v>
      </c>
      <c r="G1115" s="4">
        <v>70390</v>
      </c>
      <c r="H1115" s="8" t="s">
        <v>3326</v>
      </c>
      <c r="I1115" s="8" t="s">
        <v>3326</v>
      </c>
      <c r="J1115" s="4" t="s">
        <v>1420</v>
      </c>
      <c r="K1115" s="4"/>
      <c r="M1115" s="4"/>
      <c r="N1115" s="7"/>
      <c r="O1115" s="7"/>
    </row>
    <row r="1116" spans="1:15" ht="12.75" x14ac:dyDescent="0.2">
      <c r="A1116" s="10">
        <v>45932</v>
      </c>
      <c r="B1116" s="11">
        <f>+MONTH(A1116)</f>
        <v>10</v>
      </c>
      <c r="C1116" s="11">
        <f>+WEEKNUM(A1116)</f>
        <v>40</v>
      </c>
      <c r="D1116" s="4" t="s">
        <v>1415</v>
      </c>
      <c r="E1116" s="4" t="s">
        <v>1416</v>
      </c>
      <c r="F1116" s="4">
        <v>573007786192</v>
      </c>
      <c r="G1116" s="4">
        <v>70291</v>
      </c>
      <c r="H1116" s="8" t="s">
        <v>3326</v>
      </c>
      <c r="I1116" s="8" t="s">
        <v>3326</v>
      </c>
      <c r="J1116" s="4" t="s">
        <v>1417</v>
      </c>
      <c r="K1116" s="4"/>
      <c r="M1116" s="4"/>
      <c r="N1116" s="7"/>
      <c r="O1116" s="7"/>
    </row>
    <row r="1117" spans="1:15" ht="25.5" x14ac:dyDescent="0.2">
      <c r="A1117" s="10">
        <v>45932</v>
      </c>
      <c r="B1117" s="11">
        <f>+MONTH(A1117)</f>
        <v>10</v>
      </c>
      <c r="C1117" s="11">
        <f>+WEEKNUM(A1117)</f>
        <v>40</v>
      </c>
      <c r="D1117" s="4" t="s">
        <v>1402</v>
      </c>
      <c r="E1117" s="4" t="s">
        <v>1403</v>
      </c>
      <c r="F1117" s="4">
        <v>573123750446</v>
      </c>
      <c r="G1117" s="4">
        <v>70126</v>
      </c>
      <c r="H1117" s="8" t="s">
        <v>3326</v>
      </c>
      <c r="I1117" s="8" t="s">
        <v>3326</v>
      </c>
      <c r="J1117" s="4" t="s">
        <v>1404</v>
      </c>
      <c r="K1117" s="4"/>
      <c r="N1117" s="7"/>
      <c r="O1117" s="7"/>
    </row>
    <row r="1118" spans="1:15" ht="12.75" x14ac:dyDescent="0.2">
      <c r="A1118" s="10">
        <v>45932</v>
      </c>
      <c r="B1118" s="11">
        <f>+MONTH(A1118)</f>
        <v>10</v>
      </c>
      <c r="C1118" s="11">
        <f>+WEEKNUM(A1118)</f>
        <v>40</v>
      </c>
      <c r="D1118" s="4" t="s">
        <v>1413</v>
      </c>
      <c r="E1118" s="4" t="s">
        <v>1414</v>
      </c>
      <c r="F1118" s="4">
        <v>573125129843</v>
      </c>
      <c r="G1118" s="4">
        <v>70407</v>
      </c>
      <c r="H1118" s="8" t="s">
        <v>3326</v>
      </c>
      <c r="I1118" s="8" t="s">
        <v>3326</v>
      </c>
      <c r="J1118" s="4"/>
      <c r="K1118" s="4"/>
      <c r="N1118" s="7"/>
      <c r="O1118" s="7"/>
    </row>
    <row r="1119" spans="1:15" ht="38.25" x14ac:dyDescent="0.2">
      <c r="A1119" s="10">
        <v>45932</v>
      </c>
      <c r="B1119" s="11">
        <f>+MONTH(A1119)</f>
        <v>10</v>
      </c>
      <c r="C1119" s="11">
        <f>+WEEKNUM(A1119)</f>
        <v>40</v>
      </c>
      <c r="D1119" s="4" t="s">
        <v>1405</v>
      </c>
      <c r="E1119" s="4" t="s">
        <v>1406</v>
      </c>
      <c r="F1119" s="4">
        <v>573138915056</v>
      </c>
      <c r="G1119" s="4">
        <v>69811</v>
      </c>
      <c r="H1119" s="8" t="s">
        <v>3326</v>
      </c>
      <c r="I1119" s="8" t="s">
        <v>3326</v>
      </c>
      <c r="J1119" s="4" t="s">
        <v>1407</v>
      </c>
      <c r="K1119" s="4"/>
      <c r="N1119" s="7"/>
      <c r="O1119" s="7"/>
    </row>
    <row r="1120" spans="1:15" ht="25.5" x14ac:dyDescent="0.2">
      <c r="A1120" s="6">
        <v>45932</v>
      </c>
      <c r="B1120" s="11">
        <f>+MONTH(A1120)</f>
        <v>10</v>
      </c>
      <c r="C1120" s="11">
        <f>+WEEKNUM(A1120)</f>
        <v>40</v>
      </c>
      <c r="D1120" s="4" t="s">
        <v>1033</v>
      </c>
      <c r="E1120" s="4" t="s">
        <v>1034</v>
      </c>
      <c r="F1120" s="4">
        <v>573160534041</v>
      </c>
      <c r="G1120" s="4">
        <v>70188</v>
      </c>
      <c r="H1120" s="8" t="s">
        <v>3326</v>
      </c>
      <c r="I1120" s="8" t="s">
        <v>3326</v>
      </c>
      <c r="J1120" s="4" t="s">
        <v>1035</v>
      </c>
      <c r="K1120" s="4"/>
      <c r="M1120" s="4"/>
      <c r="N1120" s="7"/>
      <c r="O1120" s="7"/>
    </row>
    <row r="1121" spans="1:15" ht="25.5" x14ac:dyDescent="0.2">
      <c r="A1121" s="10">
        <v>45932</v>
      </c>
      <c r="B1121" s="11">
        <f>+MONTH(A1121)</f>
        <v>10</v>
      </c>
      <c r="C1121" s="11">
        <f>+WEEKNUM(A1121)</f>
        <v>40</v>
      </c>
      <c r="D1121" s="4" t="s">
        <v>1410</v>
      </c>
      <c r="E1121" s="4" t="s">
        <v>1411</v>
      </c>
      <c r="F1121" s="4">
        <v>573115911716</v>
      </c>
      <c r="G1121" s="4">
        <v>70448</v>
      </c>
      <c r="H1121" s="8" t="s">
        <v>3326</v>
      </c>
      <c r="I1121" s="8" t="s">
        <v>3326</v>
      </c>
      <c r="J1121" s="4" t="s">
        <v>1412</v>
      </c>
      <c r="K1121" s="4"/>
      <c r="N1121" s="7"/>
      <c r="O1121" s="7"/>
    </row>
    <row r="1122" spans="1:15" ht="25.5" x14ac:dyDescent="0.2">
      <c r="A1122" s="10">
        <v>45932</v>
      </c>
      <c r="B1122" s="11">
        <f>+MONTH(A1122)</f>
        <v>10</v>
      </c>
      <c r="C1122" s="11">
        <f>+WEEKNUM(A1122)</f>
        <v>40</v>
      </c>
      <c r="D1122" s="4" t="s">
        <v>1408</v>
      </c>
      <c r="E1122" s="4" t="s">
        <v>1409</v>
      </c>
      <c r="F1122" s="4">
        <v>573153968522</v>
      </c>
      <c r="G1122" s="4">
        <v>69972</v>
      </c>
      <c r="H1122" s="8" t="s">
        <v>3326</v>
      </c>
      <c r="I1122" s="8" t="s">
        <v>3326</v>
      </c>
      <c r="J1122" s="4"/>
      <c r="K1122" s="4"/>
      <c r="N1122" s="7"/>
      <c r="O1122" s="7"/>
    </row>
    <row r="1123" spans="1:15" ht="63.75" x14ac:dyDescent="0.2">
      <c r="A1123" s="21">
        <v>45931</v>
      </c>
      <c r="B1123" s="11">
        <f>+MONTH(A1123)</f>
        <v>10</v>
      </c>
      <c r="C1123" s="11">
        <f>+WEEKNUM(A1123)</f>
        <v>40</v>
      </c>
      <c r="D1123" s="4" t="s">
        <v>1473</v>
      </c>
      <c r="E1123" s="4" t="s">
        <v>1474</v>
      </c>
      <c r="F1123" s="4">
        <v>573178863621</v>
      </c>
      <c r="G1123" s="4">
        <v>70391</v>
      </c>
      <c r="H1123" s="8" t="s">
        <v>3325</v>
      </c>
      <c r="I1123" s="8" t="s">
        <v>22</v>
      </c>
      <c r="J1123" s="4" t="s">
        <v>1475</v>
      </c>
      <c r="K1123" s="4"/>
      <c r="M1123" s="4"/>
      <c r="N1123" s="7"/>
      <c r="O1123" s="7"/>
    </row>
    <row r="1124" spans="1:15" ht="12.75" x14ac:dyDescent="0.2">
      <c r="A1124" s="6">
        <v>45929</v>
      </c>
      <c r="B1124" s="11">
        <f>+MONTH(A1124)</f>
        <v>9</v>
      </c>
      <c r="C1124" s="11">
        <f>+WEEKNUM(A1124)</f>
        <v>40</v>
      </c>
      <c r="D1124" s="4" t="s">
        <v>110</v>
      </c>
      <c r="E1124" s="4" t="s">
        <v>85</v>
      </c>
      <c r="F1124" s="4">
        <v>573012141145</v>
      </c>
      <c r="G1124" s="4">
        <v>69756</v>
      </c>
      <c r="H1124" s="8"/>
      <c r="I1124" s="4"/>
      <c r="J1124" s="4"/>
      <c r="K1124" s="4"/>
      <c r="L1124" s="8"/>
      <c r="M1124" s="4"/>
      <c r="N1124" s="7"/>
      <c r="O1124" s="7"/>
    </row>
    <row r="1125" spans="1:15" ht="38.25" x14ac:dyDescent="0.2">
      <c r="A1125" s="6">
        <v>45929</v>
      </c>
      <c r="B1125" s="11">
        <f>+MONTH(A1125)</f>
        <v>9</v>
      </c>
      <c r="C1125" s="11">
        <f>+WEEKNUM(A1125)</f>
        <v>40</v>
      </c>
      <c r="D1125" s="4" t="s">
        <v>38</v>
      </c>
      <c r="E1125" s="4" t="s">
        <v>1399</v>
      </c>
      <c r="F1125" s="4">
        <v>573113465552</v>
      </c>
      <c r="G1125" s="4">
        <v>70261</v>
      </c>
      <c r="H1125" s="8" t="s">
        <v>13</v>
      </c>
      <c r="I1125" s="4" t="s">
        <v>1400</v>
      </c>
      <c r="J1125" s="5" t="s">
        <v>1401</v>
      </c>
      <c r="K1125" s="4"/>
      <c r="L1125" s="8" t="s">
        <v>12</v>
      </c>
      <c r="M1125" s="4"/>
      <c r="N1125" s="7"/>
      <c r="O1125" s="7"/>
    </row>
    <row r="1126" spans="1:15" ht="12.75" x14ac:dyDescent="0.2">
      <c r="A1126" s="6">
        <v>45929</v>
      </c>
      <c r="B1126" s="11">
        <f>+MONTH(A1126)</f>
        <v>9</v>
      </c>
      <c r="C1126" s="11">
        <f>+WEEKNUM(A1126)</f>
        <v>40</v>
      </c>
      <c r="D1126" s="4" t="s">
        <v>1397</v>
      </c>
      <c r="E1126" s="4" t="s">
        <v>1398</v>
      </c>
      <c r="F1126" s="4">
        <v>573233064812</v>
      </c>
      <c r="G1126" s="4">
        <v>70288</v>
      </c>
      <c r="H1126" s="8"/>
      <c r="I1126" s="4"/>
      <c r="J1126" s="4"/>
      <c r="K1126" s="4"/>
      <c r="L1126" s="8"/>
      <c r="M1126" s="4"/>
      <c r="N1126" s="7"/>
      <c r="O1126" s="7"/>
    </row>
    <row r="1127" spans="1:15" ht="12.75" x14ac:dyDescent="0.2">
      <c r="A1127" s="6">
        <v>45929</v>
      </c>
      <c r="B1127" s="11">
        <f>+MONTH(A1127)</f>
        <v>9</v>
      </c>
      <c r="C1127" s="11">
        <f>+WEEKNUM(A1127)</f>
        <v>40</v>
      </c>
      <c r="D1127" s="4" t="s">
        <v>24</v>
      </c>
      <c r="E1127" s="4" t="s">
        <v>30</v>
      </c>
      <c r="F1127" s="4">
        <v>573136363746</v>
      </c>
      <c r="G1127" s="4">
        <v>70259</v>
      </c>
      <c r="H1127" s="8"/>
      <c r="I1127" s="4"/>
      <c r="J1127" s="4"/>
      <c r="K1127" s="4"/>
      <c r="L1127" s="8"/>
      <c r="M1127" s="4"/>
      <c r="N1127" s="7"/>
      <c r="O1127" s="7"/>
    </row>
    <row r="1128" spans="1:15" ht="12.75" x14ac:dyDescent="0.2">
      <c r="A1128" s="6">
        <v>45929</v>
      </c>
      <c r="B1128" s="11">
        <f>+MONTH(A1128)</f>
        <v>9</v>
      </c>
      <c r="C1128" s="11">
        <f>+WEEKNUM(A1128)</f>
        <v>40</v>
      </c>
      <c r="D1128" s="4" t="s">
        <v>1395</v>
      </c>
      <c r="E1128" s="4" t="s">
        <v>1396</v>
      </c>
      <c r="F1128" s="4">
        <v>573194439714</v>
      </c>
      <c r="G1128" s="4">
        <v>69555</v>
      </c>
      <c r="H1128" s="8"/>
      <c r="I1128" s="4"/>
      <c r="J1128" s="4"/>
      <c r="K1128" s="4"/>
      <c r="L1128" s="8"/>
      <c r="M1128" s="4"/>
      <c r="N1128" s="7"/>
      <c r="O1128" s="7"/>
    </row>
    <row r="1129" spans="1:15" ht="165.75" x14ac:dyDescent="0.2">
      <c r="A1129" s="6">
        <v>45929</v>
      </c>
      <c r="B1129" s="11">
        <f>+MONTH(A1129)</f>
        <v>9</v>
      </c>
      <c r="C1129" s="11">
        <f>+WEEKNUM(A1129)</f>
        <v>40</v>
      </c>
      <c r="D1129" s="4" t="s">
        <v>636</v>
      </c>
      <c r="E1129" s="4" t="s">
        <v>1393</v>
      </c>
      <c r="F1129" s="4">
        <v>573143920126</v>
      </c>
      <c r="G1129" s="4">
        <v>70281</v>
      </c>
      <c r="H1129" s="8" t="s">
        <v>44</v>
      </c>
      <c r="I1129" s="4" t="s">
        <v>1394</v>
      </c>
      <c r="J1129" s="4"/>
      <c r="K1129" s="4"/>
      <c r="L1129" s="8" t="s">
        <v>71</v>
      </c>
      <c r="M1129" s="4"/>
      <c r="N1129" s="7"/>
      <c r="O1129" s="7"/>
    </row>
    <row r="1130" spans="1:15" ht="12.75" x14ac:dyDescent="0.2">
      <c r="A1130" s="6">
        <v>45929</v>
      </c>
      <c r="B1130" s="11">
        <f>+MONTH(A1130)</f>
        <v>9</v>
      </c>
      <c r="C1130" s="11">
        <f>+WEEKNUM(A1130)</f>
        <v>40</v>
      </c>
      <c r="D1130" s="4" t="s">
        <v>66</v>
      </c>
      <c r="E1130" s="4" t="s">
        <v>1392</v>
      </c>
      <c r="F1130" s="4">
        <v>573112290779</v>
      </c>
      <c r="G1130" s="4">
        <v>69998</v>
      </c>
      <c r="H1130" s="8"/>
      <c r="I1130" s="4"/>
      <c r="J1130" s="4"/>
      <c r="K1130" s="4"/>
      <c r="L1130" s="8"/>
      <c r="M1130" s="4"/>
      <c r="N1130" s="7"/>
      <c r="O1130" s="7"/>
    </row>
    <row r="1131" spans="1:15" ht="12.75" x14ac:dyDescent="0.2">
      <c r="A1131" s="6">
        <v>45929</v>
      </c>
      <c r="B1131" s="11">
        <f>+MONTH(A1131)</f>
        <v>9</v>
      </c>
      <c r="C1131" s="11">
        <f>+WEEKNUM(A1131)</f>
        <v>40</v>
      </c>
      <c r="D1131" s="4" t="s">
        <v>63</v>
      </c>
      <c r="E1131" s="4" t="s">
        <v>190</v>
      </c>
      <c r="F1131" s="4">
        <v>573203414170</v>
      </c>
      <c r="G1131" s="4">
        <v>70056</v>
      </c>
      <c r="H1131" s="8"/>
      <c r="I1131" s="4"/>
      <c r="J1131" s="4"/>
      <c r="K1131" s="4"/>
      <c r="L1131" s="8"/>
      <c r="M1131" s="4"/>
      <c r="N1131" s="7"/>
      <c r="O1131" s="7"/>
    </row>
    <row r="1132" spans="1:15" ht="12.75" x14ac:dyDescent="0.2">
      <c r="A1132" s="6">
        <v>45929</v>
      </c>
      <c r="B1132" s="11">
        <f>+MONTH(A1132)</f>
        <v>9</v>
      </c>
      <c r="C1132" s="11">
        <f>+WEEKNUM(A1132)</f>
        <v>40</v>
      </c>
      <c r="D1132" s="4" t="s">
        <v>1390</v>
      </c>
      <c r="E1132" s="4" t="s">
        <v>1391</v>
      </c>
      <c r="F1132" s="4">
        <v>573213147935</v>
      </c>
      <c r="G1132" s="4">
        <v>69971</v>
      </c>
      <c r="H1132" s="8"/>
      <c r="I1132" s="4"/>
      <c r="J1132" s="4"/>
      <c r="K1132" s="4"/>
      <c r="L1132" s="8"/>
      <c r="M1132" s="4"/>
      <c r="N1132" s="7"/>
      <c r="O1132" s="7"/>
    </row>
    <row r="1133" spans="1:15" ht="12.75" x14ac:dyDescent="0.2">
      <c r="A1133" s="6">
        <v>45929</v>
      </c>
      <c r="B1133" s="11">
        <f>+MONTH(A1133)</f>
        <v>9</v>
      </c>
      <c r="C1133" s="11">
        <f>+WEEKNUM(A1133)</f>
        <v>40</v>
      </c>
      <c r="D1133" s="4" t="s">
        <v>1388</v>
      </c>
      <c r="E1133" s="4" t="s">
        <v>1389</v>
      </c>
      <c r="F1133" s="4">
        <v>573115562762</v>
      </c>
      <c r="G1133" s="4">
        <v>70044</v>
      </c>
      <c r="H1133" s="8"/>
      <c r="I1133" s="4"/>
      <c r="J1133" s="4"/>
      <c r="K1133" s="4"/>
      <c r="L1133" s="8"/>
      <c r="M1133" s="4"/>
      <c r="N1133" s="7"/>
      <c r="O1133" s="7"/>
    </row>
    <row r="1134" spans="1:15" ht="12.75" x14ac:dyDescent="0.2">
      <c r="A1134" s="6">
        <v>45929</v>
      </c>
      <c r="B1134" s="11">
        <f>+MONTH(A1134)</f>
        <v>9</v>
      </c>
      <c r="C1134" s="11">
        <f>+WEEKNUM(A1134)</f>
        <v>40</v>
      </c>
      <c r="D1134" s="4" t="s">
        <v>45</v>
      </c>
      <c r="E1134" s="4" t="s">
        <v>1387</v>
      </c>
      <c r="F1134" s="4">
        <v>573043772117</v>
      </c>
      <c r="G1134" s="4">
        <v>69461</v>
      </c>
      <c r="H1134" s="8"/>
      <c r="I1134" s="4"/>
      <c r="J1134" s="4"/>
      <c r="K1134" s="4"/>
      <c r="L1134" s="8"/>
      <c r="M1134" s="4"/>
      <c r="N1134" s="7"/>
      <c r="O1134" s="7"/>
    </row>
    <row r="1135" spans="1:15" ht="127.5" x14ac:dyDescent="0.2">
      <c r="A1135" s="6">
        <v>45929</v>
      </c>
      <c r="B1135" s="11">
        <f>+MONTH(A1135)</f>
        <v>9</v>
      </c>
      <c r="C1135" s="11">
        <f>+WEEKNUM(A1135)</f>
        <v>40</v>
      </c>
      <c r="D1135" s="4" t="s">
        <v>121</v>
      </c>
      <c r="E1135" s="4" t="s">
        <v>1385</v>
      </c>
      <c r="F1135" s="4">
        <v>573107529171</v>
      </c>
      <c r="G1135" s="4">
        <v>69933</v>
      </c>
      <c r="H1135" s="8" t="s">
        <v>13</v>
      </c>
      <c r="I1135" s="4" t="s">
        <v>1386</v>
      </c>
      <c r="J1135" s="4"/>
      <c r="K1135" s="4"/>
      <c r="L1135" s="8" t="s">
        <v>22</v>
      </c>
      <c r="M1135" s="4"/>
      <c r="N1135" s="7"/>
      <c r="O1135" s="7"/>
    </row>
    <row r="1136" spans="1:15" ht="12.75" x14ac:dyDescent="0.2">
      <c r="A1136" s="6">
        <v>45927</v>
      </c>
      <c r="B1136" s="11">
        <f>+MONTH(A1136)</f>
        <v>9</v>
      </c>
      <c r="C1136" s="11">
        <f>+WEEKNUM(A1136)</f>
        <v>39</v>
      </c>
      <c r="D1136" s="4" t="s">
        <v>1383</v>
      </c>
      <c r="E1136" s="4" t="s">
        <v>1384</v>
      </c>
      <c r="F1136" s="4">
        <v>573013858281</v>
      </c>
      <c r="G1136" s="4">
        <v>68731</v>
      </c>
      <c r="H1136" s="8"/>
      <c r="I1136" s="4"/>
      <c r="J1136" s="4"/>
      <c r="K1136" s="4"/>
      <c r="L1136" s="8"/>
      <c r="M1136" s="4"/>
      <c r="N1136" s="7"/>
      <c r="O1136" s="7"/>
    </row>
    <row r="1137" spans="1:15" ht="102" x14ac:dyDescent="0.2">
      <c r="A1137" s="6">
        <v>45927</v>
      </c>
      <c r="B1137" s="11">
        <f>+MONTH(A1137)</f>
        <v>9</v>
      </c>
      <c r="C1137" s="11">
        <f>+WEEKNUM(A1137)</f>
        <v>39</v>
      </c>
      <c r="D1137" s="4" t="s">
        <v>209</v>
      </c>
      <c r="E1137" s="4" t="s">
        <v>1381</v>
      </c>
      <c r="F1137" s="4">
        <v>573214715784</v>
      </c>
      <c r="G1137" s="4">
        <v>69688</v>
      </c>
      <c r="H1137" s="8" t="s">
        <v>13</v>
      </c>
      <c r="I1137" s="4" t="s">
        <v>1382</v>
      </c>
      <c r="J1137" s="4"/>
      <c r="K1137" s="4"/>
      <c r="L1137" s="8" t="s">
        <v>71</v>
      </c>
      <c r="M1137" s="4"/>
      <c r="N1137" s="7"/>
      <c r="O1137" s="7"/>
    </row>
    <row r="1138" spans="1:15" ht="25.5" x14ac:dyDescent="0.2">
      <c r="A1138" s="6">
        <v>45927</v>
      </c>
      <c r="B1138" s="11">
        <f>+MONTH(A1138)</f>
        <v>9</v>
      </c>
      <c r="C1138" s="11">
        <f>+WEEKNUM(A1138)</f>
        <v>39</v>
      </c>
      <c r="D1138" s="4" t="s">
        <v>1380</v>
      </c>
      <c r="E1138" s="4" t="s">
        <v>1380</v>
      </c>
      <c r="F1138" s="4">
        <v>573143630175</v>
      </c>
      <c r="G1138" s="4">
        <v>70074</v>
      </c>
      <c r="H1138" s="8"/>
      <c r="I1138" s="4"/>
      <c r="J1138" s="4"/>
      <c r="K1138" s="4"/>
      <c r="L1138" s="8"/>
      <c r="M1138" s="4"/>
      <c r="N1138" s="7"/>
      <c r="O1138" s="7"/>
    </row>
    <row r="1139" spans="1:15" ht="63.75" x14ac:dyDescent="0.2">
      <c r="A1139" s="6">
        <v>45927</v>
      </c>
      <c r="B1139" s="11">
        <f>+MONTH(A1139)</f>
        <v>9</v>
      </c>
      <c r="C1139" s="11">
        <f>+WEEKNUM(A1139)</f>
        <v>39</v>
      </c>
      <c r="D1139" s="4" t="s">
        <v>60</v>
      </c>
      <c r="E1139" s="4" t="s">
        <v>1377</v>
      </c>
      <c r="F1139" s="4">
        <v>573154949266</v>
      </c>
      <c r="G1139" s="4">
        <v>69520</v>
      </c>
      <c r="H1139" s="8" t="s">
        <v>13</v>
      </c>
      <c r="I1139" s="4" t="s">
        <v>1378</v>
      </c>
      <c r="J1139" s="5" t="s">
        <v>1379</v>
      </c>
      <c r="K1139" s="4"/>
      <c r="L1139" s="8" t="s">
        <v>12</v>
      </c>
      <c r="M1139" s="4"/>
      <c r="N1139" s="7"/>
      <c r="O1139" s="7"/>
    </row>
    <row r="1140" spans="1:15" ht="25.5" x14ac:dyDescent="0.2">
      <c r="A1140" s="6">
        <v>45927</v>
      </c>
      <c r="B1140" s="11">
        <f>+MONTH(A1140)</f>
        <v>9</v>
      </c>
      <c r="C1140" s="11">
        <f>+WEEKNUM(A1140)</f>
        <v>39</v>
      </c>
      <c r="D1140" s="4" t="s">
        <v>1375</v>
      </c>
      <c r="E1140" s="4" t="s">
        <v>1376</v>
      </c>
      <c r="F1140" s="4">
        <v>573016682343</v>
      </c>
      <c r="G1140" s="4">
        <v>69634</v>
      </c>
      <c r="H1140" s="8"/>
      <c r="I1140" s="4"/>
      <c r="J1140" s="4"/>
      <c r="K1140" s="4"/>
      <c r="L1140" s="8"/>
      <c r="M1140" s="4"/>
      <c r="N1140" s="7"/>
      <c r="O1140" s="7"/>
    </row>
    <row r="1141" spans="1:15" ht="191.25" x14ac:dyDescent="0.2">
      <c r="A1141" s="6">
        <v>45927</v>
      </c>
      <c r="B1141" s="11">
        <f>+MONTH(A1141)</f>
        <v>9</v>
      </c>
      <c r="C1141" s="11">
        <f>+WEEKNUM(A1141)</f>
        <v>39</v>
      </c>
      <c r="D1141" s="4" t="s">
        <v>1230</v>
      </c>
      <c r="E1141" s="4" t="s">
        <v>1373</v>
      </c>
      <c r="F1141" s="4">
        <v>573177260070</v>
      </c>
      <c r="G1141" s="4">
        <v>69651</v>
      </c>
      <c r="H1141" s="8" t="s">
        <v>13</v>
      </c>
      <c r="I1141" s="4" t="s">
        <v>3327</v>
      </c>
      <c r="J1141" s="5" t="s">
        <v>1374</v>
      </c>
      <c r="K1141" s="4"/>
      <c r="L1141" s="8" t="s">
        <v>12</v>
      </c>
      <c r="M1141" s="4"/>
      <c r="N1141" s="7"/>
      <c r="O1141" s="7"/>
    </row>
    <row r="1142" spans="1:15" ht="12.75" x14ac:dyDescent="0.2">
      <c r="A1142" s="6">
        <v>45927</v>
      </c>
      <c r="B1142" s="11">
        <f>+MONTH(A1142)</f>
        <v>9</v>
      </c>
      <c r="C1142" s="11">
        <f>+WEEKNUM(A1142)</f>
        <v>39</v>
      </c>
      <c r="D1142" s="4" t="s">
        <v>15</v>
      </c>
      <c r="E1142" s="4" t="s">
        <v>1372</v>
      </c>
      <c r="F1142" s="4">
        <v>573153461693</v>
      </c>
      <c r="G1142" s="4">
        <v>69636</v>
      </c>
      <c r="H1142" s="8"/>
      <c r="I1142" s="4"/>
      <c r="J1142" s="4"/>
      <c r="K1142" s="4"/>
      <c r="L1142" s="8"/>
      <c r="M1142" s="4"/>
      <c r="N1142" s="7"/>
      <c r="O1142" s="7"/>
    </row>
    <row r="1143" spans="1:15" ht="63.75" x14ac:dyDescent="0.2">
      <c r="A1143" s="6">
        <v>45927</v>
      </c>
      <c r="B1143" s="11">
        <f>+MONTH(A1143)</f>
        <v>9</v>
      </c>
      <c r="C1143" s="11">
        <f>+WEEKNUM(A1143)</f>
        <v>39</v>
      </c>
      <c r="D1143" s="4" t="s">
        <v>93</v>
      </c>
      <c r="E1143" s="4" t="s">
        <v>1370</v>
      </c>
      <c r="F1143" s="4">
        <v>573194240646</v>
      </c>
      <c r="G1143" s="4">
        <v>69990</v>
      </c>
      <c r="H1143" s="8" t="s">
        <v>13</v>
      </c>
      <c r="I1143" s="4" t="s">
        <v>3328</v>
      </c>
      <c r="J1143" s="5" t="s">
        <v>1371</v>
      </c>
      <c r="K1143" s="4"/>
      <c r="L1143" s="8" t="s">
        <v>12</v>
      </c>
      <c r="M1143" s="4"/>
      <c r="N1143" s="7"/>
      <c r="O1143" s="7"/>
    </row>
    <row r="1144" spans="1:15" ht="409.5" x14ac:dyDescent="0.2">
      <c r="A1144" s="6">
        <v>45927</v>
      </c>
      <c r="B1144" s="11">
        <f>+MONTH(A1144)</f>
        <v>9</v>
      </c>
      <c r="C1144" s="11">
        <f>+WEEKNUM(A1144)</f>
        <v>39</v>
      </c>
      <c r="D1144" s="4" t="s">
        <v>1071</v>
      </c>
      <c r="E1144" s="4" t="s">
        <v>1368</v>
      </c>
      <c r="F1144" s="4">
        <v>573002980698</v>
      </c>
      <c r="G1144" s="4">
        <v>67861</v>
      </c>
      <c r="H1144" s="8" t="s">
        <v>13</v>
      </c>
      <c r="I1144" s="4" t="s">
        <v>3344</v>
      </c>
      <c r="J1144" s="5" t="s">
        <v>1369</v>
      </c>
      <c r="K1144" s="4"/>
      <c r="L1144" s="8" t="s">
        <v>12</v>
      </c>
      <c r="M1144" s="4"/>
      <c r="N1144" s="7"/>
      <c r="O1144" s="7"/>
    </row>
    <row r="1145" spans="1:15" ht="51" x14ac:dyDescent="0.2">
      <c r="A1145" s="25">
        <v>45926</v>
      </c>
      <c r="B1145" s="11">
        <f>+MONTH(A1145)</f>
        <v>9</v>
      </c>
      <c r="C1145" s="11">
        <f>+WEEKNUM(A1145)</f>
        <v>39</v>
      </c>
      <c r="D1145" s="4" t="s">
        <v>1362</v>
      </c>
      <c r="E1145" s="4" t="s">
        <v>1363</v>
      </c>
      <c r="F1145" s="4"/>
      <c r="G1145" s="4">
        <v>69372</v>
      </c>
      <c r="H1145" s="8" t="s">
        <v>13</v>
      </c>
      <c r="I1145" s="4" t="s">
        <v>1364</v>
      </c>
      <c r="J1145" s="5" t="s">
        <v>1365</v>
      </c>
      <c r="K1145" s="4" t="s">
        <v>1366</v>
      </c>
      <c r="L1145" s="8" t="s">
        <v>12</v>
      </c>
      <c r="M1145" s="4" t="s">
        <v>1367</v>
      </c>
      <c r="N1145" s="7"/>
      <c r="O1145" s="7"/>
    </row>
    <row r="1146" spans="1:15" ht="25.5" x14ac:dyDescent="0.2">
      <c r="A1146" s="25">
        <v>45926</v>
      </c>
      <c r="B1146" s="11">
        <f>+MONTH(A1146)</f>
        <v>9</v>
      </c>
      <c r="C1146" s="11">
        <f>+WEEKNUM(A1146)</f>
        <v>39</v>
      </c>
      <c r="D1146" s="4" t="s">
        <v>1345</v>
      </c>
      <c r="E1146" s="4" t="s">
        <v>1346</v>
      </c>
      <c r="F1146" s="4"/>
      <c r="G1146" s="4">
        <v>70060</v>
      </c>
      <c r="H1146" s="8" t="s">
        <v>13</v>
      </c>
      <c r="I1146" s="4" t="s">
        <v>3329</v>
      </c>
      <c r="J1146" s="5" t="s">
        <v>1347</v>
      </c>
      <c r="K1146" s="4" t="s">
        <v>76</v>
      </c>
      <c r="L1146" s="8" t="s">
        <v>12</v>
      </c>
      <c r="M1146" s="4" t="s">
        <v>1348</v>
      </c>
      <c r="N1146" s="7"/>
      <c r="O1146" s="7"/>
    </row>
    <row r="1147" spans="1:15" ht="102" x14ac:dyDescent="0.2">
      <c r="A1147" s="6">
        <v>45926</v>
      </c>
      <c r="B1147" s="11">
        <f>+MONTH(A1147)</f>
        <v>9</v>
      </c>
      <c r="C1147" s="11">
        <f>+WEEKNUM(A1147)</f>
        <v>39</v>
      </c>
      <c r="D1147" s="4" t="s">
        <v>1359</v>
      </c>
      <c r="E1147" s="4" t="s">
        <v>1360</v>
      </c>
      <c r="F1147" s="4">
        <v>573155272705</v>
      </c>
      <c r="G1147" s="4">
        <v>70021</v>
      </c>
      <c r="H1147" s="8" t="s">
        <v>13</v>
      </c>
      <c r="I1147" s="4" t="s">
        <v>3345</v>
      </c>
      <c r="J1147" s="5" t="s">
        <v>1361</v>
      </c>
      <c r="K1147" s="4"/>
      <c r="L1147" s="8" t="s">
        <v>12</v>
      </c>
      <c r="M1147" s="4"/>
      <c r="N1147" s="7"/>
      <c r="O1147" s="7"/>
    </row>
    <row r="1148" spans="1:15" ht="12.75" x14ac:dyDescent="0.2">
      <c r="A1148" s="6">
        <v>45926</v>
      </c>
      <c r="B1148" s="11">
        <f>+MONTH(A1148)</f>
        <v>9</v>
      </c>
      <c r="C1148" s="11">
        <f>+WEEKNUM(A1148)</f>
        <v>39</v>
      </c>
      <c r="D1148" s="4" t="s">
        <v>110</v>
      </c>
      <c r="E1148" s="4" t="s">
        <v>1358</v>
      </c>
      <c r="F1148" s="4">
        <v>573102116532</v>
      </c>
      <c r="G1148" s="4">
        <v>70004</v>
      </c>
      <c r="H1148" s="8"/>
      <c r="I1148" s="4"/>
      <c r="J1148" s="4"/>
      <c r="K1148" s="4"/>
      <c r="L1148" s="8"/>
      <c r="M1148" s="4"/>
      <c r="N1148" s="7"/>
      <c r="O1148" s="7"/>
    </row>
    <row r="1149" spans="1:15" ht="38.25" x14ac:dyDescent="0.2">
      <c r="A1149" s="6">
        <v>45926</v>
      </c>
      <c r="B1149" s="11">
        <f>+MONTH(A1149)</f>
        <v>9</v>
      </c>
      <c r="C1149" s="11">
        <f>+WEEKNUM(A1149)</f>
        <v>39</v>
      </c>
      <c r="D1149" s="4" t="s">
        <v>325</v>
      </c>
      <c r="E1149" s="4" t="s">
        <v>1355</v>
      </c>
      <c r="F1149" s="4">
        <v>573022452467</v>
      </c>
      <c r="G1149" s="4">
        <v>69711</v>
      </c>
      <c r="H1149" s="8" t="s">
        <v>13</v>
      </c>
      <c r="I1149" s="4" t="s">
        <v>1356</v>
      </c>
      <c r="J1149" s="5" t="s">
        <v>1357</v>
      </c>
      <c r="K1149" s="4"/>
      <c r="L1149" s="8" t="s">
        <v>12</v>
      </c>
      <c r="M1149" s="4"/>
      <c r="N1149" s="7"/>
      <c r="O1149" s="7"/>
    </row>
    <row r="1150" spans="1:15" ht="12.75" x14ac:dyDescent="0.2">
      <c r="A1150" s="6">
        <v>45926</v>
      </c>
      <c r="B1150" s="11">
        <f>+MONTH(A1150)</f>
        <v>9</v>
      </c>
      <c r="C1150" s="11">
        <f>+WEEKNUM(A1150)</f>
        <v>39</v>
      </c>
      <c r="D1150" s="4" t="s">
        <v>59</v>
      </c>
      <c r="E1150" s="4" t="s">
        <v>123</v>
      </c>
      <c r="F1150" s="4">
        <v>573105655570</v>
      </c>
      <c r="G1150" s="4">
        <v>69888</v>
      </c>
      <c r="H1150" s="8"/>
      <c r="I1150" s="4"/>
      <c r="J1150" s="4"/>
      <c r="K1150" s="4"/>
      <c r="L1150" s="8"/>
      <c r="M1150" s="4"/>
      <c r="N1150" s="7"/>
      <c r="O1150" s="7"/>
    </row>
    <row r="1151" spans="1:15" ht="38.25" x14ac:dyDescent="0.2">
      <c r="A1151" s="6">
        <v>45926</v>
      </c>
      <c r="B1151" s="11">
        <f>+MONTH(A1151)</f>
        <v>9</v>
      </c>
      <c r="C1151" s="11">
        <f>+WEEKNUM(A1151)</f>
        <v>39</v>
      </c>
      <c r="D1151" s="4" t="s">
        <v>1352</v>
      </c>
      <c r="E1151" s="4" t="s">
        <v>1353</v>
      </c>
      <c r="F1151" s="4">
        <v>573138409601</v>
      </c>
      <c r="G1151" s="4">
        <v>69796</v>
      </c>
      <c r="H1151" s="8" t="s">
        <v>13</v>
      </c>
      <c r="I1151" s="4" t="s">
        <v>3326</v>
      </c>
      <c r="J1151" s="5" t="s">
        <v>1354</v>
      </c>
      <c r="K1151" s="4"/>
      <c r="L1151" s="8" t="s">
        <v>12</v>
      </c>
      <c r="M1151" s="4"/>
      <c r="N1151" s="7"/>
      <c r="O1151" s="7"/>
    </row>
    <row r="1152" spans="1:15" ht="25.5" x14ac:dyDescent="0.2">
      <c r="A1152" s="6">
        <v>45926</v>
      </c>
      <c r="B1152" s="11">
        <f>+MONTH(A1152)</f>
        <v>9</v>
      </c>
      <c r="C1152" s="11">
        <f>+WEEKNUM(A1152)</f>
        <v>39</v>
      </c>
      <c r="D1152" s="4" t="s">
        <v>825</v>
      </c>
      <c r="E1152" s="4" t="s">
        <v>826</v>
      </c>
      <c r="F1152" s="4">
        <v>573232301851</v>
      </c>
      <c r="G1152" s="4">
        <v>70083</v>
      </c>
      <c r="H1152" s="8"/>
      <c r="I1152" s="4"/>
      <c r="J1152" s="4"/>
      <c r="K1152" s="4"/>
      <c r="L1152" s="8"/>
      <c r="M1152" s="4"/>
      <c r="N1152" s="7"/>
      <c r="O1152" s="7"/>
    </row>
    <row r="1153" spans="1:16" ht="12.75" x14ac:dyDescent="0.2">
      <c r="A1153" s="6">
        <v>45926</v>
      </c>
      <c r="B1153" s="11">
        <f>+MONTH(A1153)</f>
        <v>9</v>
      </c>
      <c r="C1153" s="11">
        <f>+WEEKNUM(A1153)</f>
        <v>39</v>
      </c>
      <c r="D1153" s="4" t="s">
        <v>1351</v>
      </c>
      <c r="E1153" s="4" t="s">
        <v>85</v>
      </c>
      <c r="F1153" s="4">
        <v>573209638298</v>
      </c>
      <c r="G1153" s="4">
        <v>70002</v>
      </c>
      <c r="H1153" s="8"/>
      <c r="I1153" s="4"/>
      <c r="J1153" s="4"/>
      <c r="K1153" s="4"/>
      <c r="L1153" s="8"/>
      <c r="M1153" s="4"/>
      <c r="N1153" s="7"/>
      <c r="O1153" s="7"/>
    </row>
    <row r="1154" spans="1:16" ht="12.75" x14ac:dyDescent="0.2">
      <c r="A1154" s="6">
        <v>45926</v>
      </c>
      <c r="B1154" s="11">
        <f>+MONTH(A1154)</f>
        <v>9</v>
      </c>
      <c r="C1154" s="11">
        <f>+WEEKNUM(A1154)</f>
        <v>39</v>
      </c>
      <c r="D1154" s="4" t="s">
        <v>1349</v>
      </c>
      <c r="E1154" s="4" t="s">
        <v>1350</v>
      </c>
      <c r="F1154" s="4">
        <v>573169862872</v>
      </c>
      <c r="G1154" s="4">
        <v>70000</v>
      </c>
      <c r="H1154" s="8" t="s">
        <v>13</v>
      </c>
      <c r="I1154" s="4"/>
      <c r="J1154" s="4"/>
      <c r="K1154" s="4"/>
      <c r="L1154" s="8" t="s">
        <v>12</v>
      </c>
      <c r="M1154" s="4"/>
      <c r="N1154" s="7"/>
      <c r="O1154" s="7"/>
    </row>
    <row r="1155" spans="1:16" ht="12.75" x14ac:dyDescent="0.2">
      <c r="A1155" s="6">
        <v>45926</v>
      </c>
      <c r="B1155" s="11">
        <f>+MONTH(A1155)</f>
        <v>9</v>
      </c>
      <c r="C1155" s="11">
        <f>+WEEKNUM(A1155)</f>
        <v>39</v>
      </c>
      <c r="D1155" s="4" t="s">
        <v>177</v>
      </c>
      <c r="E1155" s="4" t="s">
        <v>1344</v>
      </c>
      <c r="F1155" s="4">
        <v>573113223985</v>
      </c>
      <c r="G1155" s="4">
        <v>69864</v>
      </c>
      <c r="H1155" s="8"/>
      <c r="I1155" s="4"/>
      <c r="J1155" s="4"/>
      <c r="K1155" s="4"/>
      <c r="L1155" s="8"/>
      <c r="M1155" s="7"/>
      <c r="N1155" s="7"/>
      <c r="O1155" s="7"/>
    </row>
    <row r="1156" spans="1:16" ht="140.25" x14ac:dyDescent="0.2">
      <c r="A1156" s="6">
        <v>45926</v>
      </c>
      <c r="B1156" s="11">
        <f>+MONTH(A1156)</f>
        <v>9</v>
      </c>
      <c r="C1156" s="11">
        <f>+WEEKNUM(A1156)</f>
        <v>39</v>
      </c>
      <c r="D1156" s="4" t="s">
        <v>1340</v>
      </c>
      <c r="E1156" s="4" t="s">
        <v>1341</v>
      </c>
      <c r="F1156" s="4">
        <v>573128610004</v>
      </c>
      <c r="G1156" s="4">
        <v>64501</v>
      </c>
      <c r="H1156" s="8" t="s">
        <v>13</v>
      </c>
      <c r="I1156" s="4" t="s">
        <v>1342</v>
      </c>
      <c r="J1156" s="5" t="s">
        <v>1343</v>
      </c>
      <c r="K1156" s="4"/>
      <c r="L1156" s="8" t="s">
        <v>12</v>
      </c>
      <c r="M1156" s="7"/>
      <c r="N1156" s="7"/>
      <c r="O1156" s="7"/>
    </row>
    <row r="1157" spans="1:16" ht="12.75" x14ac:dyDescent="0.2">
      <c r="A1157" s="6">
        <v>45926</v>
      </c>
      <c r="B1157" s="11">
        <f>+MONTH(A1157)</f>
        <v>9</v>
      </c>
      <c r="C1157" s="11">
        <f>+WEEKNUM(A1157)</f>
        <v>39</v>
      </c>
      <c r="D1157" s="4" t="s">
        <v>260</v>
      </c>
      <c r="E1157" s="4" t="s">
        <v>1339</v>
      </c>
      <c r="F1157" s="4">
        <v>573138911715</v>
      </c>
      <c r="G1157" s="4">
        <v>70036</v>
      </c>
      <c r="H1157" s="8"/>
      <c r="I1157" s="4"/>
      <c r="J1157" s="4"/>
      <c r="K1157" s="4"/>
      <c r="L1157" s="8"/>
      <c r="M1157" s="7"/>
      <c r="N1157" s="7"/>
      <c r="O1157" s="7"/>
    </row>
    <row r="1158" spans="1:16" ht="25.5" x14ac:dyDescent="0.2">
      <c r="A1158" s="6">
        <v>45926</v>
      </c>
      <c r="B1158" s="11">
        <f>+MONTH(A1158)</f>
        <v>9</v>
      </c>
      <c r="C1158" s="11">
        <f>+WEEKNUM(A1158)</f>
        <v>39</v>
      </c>
      <c r="D1158" s="4" t="s">
        <v>1337</v>
      </c>
      <c r="E1158" s="4" t="s">
        <v>1338</v>
      </c>
      <c r="F1158" s="4">
        <v>573188432149</v>
      </c>
      <c r="G1158" s="4">
        <v>69981</v>
      </c>
      <c r="H1158" s="8"/>
      <c r="I1158" s="4"/>
      <c r="J1158" s="4"/>
      <c r="K1158" s="4"/>
      <c r="L1158" s="8"/>
      <c r="M1158" s="7"/>
      <c r="N1158" s="7"/>
      <c r="O1158" s="7"/>
    </row>
    <row r="1159" spans="1:16" ht="25.5" x14ac:dyDescent="0.2">
      <c r="A1159" s="6">
        <v>45925</v>
      </c>
      <c r="B1159" s="11">
        <f>+MONTH(A1159)</f>
        <v>9</v>
      </c>
      <c r="C1159" s="11">
        <f>+WEEKNUM(A1159)</f>
        <v>39</v>
      </c>
      <c r="D1159" s="4" t="s">
        <v>1335</v>
      </c>
      <c r="E1159" s="4" t="s">
        <v>1336</v>
      </c>
      <c r="F1159" s="4">
        <v>573125409487</v>
      </c>
      <c r="G1159" s="4">
        <v>69576</v>
      </c>
      <c r="H1159" s="8"/>
      <c r="I1159" s="4"/>
      <c r="J1159" s="4"/>
      <c r="K1159" s="4"/>
      <c r="L1159" s="8"/>
      <c r="M1159" s="7"/>
      <c r="N1159" s="7"/>
      <c r="O1159" s="7"/>
      <c r="P1159" s="6"/>
    </row>
    <row r="1160" spans="1:16" ht="25.5" x14ac:dyDescent="0.2">
      <c r="A1160" s="6">
        <v>45925</v>
      </c>
      <c r="B1160" s="11">
        <f>+MONTH(A1160)</f>
        <v>9</v>
      </c>
      <c r="C1160" s="11">
        <f>+WEEKNUM(A1160)</f>
        <v>39</v>
      </c>
      <c r="D1160" s="4" t="s">
        <v>1333</v>
      </c>
      <c r="E1160" s="4" t="s">
        <v>1334</v>
      </c>
      <c r="F1160" s="4">
        <v>573208856738</v>
      </c>
      <c r="G1160" s="4">
        <v>69955</v>
      </c>
      <c r="H1160" s="8"/>
      <c r="I1160" s="4"/>
      <c r="J1160" s="4"/>
      <c r="K1160" s="4"/>
      <c r="L1160" s="8"/>
      <c r="M1160" s="7"/>
      <c r="N1160" s="7"/>
      <c r="O1160" s="7"/>
      <c r="P1160" s="6"/>
    </row>
    <row r="1161" spans="1:16" ht="25.5" x14ac:dyDescent="0.2">
      <c r="A1161" s="6">
        <v>45925</v>
      </c>
      <c r="B1161" s="11">
        <f>+MONTH(A1161)</f>
        <v>9</v>
      </c>
      <c r="C1161" s="11">
        <f>+WEEKNUM(A1161)</f>
        <v>39</v>
      </c>
      <c r="D1161" s="4" t="s">
        <v>1331</v>
      </c>
      <c r="E1161" s="4" t="s">
        <v>1332</v>
      </c>
      <c r="F1161" s="4">
        <v>573103365215</v>
      </c>
      <c r="G1161" s="4">
        <v>69999</v>
      </c>
      <c r="H1161" s="8"/>
      <c r="I1161" s="4"/>
      <c r="J1161" s="4"/>
      <c r="K1161" s="4"/>
      <c r="L1161" s="8"/>
      <c r="M1161" s="7"/>
      <c r="N1161" s="7"/>
      <c r="O1161" s="7"/>
      <c r="P1161" s="6"/>
    </row>
    <row r="1162" spans="1:16" ht="76.5" x14ac:dyDescent="0.2">
      <c r="A1162" s="6">
        <v>45925</v>
      </c>
      <c r="B1162" s="11">
        <f>+MONTH(A1162)</f>
        <v>9</v>
      </c>
      <c r="C1162" s="11">
        <f>+WEEKNUM(A1162)</f>
        <v>39</v>
      </c>
      <c r="D1162" s="4" t="s">
        <v>1327</v>
      </c>
      <c r="E1162" s="4" t="s">
        <v>1328</v>
      </c>
      <c r="F1162" s="4">
        <v>573184471286</v>
      </c>
      <c r="G1162" s="4">
        <v>69896</v>
      </c>
      <c r="H1162" s="8" t="s">
        <v>13</v>
      </c>
      <c r="I1162" s="4" t="s">
        <v>1329</v>
      </c>
      <c r="J1162" s="5" t="s">
        <v>1330</v>
      </c>
      <c r="K1162" s="4"/>
      <c r="L1162" s="8" t="s">
        <v>12</v>
      </c>
      <c r="M1162" s="7"/>
      <c r="N1162" s="7"/>
      <c r="O1162" s="7"/>
      <c r="P1162" s="6"/>
    </row>
    <row r="1163" spans="1:16" ht="12.75" x14ac:dyDescent="0.2">
      <c r="A1163" s="6">
        <v>45925</v>
      </c>
      <c r="B1163" s="11">
        <f>+MONTH(A1163)</f>
        <v>9</v>
      </c>
      <c r="C1163" s="11">
        <f>+WEEKNUM(A1163)</f>
        <v>39</v>
      </c>
      <c r="D1163" s="4" t="s">
        <v>1325</v>
      </c>
      <c r="E1163" s="4" t="s">
        <v>1326</v>
      </c>
      <c r="F1163" s="4">
        <v>573213224362</v>
      </c>
      <c r="G1163" s="4">
        <v>69784</v>
      </c>
      <c r="H1163" s="8"/>
      <c r="I1163" s="4"/>
      <c r="J1163" s="4"/>
      <c r="K1163" s="4"/>
      <c r="L1163" s="8"/>
      <c r="M1163" s="7"/>
      <c r="N1163" s="7"/>
      <c r="O1163" s="7"/>
      <c r="P1163" s="6"/>
    </row>
    <row r="1164" spans="1:16" ht="12.75" x14ac:dyDescent="0.2">
      <c r="A1164" s="6">
        <v>45925</v>
      </c>
      <c r="B1164" s="11">
        <f>+MONTH(A1164)</f>
        <v>9</v>
      </c>
      <c r="C1164" s="11">
        <f>+WEEKNUM(A1164)</f>
        <v>39</v>
      </c>
      <c r="D1164" s="4" t="s">
        <v>1322</v>
      </c>
      <c r="E1164" s="4" t="s">
        <v>1323</v>
      </c>
      <c r="F1164" s="4">
        <v>573224409713</v>
      </c>
      <c r="G1164" s="4">
        <v>69926</v>
      </c>
      <c r="H1164" s="8" t="s">
        <v>13</v>
      </c>
      <c r="I1164" s="4" t="s">
        <v>1324</v>
      </c>
      <c r="J1164" s="4" t="s">
        <v>14</v>
      </c>
      <c r="K1164" s="4"/>
      <c r="L1164" s="8" t="s">
        <v>12</v>
      </c>
      <c r="M1164" s="7"/>
      <c r="N1164" s="7"/>
      <c r="O1164" s="7"/>
      <c r="P1164" s="6"/>
    </row>
    <row r="1165" spans="1:16" ht="12.75" x14ac:dyDescent="0.2">
      <c r="A1165" s="6">
        <v>45925</v>
      </c>
      <c r="B1165" s="11">
        <f>+MONTH(A1165)</f>
        <v>9</v>
      </c>
      <c r="C1165" s="11">
        <f>+WEEKNUM(A1165)</f>
        <v>39</v>
      </c>
      <c r="D1165" s="4" t="s">
        <v>108</v>
      </c>
      <c r="E1165" s="4" t="s">
        <v>1321</v>
      </c>
      <c r="F1165" s="4">
        <v>573024546138</v>
      </c>
      <c r="G1165" s="4">
        <v>69815</v>
      </c>
      <c r="H1165" s="8"/>
      <c r="I1165" s="4"/>
      <c r="J1165" s="4"/>
      <c r="K1165" s="4"/>
      <c r="L1165" s="8"/>
      <c r="M1165" s="7"/>
      <c r="N1165" s="7"/>
      <c r="O1165" s="7"/>
      <c r="P1165" s="6"/>
    </row>
    <row r="1166" spans="1:16" ht="25.5" x14ac:dyDescent="0.2">
      <c r="A1166" s="6">
        <v>45925</v>
      </c>
      <c r="B1166" s="11">
        <f>+MONTH(A1166)</f>
        <v>9</v>
      </c>
      <c r="C1166" s="11">
        <f>+WEEKNUM(A1166)</f>
        <v>39</v>
      </c>
      <c r="D1166" s="4" t="s">
        <v>1319</v>
      </c>
      <c r="E1166" s="4" t="s">
        <v>1320</v>
      </c>
      <c r="F1166" s="4">
        <v>573205023387</v>
      </c>
      <c r="G1166" s="4">
        <v>69500</v>
      </c>
      <c r="H1166" s="8"/>
      <c r="I1166" s="4"/>
      <c r="J1166" s="4"/>
      <c r="K1166" s="4"/>
      <c r="L1166" s="8"/>
      <c r="M1166" s="7"/>
      <c r="N1166" s="7"/>
      <c r="O1166" s="7"/>
      <c r="P1166" s="6"/>
    </row>
    <row r="1167" spans="1:16" ht="12.75" x14ac:dyDescent="0.2">
      <c r="A1167" s="6">
        <v>45925</v>
      </c>
      <c r="B1167" s="11">
        <f>+MONTH(A1167)</f>
        <v>9</v>
      </c>
      <c r="C1167" s="11">
        <f>+WEEKNUM(A1167)</f>
        <v>39</v>
      </c>
      <c r="D1167" s="4" t="s">
        <v>176</v>
      </c>
      <c r="E1167" s="4" t="s">
        <v>1318</v>
      </c>
      <c r="F1167" s="4">
        <v>573107457856</v>
      </c>
      <c r="G1167" s="4">
        <v>69937</v>
      </c>
      <c r="H1167" s="8"/>
      <c r="I1167" s="4"/>
      <c r="J1167" s="4"/>
      <c r="K1167" s="4"/>
      <c r="L1167" s="8"/>
      <c r="M1167" s="7"/>
      <c r="N1167" s="7"/>
      <c r="O1167" s="7"/>
      <c r="P1167" s="6"/>
    </row>
    <row r="1168" spans="1:16" ht="165.75" x14ac:dyDescent="0.2">
      <c r="A1168" s="6">
        <v>45925</v>
      </c>
      <c r="B1168" s="11">
        <f>+MONTH(A1168)</f>
        <v>9</v>
      </c>
      <c r="C1168" s="11">
        <f>+WEEKNUM(A1168)</f>
        <v>39</v>
      </c>
      <c r="D1168" s="4" t="s">
        <v>111</v>
      </c>
      <c r="E1168" s="4" t="s">
        <v>1315</v>
      </c>
      <c r="F1168" s="4">
        <v>573153372736</v>
      </c>
      <c r="G1168" s="4">
        <v>69562</v>
      </c>
      <c r="H1168" s="8" t="s">
        <v>13</v>
      </c>
      <c r="I1168" s="4" t="s">
        <v>1316</v>
      </c>
      <c r="J1168" s="5" t="s">
        <v>1317</v>
      </c>
      <c r="K1168" s="4"/>
      <c r="L1168" s="8" t="s">
        <v>12</v>
      </c>
      <c r="M1168" s="7"/>
      <c r="N1168" s="7"/>
      <c r="O1168" s="7"/>
      <c r="P1168" s="6"/>
    </row>
    <row r="1169" spans="1:16" ht="25.5" x14ac:dyDescent="0.2">
      <c r="A1169" s="6">
        <v>45925</v>
      </c>
      <c r="B1169" s="11">
        <f>+MONTH(A1169)</f>
        <v>9</v>
      </c>
      <c r="C1169" s="11">
        <f>+WEEKNUM(A1169)</f>
        <v>39</v>
      </c>
      <c r="D1169" s="4" t="s">
        <v>1313</v>
      </c>
      <c r="E1169" s="4" t="s">
        <v>1314</v>
      </c>
      <c r="F1169" s="4">
        <v>573118249933</v>
      </c>
      <c r="G1169" s="4">
        <v>69915</v>
      </c>
      <c r="H1169" s="8"/>
      <c r="I1169" s="4"/>
      <c r="J1169" s="4"/>
      <c r="K1169" s="4"/>
      <c r="L1169" s="8"/>
      <c r="M1169" s="7"/>
      <c r="N1169" s="7"/>
      <c r="O1169" s="7"/>
      <c r="P1169" s="6"/>
    </row>
    <row r="1170" spans="1:16" ht="12.75" x14ac:dyDescent="0.2">
      <c r="A1170" s="6">
        <v>45925</v>
      </c>
      <c r="B1170" s="11">
        <f>+MONTH(A1170)</f>
        <v>9</v>
      </c>
      <c r="C1170" s="11">
        <f>+WEEKNUM(A1170)</f>
        <v>39</v>
      </c>
      <c r="D1170" s="4" t="s">
        <v>86</v>
      </c>
      <c r="E1170" s="4" t="s">
        <v>1312</v>
      </c>
      <c r="F1170" s="4">
        <v>573152150014</v>
      </c>
      <c r="G1170" s="4">
        <v>69761</v>
      </c>
      <c r="H1170" s="8"/>
      <c r="I1170" s="4"/>
      <c r="J1170" s="4"/>
      <c r="K1170" s="4"/>
      <c r="L1170" s="8"/>
      <c r="M1170" s="7"/>
      <c r="N1170" s="7"/>
      <c r="O1170" s="7"/>
      <c r="P1170" s="6"/>
    </row>
    <row r="1171" spans="1:16" ht="12.75" x14ac:dyDescent="0.2">
      <c r="A1171" s="6">
        <v>45924</v>
      </c>
      <c r="B1171" s="11">
        <f>+MONTH(A1171)</f>
        <v>9</v>
      </c>
      <c r="C1171" s="11">
        <f>+WEEKNUM(A1171)</f>
        <v>39</v>
      </c>
      <c r="D1171" s="4" t="s">
        <v>55</v>
      </c>
      <c r="E1171" s="4" t="s">
        <v>1311</v>
      </c>
      <c r="F1171" s="4">
        <v>573152877076</v>
      </c>
      <c r="G1171" s="4">
        <v>69676</v>
      </c>
      <c r="H1171" s="8"/>
      <c r="I1171" s="4"/>
      <c r="J1171" s="4"/>
      <c r="K1171" s="4"/>
      <c r="L1171" s="8"/>
      <c r="M1171" s="7"/>
      <c r="N1171" s="7"/>
      <c r="O1171" s="7"/>
      <c r="P1171" s="6"/>
    </row>
    <row r="1172" spans="1:16" ht="38.25" x14ac:dyDescent="0.2">
      <c r="A1172" s="6">
        <v>45924</v>
      </c>
      <c r="B1172" s="11">
        <f>+MONTH(A1172)</f>
        <v>9</v>
      </c>
      <c r="C1172" s="11">
        <f>+WEEKNUM(A1172)</f>
        <v>39</v>
      </c>
      <c r="D1172" s="4" t="s">
        <v>19</v>
      </c>
      <c r="E1172" s="4" t="s">
        <v>1308</v>
      </c>
      <c r="F1172" s="4">
        <v>573134007854</v>
      </c>
      <c r="G1172" s="4">
        <v>69337</v>
      </c>
      <c r="H1172" s="8" t="s">
        <v>13</v>
      </c>
      <c r="I1172" s="4" t="s">
        <v>1309</v>
      </c>
      <c r="J1172" s="5" t="s">
        <v>1310</v>
      </c>
      <c r="K1172" s="4"/>
      <c r="L1172" s="8" t="s">
        <v>12</v>
      </c>
      <c r="M1172" s="7"/>
      <c r="N1172" s="7"/>
      <c r="O1172" s="7"/>
      <c r="P1172" s="6"/>
    </row>
    <row r="1173" spans="1:16" ht="12.75" x14ac:dyDescent="0.2">
      <c r="A1173" s="6">
        <v>45924</v>
      </c>
      <c r="B1173" s="11">
        <f>+MONTH(A1173)</f>
        <v>9</v>
      </c>
      <c r="C1173" s="11">
        <f>+WEEKNUM(A1173)</f>
        <v>39</v>
      </c>
      <c r="D1173" s="4" t="s">
        <v>63</v>
      </c>
      <c r="E1173" s="4" t="s">
        <v>1307</v>
      </c>
      <c r="F1173" s="4">
        <v>573175542315</v>
      </c>
      <c r="G1173" s="4">
        <v>68128</v>
      </c>
      <c r="H1173" s="8"/>
      <c r="I1173" s="4"/>
      <c r="J1173" s="4"/>
      <c r="K1173" s="4"/>
      <c r="L1173" s="8"/>
      <c r="M1173" s="7"/>
      <c r="N1173" s="7"/>
      <c r="O1173" s="7"/>
      <c r="P1173" s="6"/>
    </row>
    <row r="1174" spans="1:16" ht="331.5" x14ac:dyDescent="0.2">
      <c r="A1174" s="6">
        <v>45924</v>
      </c>
      <c r="B1174" s="11">
        <f>+MONTH(A1174)</f>
        <v>9</v>
      </c>
      <c r="C1174" s="11">
        <f>+WEEKNUM(A1174)</f>
        <v>39</v>
      </c>
      <c r="D1174" s="4" t="s">
        <v>137</v>
      </c>
      <c r="E1174" s="4" t="s">
        <v>262</v>
      </c>
      <c r="F1174" s="4">
        <v>573115835495</v>
      </c>
      <c r="G1174" s="4">
        <v>68840</v>
      </c>
      <c r="H1174" s="8" t="s">
        <v>13</v>
      </c>
      <c r="I1174" s="4" t="s">
        <v>1305</v>
      </c>
      <c r="J1174" s="5" t="s">
        <v>1306</v>
      </c>
      <c r="K1174" s="4"/>
      <c r="L1174" s="8" t="s">
        <v>12</v>
      </c>
      <c r="M1174" s="7"/>
      <c r="N1174" s="7"/>
      <c r="O1174" s="7"/>
      <c r="P1174" s="6"/>
    </row>
    <row r="1175" spans="1:16" ht="12.75" x14ac:dyDescent="0.2">
      <c r="A1175" s="6">
        <v>45924</v>
      </c>
      <c r="B1175" s="11">
        <f>+MONTH(A1175)</f>
        <v>9</v>
      </c>
      <c r="C1175" s="11">
        <f>+WEEKNUM(A1175)</f>
        <v>39</v>
      </c>
      <c r="D1175" s="4" t="s">
        <v>1289</v>
      </c>
      <c r="E1175" s="4" t="s">
        <v>1304</v>
      </c>
      <c r="F1175" s="4">
        <v>573143390903</v>
      </c>
      <c r="G1175" s="4">
        <v>69914</v>
      </c>
      <c r="H1175" s="8"/>
      <c r="I1175" s="4"/>
      <c r="J1175" s="4"/>
      <c r="K1175" s="4"/>
      <c r="L1175" s="8"/>
      <c r="M1175" s="7"/>
      <c r="N1175" s="7"/>
      <c r="O1175" s="7"/>
      <c r="P1175" s="6"/>
    </row>
    <row r="1176" spans="1:16" ht="331.5" x14ac:dyDescent="0.2">
      <c r="A1176" s="6">
        <v>45924</v>
      </c>
      <c r="B1176" s="11">
        <f>+MONTH(A1176)</f>
        <v>9</v>
      </c>
      <c r="C1176" s="11">
        <f>+WEEKNUM(A1176)</f>
        <v>39</v>
      </c>
      <c r="D1176" s="4" t="s">
        <v>32</v>
      </c>
      <c r="E1176" s="4" t="s">
        <v>1303</v>
      </c>
      <c r="F1176" s="4">
        <v>573207692944</v>
      </c>
      <c r="G1176" s="4">
        <v>69584</v>
      </c>
      <c r="H1176" s="8" t="s">
        <v>13</v>
      </c>
      <c r="I1176" s="4" t="s">
        <v>3330</v>
      </c>
      <c r="J1176" s="4" t="s">
        <v>14</v>
      </c>
      <c r="K1176" s="4"/>
      <c r="L1176" s="8" t="s">
        <v>12</v>
      </c>
      <c r="M1176" s="7"/>
      <c r="N1176" s="7"/>
      <c r="O1176" s="7"/>
      <c r="P1176" s="6"/>
    </row>
    <row r="1177" spans="1:16" ht="25.5" x14ac:dyDescent="0.2">
      <c r="A1177" s="6">
        <v>45924</v>
      </c>
      <c r="B1177" s="11">
        <f>+MONTH(A1177)</f>
        <v>9</v>
      </c>
      <c r="C1177" s="11">
        <f>+WEEKNUM(A1177)</f>
        <v>39</v>
      </c>
      <c r="D1177" s="4" t="s">
        <v>1301</v>
      </c>
      <c r="E1177" s="4" t="s">
        <v>1302</v>
      </c>
      <c r="F1177" s="4">
        <v>573003356313</v>
      </c>
      <c r="G1177" s="4">
        <v>68111</v>
      </c>
      <c r="H1177" s="8"/>
      <c r="I1177" s="4"/>
      <c r="J1177" s="4"/>
      <c r="K1177" s="4"/>
      <c r="L1177" s="8"/>
      <c r="M1177" s="7"/>
      <c r="N1177" s="7"/>
      <c r="O1177" s="7"/>
      <c r="P1177" s="6"/>
    </row>
    <row r="1178" spans="1:16" ht="409.5" x14ac:dyDescent="0.2">
      <c r="A1178" s="6">
        <v>45924</v>
      </c>
      <c r="B1178" s="11">
        <f>+MONTH(A1178)</f>
        <v>9</v>
      </c>
      <c r="C1178" s="11">
        <f>+WEEKNUM(A1178)</f>
        <v>39</v>
      </c>
      <c r="D1178" s="4" t="s">
        <v>1298</v>
      </c>
      <c r="E1178" s="4" t="s">
        <v>1299</v>
      </c>
      <c r="F1178" s="4">
        <v>573164964457</v>
      </c>
      <c r="G1178" s="4">
        <v>67304</v>
      </c>
      <c r="H1178" s="8" t="s">
        <v>22</v>
      </c>
      <c r="I1178" s="4" t="s">
        <v>1300</v>
      </c>
      <c r="J1178" s="4"/>
      <c r="K1178" s="4"/>
      <c r="L1178" s="8" t="s">
        <v>22</v>
      </c>
      <c r="M1178" s="7"/>
      <c r="N1178" s="7"/>
      <c r="O1178" s="7"/>
      <c r="P1178" s="6"/>
    </row>
    <row r="1179" spans="1:16" ht="25.5" x14ac:dyDescent="0.2">
      <c r="A1179" s="6">
        <v>45924</v>
      </c>
      <c r="B1179" s="11">
        <f>+MONTH(A1179)</f>
        <v>9</v>
      </c>
      <c r="C1179" s="11">
        <f>+WEEKNUM(A1179)</f>
        <v>39</v>
      </c>
      <c r="D1179" s="4" t="s">
        <v>109</v>
      </c>
      <c r="E1179" s="4" t="s">
        <v>259</v>
      </c>
      <c r="F1179" s="4">
        <v>573502404334</v>
      </c>
      <c r="G1179" s="4">
        <v>69499</v>
      </c>
      <c r="H1179" s="8" t="s">
        <v>13</v>
      </c>
      <c r="I1179" s="4"/>
      <c r="J1179" s="4"/>
      <c r="K1179" s="4"/>
      <c r="L1179" s="8" t="s">
        <v>22</v>
      </c>
      <c r="M1179" s="7"/>
      <c r="N1179" s="7"/>
      <c r="O1179" s="7"/>
      <c r="P1179" s="6"/>
    </row>
    <row r="1180" spans="1:16" ht="12.75" x14ac:dyDescent="0.2">
      <c r="A1180" s="6">
        <v>45923</v>
      </c>
      <c r="B1180" s="11">
        <f>+MONTH(A1180)</f>
        <v>9</v>
      </c>
      <c r="C1180" s="11">
        <f>+WEEKNUM(A1180)</f>
        <v>39</v>
      </c>
      <c r="D1180" s="4" t="s">
        <v>300</v>
      </c>
      <c r="E1180" s="4" t="s">
        <v>303</v>
      </c>
      <c r="F1180" s="4">
        <v>573127919453</v>
      </c>
      <c r="G1180" s="4">
        <v>69332</v>
      </c>
      <c r="H1180" s="8"/>
      <c r="I1180" s="4"/>
      <c r="J1180" s="4"/>
      <c r="K1180" s="4"/>
      <c r="L1180" s="8"/>
      <c r="M1180" s="7"/>
      <c r="N1180" s="7"/>
      <c r="O1180" s="7"/>
      <c r="P1180" s="6"/>
    </row>
    <row r="1181" spans="1:16" ht="12.75" x14ac:dyDescent="0.2">
      <c r="A1181" s="6">
        <v>45923</v>
      </c>
      <c r="B1181" s="11">
        <f>+MONTH(A1181)</f>
        <v>9</v>
      </c>
      <c r="C1181" s="11">
        <f>+WEEKNUM(A1181)</f>
        <v>39</v>
      </c>
      <c r="D1181" s="4" t="s">
        <v>27</v>
      </c>
      <c r="E1181" s="4" t="s">
        <v>73</v>
      </c>
      <c r="F1181" s="4">
        <v>573218026936</v>
      </c>
      <c r="G1181" s="4">
        <v>69609</v>
      </c>
      <c r="H1181" s="8"/>
      <c r="I1181" s="4"/>
      <c r="J1181" s="4"/>
      <c r="K1181" s="4"/>
      <c r="L1181" s="8"/>
      <c r="M1181" s="7"/>
      <c r="N1181" s="7"/>
      <c r="O1181" s="7"/>
      <c r="P1181" s="6"/>
    </row>
    <row r="1182" spans="1:16" ht="216.75" x14ac:dyDescent="0.2">
      <c r="A1182" s="6">
        <v>45923</v>
      </c>
      <c r="B1182" s="11">
        <f>+MONTH(A1182)</f>
        <v>9</v>
      </c>
      <c r="C1182" s="11">
        <f>+WEEKNUM(A1182)</f>
        <v>39</v>
      </c>
      <c r="D1182" s="4" t="s">
        <v>1296</v>
      </c>
      <c r="E1182" s="4" t="s">
        <v>1297</v>
      </c>
      <c r="F1182" s="4">
        <v>573232413830</v>
      </c>
      <c r="G1182" s="4">
        <v>68961</v>
      </c>
      <c r="H1182" s="8" t="s">
        <v>13</v>
      </c>
      <c r="I1182" s="4" t="s">
        <v>3371</v>
      </c>
      <c r="J1182" s="4" t="s">
        <v>23</v>
      </c>
      <c r="K1182" s="4"/>
      <c r="L1182" s="8" t="s">
        <v>12</v>
      </c>
      <c r="M1182" s="7"/>
      <c r="N1182" s="7"/>
      <c r="O1182" s="7"/>
      <c r="P1182" s="6"/>
    </row>
    <row r="1183" spans="1:16" ht="25.5" x14ac:dyDescent="0.2">
      <c r="A1183" s="6">
        <v>45923</v>
      </c>
      <c r="B1183" s="11">
        <f>+MONTH(A1183)</f>
        <v>9</v>
      </c>
      <c r="C1183" s="11">
        <f>+WEEKNUM(A1183)</f>
        <v>39</v>
      </c>
      <c r="D1183" s="4" t="s">
        <v>1295</v>
      </c>
      <c r="E1183" s="4" t="s">
        <v>1295</v>
      </c>
      <c r="F1183" s="4">
        <v>573103418591</v>
      </c>
      <c r="G1183" s="4">
        <v>69563</v>
      </c>
      <c r="H1183" s="8"/>
      <c r="I1183" s="4"/>
      <c r="J1183" s="4"/>
      <c r="K1183" s="4"/>
      <c r="L1183" s="8"/>
      <c r="M1183" s="7"/>
      <c r="N1183" s="7"/>
      <c r="O1183" s="7"/>
      <c r="P1183" s="6"/>
    </row>
    <row r="1184" spans="1:16" ht="102" x14ac:dyDescent="0.2">
      <c r="A1184" s="6">
        <v>45923</v>
      </c>
      <c r="B1184" s="11">
        <f>+MONTH(A1184)</f>
        <v>9</v>
      </c>
      <c r="C1184" s="11">
        <f>+WEEKNUM(A1184)</f>
        <v>39</v>
      </c>
      <c r="D1184" s="4" t="s">
        <v>580</v>
      </c>
      <c r="E1184" s="4" t="s">
        <v>1293</v>
      </c>
      <c r="F1184" s="4">
        <v>573197793513</v>
      </c>
      <c r="G1184" s="4">
        <v>69766</v>
      </c>
      <c r="H1184" s="8" t="s">
        <v>44</v>
      </c>
      <c r="I1184" s="4" t="s">
        <v>1294</v>
      </c>
      <c r="J1184" s="4"/>
      <c r="K1184" s="4"/>
      <c r="L1184" s="8" t="s">
        <v>71</v>
      </c>
      <c r="M1184" s="7"/>
      <c r="N1184" s="7"/>
      <c r="O1184" s="7"/>
      <c r="P1184" s="6"/>
    </row>
    <row r="1185" spans="1:16" ht="12.75" x14ac:dyDescent="0.2">
      <c r="A1185" s="6">
        <v>45923</v>
      </c>
      <c r="B1185" s="11">
        <f>+MONTH(A1185)</f>
        <v>9</v>
      </c>
      <c r="C1185" s="11">
        <f>+WEEKNUM(A1185)</f>
        <v>39</v>
      </c>
      <c r="D1185" s="4" t="s">
        <v>254</v>
      </c>
      <c r="E1185" s="4" t="s">
        <v>1292</v>
      </c>
      <c r="F1185" s="4">
        <v>573235093092</v>
      </c>
      <c r="G1185" s="4">
        <v>69017</v>
      </c>
      <c r="H1185" s="8"/>
      <c r="I1185" s="4"/>
      <c r="J1185" s="4"/>
      <c r="K1185" s="4"/>
      <c r="L1185" s="8"/>
      <c r="M1185" s="7"/>
      <c r="N1185" s="7"/>
      <c r="O1185" s="7"/>
      <c r="P1185" s="6"/>
    </row>
    <row r="1186" spans="1:16" ht="38.25" x14ac:dyDescent="0.2">
      <c r="A1186" s="6">
        <v>45923</v>
      </c>
      <c r="B1186" s="11">
        <f>+MONTH(A1186)</f>
        <v>9</v>
      </c>
      <c r="C1186" s="11">
        <f>+WEEKNUM(A1186)</f>
        <v>39</v>
      </c>
      <c r="D1186" s="4" t="s">
        <v>1289</v>
      </c>
      <c r="E1186" s="4" t="s">
        <v>1290</v>
      </c>
      <c r="F1186" s="4">
        <v>573202714018</v>
      </c>
      <c r="G1186" s="4">
        <v>69817</v>
      </c>
      <c r="H1186" s="8" t="s">
        <v>13</v>
      </c>
      <c r="I1186" s="4" t="s">
        <v>3346</v>
      </c>
      <c r="J1186" s="5" t="s">
        <v>1291</v>
      </c>
      <c r="K1186" s="4"/>
      <c r="L1186" s="8" t="s">
        <v>12</v>
      </c>
      <c r="M1186" s="7"/>
      <c r="N1186" s="7"/>
      <c r="O1186" s="7"/>
      <c r="P1186" s="6"/>
    </row>
    <row r="1187" spans="1:16" ht="12.75" x14ac:dyDescent="0.2">
      <c r="A1187" s="6">
        <v>45923</v>
      </c>
      <c r="B1187" s="11">
        <f>+MONTH(A1187)</f>
        <v>9</v>
      </c>
      <c r="C1187" s="11">
        <f>+WEEKNUM(A1187)</f>
        <v>39</v>
      </c>
      <c r="D1187" s="4" t="s">
        <v>37</v>
      </c>
      <c r="E1187" s="4" t="s">
        <v>1288</v>
      </c>
      <c r="F1187" s="4">
        <v>573208336942</v>
      </c>
      <c r="G1187" s="4">
        <v>69783</v>
      </c>
      <c r="H1187" s="8"/>
      <c r="I1187" s="4"/>
      <c r="J1187" s="4"/>
      <c r="K1187" s="4"/>
      <c r="L1187" s="8"/>
      <c r="M1187" s="7"/>
      <c r="N1187" s="7"/>
      <c r="O1187" s="7"/>
      <c r="P1187" s="6"/>
    </row>
    <row r="1188" spans="1:16" ht="12.75" x14ac:dyDescent="0.2">
      <c r="A1188" s="6">
        <v>45923</v>
      </c>
      <c r="B1188" s="11">
        <f>+MONTH(A1188)</f>
        <v>9</v>
      </c>
      <c r="C1188" s="11">
        <f>+WEEKNUM(A1188)</f>
        <v>39</v>
      </c>
      <c r="D1188" s="4" t="s">
        <v>196</v>
      </c>
      <c r="E1188" s="4" t="s">
        <v>322</v>
      </c>
      <c r="F1188" s="4">
        <v>573204063199</v>
      </c>
      <c r="G1188" s="4">
        <v>69749</v>
      </c>
      <c r="H1188" s="8"/>
      <c r="I1188" s="4"/>
      <c r="J1188" s="4"/>
      <c r="K1188" s="4"/>
      <c r="L1188" s="8"/>
      <c r="M1188" s="7"/>
      <c r="N1188" s="7"/>
      <c r="O1188" s="7"/>
      <c r="P1188" s="6"/>
    </row>
    <row r="1189" spans="1:16" ht="25.5" x14ac:dyDescent="0.2">
      <c r="A1189" s="6">
        <v>45923</v>
      </c>
      <c r="B1189" s="11">
        <f>+MONTH(A1189)</f>
        <v>9</v>
      </c>
      <c r="C1189" s="11">
        <f>+WEEKNUM(A1189)</f>
        <v>39</v>
      </c>
      <c r="D1189" s="4" t="s">
        <v>21</v>
      </c>
      <c r="E1189" s="4" t="s">
        <v>1122</v>
      </c>
      <c r="F1189" s="4">
        <v>573186532696</v>
      </c>
      <c r="G1189" s="4">
        <v>69524</v>
      </c>
      <c r="H1189" s="8"/>
      <c r="I1189" s="4"/>
      <c r="J1189" s="4"/>
      <c r="K1189" s="4"/>
      <c r="L1189" s="8"/>
      <c r="M1189" s="7"/>
      <c r="N1189" s="7"/>
      <c r="O1189" s="7"/>
      <c r="P1189" s="6"/>
    </row>
    <row r="1190" spans="1:16" ht="12.75" x14ac:dyDescent="0.2">
      <c r="A1190" s="6">
        <v>45923</v>
      </c>
      <c r="B1190" s="11">
        <f>+MONTH(A1190)</f>
        <v>9</v>
      </c>
      <c r="C1190" s="11">
        <f>+WEEKNUM(A1190)</f>
        <v>39</v>
      </c>
      <c r="D1190" s="4" t="s">
        <v>1286</v>
      </c>
      <c r="E1190" s="4" t="s">
        <v>1287</v>
      </c>
      <c r="F1190" s="4">
        <v>573134765603</v>
      </c>
      <c r="G1190" s="4">
        <v>69614</v>
      </c>
      <c r="H1190" s="8"/>
      <c r="I1190" s="4"/>
      <c r="J1190" s="4"/>
      <c r="K1190" s="4"/>
      <c r="L1190" s="8"/>
      <c r="M1190" s="7"/>
      <c r="N1190" s="7"/>
      <c r="O1190" s="7"/>
      <c r="P1190" s="6"/>
    </row>
    <row r="1191" spans="1:16" ht="12.75" x14ac:dyDescent="0.2">
      <c r="A1191" s="6">
        <v>45923</v>
      </c>
      <c r="B1191" s="11">
        <f>+MONTH(A1191)</f>
        <v>9</v>
      </c>
      <c r="C1191" s="11">
        <f>+WEEKNUM(A1191)</f>
        <v>39</v>
      </c>
      <c r="D1191" s="4" t="s">
        <v>146</v>
      </c>
      <c r="E1191" s="4" t="s">
        <v>1285</v>
      </c>
      <c r="F1191" s="4">
        <v>573164670347</v>
      </c>
      <c r="G1191" s="4">
        <v>69786</v>
      </c>
      <c r="H1191" s="8"/>
      <c r="I1191" s="4"/>
      <c r="J1191" s="4"/>
      <c r="K1191" s="4"/>
      <c r="L1191" s="8"/>
      <c r="M1191" s="7"/>
      <c r="N1191" s="7"/>
      <c r="O1191" s="7"/>
      <c r="P1191" s="6"/>
    </row>
    <row r="1192" spans="1:16" ht="25.5" x14ac:dyDescent="0.2">
      <c r="A1192" s="6">
        <v>45923</v>
      </c>
      <c r="B1192" s="11">
        <f>+MONTH(A1192)</f>
        <v>9</v>
      </c>
      <c r="C1192" s="11">
        <f>+WEEKNUM(A1192)</f>
        <v>39</v>
      </c>
      <c r="D1192" s="4" t="s">
        <v>1283</v>
      </c>
      <c r="E1192" s="4" t="s">
        <v>1284</v>
      </c>
      <c r="F1192" s="4">
        <v>573166965229</v>
      </c>
      <c r="G1192" s="4">
        <v>69594</v>
      </c>
      <c r="H1192" s="8"/>
      <c r="I1192" s="4"/>
      <c r="J1192" s="4"/>
      <c r="K1192" s="4"/>
      <c r="L1192" s="8"/>
      <c r="M1192" s="7"/>
      <c r="N1192" s="7"/>
      <c r="O1192" s="7"/>
      <c r="P1192" s="6"/>
    </row>
    <row r="1193" spans="1:16" ht="12.75" x14ac:dyDescent="0.2">
      <c r="A1193" s="6">
        <v>45923</v>
      </c>
      <c r="B1193" s="11">
        <f>+MONTH(A1193)</f>
        <v>9</v>
      </c>
      <c r="C1193" s="11">
        <f>+WEEKNUM(A1193)</f>
        <v>39</v>
      </c>
      <c r="D1193" s="4" t="s">
        <v>1281</v>
      </c>
      <c r="E1193" s="4" t="s">
        <v>1282</v>
      </c>
      <c r="F1193" s="4">
        <v>573204534192</v>
      </c>
      <c r="G1193" s="4">
        <v>69443</v>
      </c>
      <c r="H1193" s="8"/>
      <c r="I1193" s="4"/>
      <c r="J1193" s="4"/>
      <c r="K1193" s="4"/>
      <c r="L1193" s="8"/>
      <c r="M1193" s="7"/>
      <c r="N1193" s="7"/>
      <c r="O1193" s="7"/>
      <c r="P1193" s="6"/>
    </row>
    <row r="1194" spans="1:16" ht="12.75" x14ac:dyDescent="0.2">
      <c r="A1194" s="6">
        <v>45923</v>
      </c>
      <c r="B1194" s="11">
        <f>+MONTH(A1194)</f>
        <v>9</v>
      </c>
      <c r="C1194" s="11">
        <f>+WEEKNUM(A1194)</f>
        <v>39</v>
      </c>
      <c r="D1194" s="4" t="s">
        <v>66</v>
      </c>
      <c r="E1194" s="4" t="s">
        <v>1280</v>
      </c>
      <c r="F1194" s="4">
        <v>573133888961</v>
      </c>
      <c r="G1194" s="4">
        <v>69400</v>
      </c>
      <c r="H1194" s="8"/>
      <c r="I1194" s="4"/>
      <c r="J1194" s="4"/>
      <c r="K1194" s="4"/>
      <c r="L1194" s="8"/>
      <c r="M1194" s="7"/>
      <c r="N1194" s="7"/>
      <c r="O1194" s="7"/>
      <c r="P1194" s="6"/>
    </row>
    <row r="1195" spans="1:16" ht="12.75" x14ac:dyDescent="0.2">
      <c r="A1195" s="6">
        <v>45922</v>
      </c>
      <c r="B1195" s="11">
        <f>+MONTH(A1195)</f>
        <v>9</v>
      </c>
      <c r="C1195" s="11">
        <f>+WEEKNUM(A1195)</f>
        <v>39</v>
      </c>
      <c r="D1195" s="4" t="s">
        <v>304</v>
      </c>
      <c r="E1195" s="4" t="s">
        <v>1279</v>
      </c>
      <c r="F1195" s="4">
        <v>573223046540</v>
      </c>
      <c r="G1195" s="4">
        <v>69727</v>
      </c>
      <c r="H1195" s="8"/>
      <c r="I1195" s="4"/>
      <c r="J1195" s="4"/>
      <c r="K1195" s="4"/>
      <c r="L1195" s="8"/>
      <c r="M1195" s="7"/>
      <c r="N1195" s="7"/>
      <c r="O1195" s="7"/>
      <c r="P1195" s="6"/>
    </row>
    <row r="1196" spans="1:16" ht="51" x14ac:dyDescent="0.2">
      <c r="A1196" s="6">
        <v>45922</v>
      </c>
      <c r="B1196" s="11">
        <f>+MONTH(A1196)</f>
        <v>9</v>
      </c>
      <c r="C1196" s="11">
        <f>+WEEKNUM(A1196)</f>
        <v>39</v>
      </c>
      <c r="D1196" s="4" t="s">
        <v>1275</v>
      </c>
      <c r="E1196" s="4" t="s">
        <v>1276</v>
      </c>
      <c r="F1196" s="4">
        <v>573204747722</v>
      </c>
      <c r="G1196" s="4">
        <v>68114</v>
      </c>
      <c r="H1196" s="8" t="s">
        <v>13</v>
      </c>
      <c r="I1196" s="4" t="s">
        <v>1277</v>
      </c>
      <c r="J1196" s="5" t="s">
        <v>1278</v>
      </c>
      <c r="K1196" s="4"/>
      <c r="L1196" s="8" t="s">
        <v>12</v>
      </c>
      <c r="M1196" s="7"/>
      <c r="N1196" s="7"/>
      <c r="O1196" s="7"/>
      <c r="P1196" s="6"/>
    </row>
    <row r="1197" spans="1:16" ht="12.75" x14ac:dyDescent="0.2">
      <c r="A1197" s="6">
        <v>45922</v>
      </c>
      <c r="B1197" s="11">
        <f>+MONTH(A1197)</f>
        <v>9</v>
      </c>
      <c r="C1197" s="11">
        <f>+WEEKNUM(A1197)</f>
        <v>39</v>
      </c>
      <c r="D1197" s="4" t="s">
        <v>1273</v>
      </c>
      <c r="E1197" s="4" t="s">
        <v>1274</v>
      </c>
      <c r="F1197" s="4">
        <v>573134908635</v>
      </c>
      <c r="G1197" s="4">
        <v>69273</v>
      </c>
      <c r="H1197" s="8"/>
      <c r="I1197" s="4"/>
      <c r="J1197" s="4"/>
      <c r="K1197" s="4"/>
      <c r="L1197" s="8"/>
      <c r="M1197" s="7"/>
      <c r="N1197" s="7"/>
      <c r="O1197" s="7"/>
      <c r="P1197" s="6"/>
    </row>
    <row r="1198" spans="1:16" ht="12.75" x14ac:dyDescent="0.2">
      <c r="A1198" s="6">
        <v>45922</v>
      </c>
      <c r="B1198" s="11">
        <f>+MONTH(A1198)</f>
        <v>9</v>
      </c>
      <c r="C1198" s="11">
        <f>+WEEKNUM(A1198)</f>
        <v>39</v>
      </c>
      <c r="D1198" s="4" t="s">
        <v>282</v>
      </c>
      <c r="E1198" s="4" t="s">
        <v>1272</v>
      </c>
      <c r="F1198" s="4">
        <v>573134938587</v>
      </c>
      <c r="G1198" s="4">
        <v>69705</v>
      </c>
      <c r="H1198" s="8"/>
      <c r="I1198" s="4"/>
      <c r="J1198" s="4"/>
      <c r="K1198" s="4"/>
      <c r="L1198" s="8"/>
      <c r="M1198" s="7"/>
      <c r="N1198" s="7"/>
      <c r="O1198" s="7"/>
      <c r="P1198" s="6"/>
    </row>
    <row r="1199" spans="1:16" ht="63.75" x14ac:dyDescent="0.2">
      <c r="A1199" s="6">
        <v>45922</v>
      </c>
      <c r="B1199" s="11">
        <f>+MONTH(A1199)</f>
        <v>9</v>
      </c>
      <c r="C1199" s="11">
        <f>+WEEKNUM(A1199)</f>
        <v>39</v>
      </c>
      <c r="D1199" s="4" t="s">
        <v>21</v>
      </c>
      <c r="E1199" s="4" t="s">
        <v>1269</v>
      </c>
      <c r="F1199" s="4">
        <v>573142486873</v>
      </c>
      <c r="G1199" s="4">
        <v>69685</v>
      </c>
      <c r="H1199" s="8" t="s">
        <v>13</v>
      </c>
      <c r="I1199" s="4" t="s">
        <v>1270</v>
      </c>
      <c r="J1199" s="5" t="s">
        <v>1271</v>
      </c>
      <c r="K1199" s="4"/>
      <c r="L1199" s="8" t="s">
        <v>12</v>
      </c>
      <c r="M1199" s="7"/>
      <c r="N1199" s="7"/>
      <c r="O1199" s="7"/>
      <c r="P1199" s="6"/>
    </row>
    <row r="1200" spans="1:16" ht="25.5" x14ac:dyDescent="0.2">
      <c r="A1200" s="6">
        <v>45922</v>
      </c>
      <c r="B1200" s="11">
        <f>+MONTH(A1200)</f>
        <v>9</v>
      </c>
      <c r="C1200" s="11">
        <f>+WEEKNUM(A1200)</f>
        <v>39</v>
      </c>
      <c r="D1200" s="4" t="s">
        <v>1267</v>
      </c>
      <c r="E1200" s="4" t="s">
        <v>1268</v>
      </c>
      <c r="F1200" s="4">
        <v>573212067957</v>
      </c>
      <c r="G1200" s="4">
        <v>69320</v>
      </c>
      <c r="H1200" s="8" t="s">
        <v>13</v>
      </c>
      <c r="I1200" s="4"/>
      <c r="J1200" s="4"/>
      <c r="K1200" s="4"/>
      <c r="L1200" s="8" t="s">
        <v>12</v>
      </c>
      <c r="M1200" s="7"/>
      <c r="N1200" s="7"/>
      <c r="O1200" s="7"/>
      <c r="P1200" s="6"/>
    </row>
    <row r="1201" spans="1:16" ht="114.75" x14ac:dyDescent="0.2">
      <c r="A1201" s="6">
        <v>45922</v>
      </c>
      <c r="B1201" s="11">
        <f>+MONTH(A1201)</f>
        <v>9</v>
      </c>
      <c r="C1201" s="11">
        <f>+WEEKNUM(A1201)</f>
        <v>39</v>
      </c>
      <c r="D1201" s="4" t="s">
        <v>292</v>
      </c>
      <c r="E1201" s="4" t="s">
        <v>1045</v>
      </c>
      <c r="F1201" s="4">
        <v>573507664258</v>
      </c>
      <c r="G1201" s="4">
        <v>69687</v>
      </c>
      <c r="H1201" s="8" t="s">
        <v>13</v>
      </c>
      <c r="I1201" s="4" t="s">
        <v>1266</v>
      </c>
      <c r="J1201" s="4" t="s">
        <v>23</v>
      </c>
      <c r="K1201" s="4"/>
      <c r="L1201" s="8" t="s">
        <v>12</v>
      </c>
      <c r="M1201" s="7"/>
      <c r="N1201" s="7"/>
      <c r="O1201" s="7"/>
      <c r="P1201" s="6"/>
    </row>
    <row r="1202" spans="1:16" ht="25.5" x14ac:dyDescent="0.2">
      <c r="A1202" s="6">
        <v>45922</v>
      </c>
      <c r="B1202" s="11">
        <f>+MONTH(A1202)</f>
        <v>9</v>
      </c>
      <c r="C1202" s="11">
        <f>+WEEKNUM(A1202)</f>
        <v>39</v>
      </c>
      <c r="D1202" s="4" t="s">
        <v>11</v>
      </c>
      <c r="E1202" s="4" t="s">
        <v>1265</v>
      </c>
      <c r="F1202" s="4">
        <v>573012562150</v>
      </c>
      <c r="G1202" s="4">
        <v>68949</v>
      </c>
      <c r="H1202" s="8"/>
      <c r="I1202" s="4"/>
      <c r="J1202" s="4"/>
      <c r="K1202" s="4"/>
      <c r="L1202" s="8"/>
      <c r="M1202" s="7"/>
      <c r="N1202" s="7"/>
      <c r="O1202" s="7"/>
      <c r="P1202" s="6"/>
    </row>
    <row r="1203" spans="1:16" ht="12.75" x14ac:dyDescent="0.2">
      <c r="A1203" s="6">
        <v>45922</v>
      </c>
      <c r="B1203" s="11">
        <f>+MONTH(A1203)</f>
        <v>9</v>
      </c>
      <c r="C1203" s="11">
        <f>+WEEKNUM(A1203)</f>
        <v>39</v>
      </c>
      <c r="D1203" s="4" t="s">
        <v>267</v>
      </c>
      <c r="E1203" s="4" t="s">
        <v>272</v>
      </c>
      <c r="F1203" s="4">
        <v>573226836211</v>
      </c>
      <c r="G1203" s="4">
        <v>69620</v>
      </c>
      <c r="H1203" s="8"/>
      <c r="I1203" s="4"/>
      <c r="J1203" s="4"/>
      <c r="K1203" s="4"/>
      <c r="L1203" s="8"/>
      <c r="M1203" s="7"/>
      <c r="N1203" s="7"/>
      <c r="O1203" s="7"/>
      <c r="P1203" s="6"/>
    </row>
    <row r="1204" spans="1:16" ht="12.75" x14ac:dyDescent="0.2">
      <c r="A1204" s="6">
        <v>45920</v>
      </c>
      <c r="B1204" s="11">
        <f>+MONTH(A1204)</f>
        <v>9</v>
      </c>
      <c r="C1204" s="11">
        <f>+WEEKNUM(A1204)</f>
        <v>38</v>
      </c>
      <c r="D1204" s="4" t="s">
        <v>1263</v>
      </c>
      <c r="E1204" s="4" t="s">
        <v>1264</v>
      </c>
      <c r="F1204" s="4">
        <v>573005726379</v>
      </c>
      <c r="G1204" s="4">
        <v>66472</v>
      </c>
      <c r="H1204" s="8"/>
      <c r="I1204" s="4"/>
      <c r="J1204" s="4"/>
      <c r="K1204" s="4"/>
      <c r="L1204" s="8"/>
      <c r="M1204" s="7"/>
      <c r="N1204" s="7"/>
      <c r="O1204" s="7"/>
      <c r="P1204" s="6"/>
    </row>
    <row r="1205" spans="1:16" ht="12.75" x14ac:dyDescent="0.2">
      <c r="A1205" s="6">
        <v>45920</v>
      </c>
      <c r="B1205" s="11">
        <f>+MONTH(A1205)</f>
        <v>9</v>
      </c>
      <c r="C1205" s="11">
        <f>+WEEKNUM(A1205)</f>
        <v>38</v>
      </c>
      <c r="D1205" s="4" t="s">
        <v>63</v>
      </c>
      <c r="E1205" s="4" t="s">
        <v>65</v>
      </c>
      <c r="F1205" s="4">
        <v>573138589185</v>
      </c>
      <c r="G1205" s="4">
        <v>69398</v>
      </c>
      <c r="H1205" s="8"/>
      <c r="I1205" s="4"/>
      <c r="J1205" s="4"/>
      <c r="K1205" s="4"/>
      <c r="L1205" s="8"/>
      <c r="M1205" s="7"/>
      <c r="N1205" s="7"/>
      <c r="O1205" s="7"/>
      <c r="P1205" s="6"/>
    </row>
    <row r="1206" spans="1:16" ht="25.5" x14ac:dyDescent="0.2">
      <c r="A1206" s="6">
        <v>45920</v>
      </c>
      <c r="B1206" s="11">
        <f>+MONTH(A1206)</f>
        <v>9</v>
      </c>
      <c r="C1206" s="11">
        <f>+WEEKNUM(A1206)</f>
        <v>38</v>
      </c>
      <c r="D1206" s="4" t="s">
        <v>185</v>
      </c>
      <c r="E1206" s="4" t="s">
        <v>1262</v>
      </c>
      <c r="F1206" s="4">
        <v>573108906380</v>
      </c>
      <c r="G1206" s="4">
        <v>68351</v>
      </c>
      <c r="H1206" s="8"/>
      <c r="I1206" s="4"/>
      <c r="J1206" s="4"/>
      <c r="K1206" s="4"/>
      <c r="L1206" s="8"/>
      <c r="M1206" s="7"/>
      <c r="N1206" s="7"/>
      <c r="O1206" s="7"/>
      <c r="P1206" s="6"/>
    </row>
    <row r="1207" spans="1:16" ht="191.25" x14ac:dyDescent="0.2">
      <c r="A1207" s="6">
        <v>45920</v>
      </c>
      <c r="B1207" s="11">
        <f>+MONTH(A1207)</f>
        <v>9</v>
      </c>
      <c r="C1207" s="11">
        <f>+WEEKNUM(A1207)</f>
        <v>38</v>
      </c>
      <c r="D1207" s="4" t="s">
        <v>48</v>
      </c>
      <c r="E1207" s="4" t="s">
        <v>1260</v>
      </c>
      <c r="F1207" s="4">
        <v>573112194242</v>
      </c>
      <c r="G1207" s="4">
        <v>65665</v>
      </c>
      <c r="H1207" s="8" t="s">
        <v>13</v>
      </c>
      <c r="I1207" s="4" t="s">
        <v>1261</v>
      </c>
      <c r="J1207" s="4"/>
      <c r="K1207" s="4"/>
      <c r="L1207" s="8" t="s">
        <v>22</v>
      </c>
      <c r="M1207" s="7"/>
      <c r="N1207" s="7"/>
      <c r="O1207" s="7"/>
      <c r="P1207" s="6"/>
    </row>
    <row r="1208" spans="1:16" ht="25.5" x14ac:dyDescent="0.2">
      <c r="A1208" s="6">
        <v>45920</v>
      </c>
      <c r="B1208" s="11">
        <f>+MONTH(A1208)</f>
        <v>9</v>
      </c>
      <c r="C1208" s="11">
        <f>+WEEKNUM(A1208)</f>
        <v>38</v>
      </c>
      <c r="D1208" s="4" t="s">
        <v>191</v>
      </c>
      <c r="E1208" s="4" t="s">
        <v>1259</v>
      </c>
      <c r="F1208" s="4">
        <v>573142378612</v>
      </c>
      <c r="G1208" s="4">
        <v>69455</v>
      </c>
      <c r="H1208" s="8"/>
      <c r="I1208" s="4"/>
      <c r="J1208" s="4"/>
      <c r="K1208" s="4"/>
      <c r="L1208" s="8"/>
      <c r="M1208" s="7"/>
      <c r="N1208" s="7"/>
      <c r="O1208" s="7"/>
      <c r="P1208" s="6"/>
    </row>
    <row r="1209" spans="1:16" ht="89.25" x14ac:dyDescent="0.2">
      <c r="A1209" s="6">
        <v>45920</v>
      </c>
      <c r="B1209" s="11">
        <f>+MONTH(A1209)</f>
        <v>9</v>
      </c>
      <c r="C1209" s="11">
        <f>+WEEKNUM(A1209)</f>
        <v>38</v>
      </c>
      <c r="D1209" s="4" t="s">
        <v>274</v>
      </c>
      <c r="E1209" s="4" t="s">
        <v>1256</v>
      </c>
      <c r="F1209" s="4">
        <v>573127316418</v>
      </c>
      <c r="G1209" s="4">
        <v>69084</v>
      </c>
      <c r="H1209" s="8" t="s">
        <v>13</v>
      </c>
      <c r="I1209" s="4" t="s">
        <v>1257</v>
      </c>
      <c r="J1209" s="5" t="s">
        <v>1258</v>
      </c>
      <c r="K1209" s="4"/>
      <c r="L1209" s="8" t="s">
        <v>12</v>
      </c>
      <c r="M1209" s="7"/>
      <c r="N1209" s="7"/>
      <c r="O1209" s="7"/>
      <c r="P1209" s="6"/>
    </row>
    <row r="1210" spans="1:16" ht="12.75" x14ac:dyDescent="0.2">
      <c r="A1210" s="6">
        <v>45920</v>
      </c>
      <c r="B1210" s="11">
        <f>+MONTH(A1210)</f>
        <v>9</v>
      </c>
      <c r="C1210" s="11">
        <f>+WEEKNUM(A1210)</f>
        <v>38</v>
      </c>
      <c r="D1210" s="4" t="s">
        <v>21</v>
      </c>
      <c r="E1210" s="4" t="s">
        <v>1255</v>
      </c>
      <c r="F1210" s="4">
        <v>573117980428</v>
      </c>
      <c r="G1210" s="4">
        <v>69589</v>
      </c>
      <c r="H1210" s="8"/>
      <c r="I1210" s="4"/>
      <c r="J1210" s="4"/>
      <c r="K1210" s="4"/>
      <c r="L1210" s="8"/>
      <c r="M1210" s="7"/>
      <c r="N1210" s="7"/>
      <c r="O1210" s="7"/>
      <c r="P1210" s="6"/>
    </row>
    <row r="1211" spans="1:16" ht="76.5" x14ac:dyDescent="0.2">
      <c r="A1211" s="6">
        <v>45920</v>
      </c>
      <c r="B1211" s="11">
        <f>+MONTH(A1211)</f>
        <v>9</v>
      </c>
      <c r="C1211" s="11">
        <f>+WEEKNUM(A1211)</f>
        <v>38</v>
      </c>
      <c r="D1211" s="4" t="s">
        <v>1253</v>
      </c>
      <c r="E1211" s="4" t="s">
        <v>1254</v>
      </c>
      <c r="F1211" s="4">
        <v>573124583270</v>
      </c>
      <c r="G1211" s="4">
        <v>69502</v>
      </c>
      <c r="H1211" s="8" t="s">
        <v>13</v>
      </c>
      <c r="I1211" s="4" t="s">
        <v>3347</v>
      </c>
      <c r="J1211" s="4" t="s">
        <v>23</v>
      </c>
      <c r="K1211" s="4"/>
      <c r="L1211" s="8" t="s">
        <v>12</v>
      </c>
      <c r="M1211" s="7"/>
      <c r="N1211" s="7"/>
      <c r="O1211" s="7"/>
      <c r="P1211" s="6"/>
    </row>
    <row r="1212" spans="1:16" ht="12.75" x14ac:dyDescent="0.2">
      <c r="A1212" s="6">
        <v>45920</v>
      </c>
      <c r="B1212" s="11">
        <f>+MONTH(A1212)</f>
        <v>9</v>
      </c>
      <c r="C1212" s="11">
        <f>+WEEKNUM(A1212)</f>
        <v>38</v>
      </c>
      <c r="D1212" s="4" t="s">
        <v>75</v>
      </c>
      <c r="E1212" s="4" t="s">
        <v>222</v>
      </c>
      <c r="F1212" s="4">
        <v>573107637720</v>
      </c>
      <c r="G1212" s="4">
        <v>69375</v>
      </c>
      <c r="H1212" s="8"/>
      <c r="I1212" s="4"/>
      <c r="J1212" s="4"/>
      <c r="K1212" s="4"/>
      <c r="L1212" s="8"/>
      <c r="M1212" s="7"/>
      <c r="N1212" s="7"/>
      <c r="O1212" s="7"/>
      <c r="P1212" s="6"/>
    </row>
    <row r="1213" spans="1:16" ht="12.75" x14ac:dyDescent="0.2">
      <c r="A1213" s="6">
        <v>45920</v>
      </c>
      <c r="B1213" s="11">
        <f>+MONTH(A1213)</f>
        <v>9</v>
      </c>
      <c r="C1213" s="11">
        <f>+WEEKNUM(A1213)</f>
        <v>38</v>
      </c>
      <c r="D1213" s="4" t="s">
        <v>234</v>
      </c>
      <c r="E1213" s="4" t="s">
        <v>1252</v>
      </c>
      <c r="F1213" s="4">
        <v>573202305640</v>
      </c>
      <c r="G1213" s="4">
        <v>69433</v>
      </c>
      <c r="H1213" s="8"/>
      <c r="I1213" s="4"/>
      <c r="J1213" s="4"/>
      <c r="K1213" s="4"/>
      <c r="L1213" s="8"/>
      <c r="M1213" s="7"/>
      <c r="N1213" s="7"/>
      <c r="O1213" s="7"/>
      <c r="P1213" s="6"/>
    </row>
    <row r="1214" spans="1:16" ht="12.75" x14ac:dyDescent="0.2">
      <c r="A1214" s="6">
        <v>45920</v>
      </c>
      <c r="B1214" s="11">
        <f>+MONTH(A1214)</f>
        <v>9</v>
      </c>
      <c r="C1214" s="11">
        <f>+WEEKNUM(A1214)</f>
        <v>38</v>
      </c>
      <c r="D1214" s="4" t="s">
        <v>86</v>
      </c>
      <c r="E1214" s="4" t="s">
        <v>1251</v>
      </c>
      <c r="F1214" s="4">
        <v>573123760513</v>
      </c>
      <c r="G1214" s="4">
        <v>69607</v>
      </c>
      <c r="H1214" s="8"/>
      <c r="I1214" s="4"/>
      <c r="J1214" s="4"/>
      <c r="K1214" s="4"/>
      <c r="L1214" s="8"/>
      <c r="M1214" s="7"/>
      <c r="N1214" s="7"/>
      <c r="O1214" s="7"/>
      <c r="P1214" s="6"/>
    </row>
    <row r="1215" spans="1:16" ht="25.5" x14ac:dyDescent="0.2">
      <c r="A1215" s="6">
        <v>45920</v>
      </c>
      <c r="B1215" s="11">
        <f>+MONTH(A1215)</f>
        <v>9</v>
      </c>
      <c r="C1215" s="11">
        <f>+WEEKNUM(A1215)</f>
        <v>38</v>
      </c>
      <c r="D1215" s="4" t="s">
        <v>66</v>
      </c>
      <c r="E1215" s="4" t="s">
        <v>1250</v>
      </c>
      <c r="F1215" s="4">
        <v>573232933777</v>
      </c>
      <c r="G1215" s="4">
        <v>69113</v>
      </c>
      <c r="H1215" s="8"/>
      <c r="I1215" s="4"/>
      <c r="J1215" s="4"/>
      <c r="K1215" s="4"/>
      <c r="L1215" s="8"/>
      <c r="M1215" s="7"/>
      <c r="N1215" s="7"/>
      <c r="O1215" s="7"/>
      <c r="P1215" s="6"/>
    </row>
    <row r="1216" spans="1:16" ht="140.25" x14ac:dyDescent="0.2">
      <c r="A1216" s="6">
        <v>45919</v>
      </c>
      <c r="B1216" s="11">
        <f>+MONTH(A1216)</f>
        <v>9</v>
      </c>
      <c r="C1216" s="11">
        <f>+WEEKNUM(A1216)</f>
        <v>38</v>
      </c>
      <c r="D1216" s="4" t="s">
        <v>95</v>
      </c>
      <c r="E1216" s="4" t="s">
        <v>1248</v>
      </c>
      <c r="F1216" s="4">
        <v>573212348805</v>
      </c>
      <c r="G1216" s="4">
        <v>69546</v>
      </c>
      <c r="H1216" s="8" t="s">
        <v>13</v>
      </c>
      <c r="I1216" s="4" t="s">
        <v>1249</v>
      </c>
      <c r="J1216" s="4" t="s">
        <v>23</v>
      </c>
      <c r="K1216" s="4"/>
      <c r="L1216" s="8" t="s">
        <v>12</v>
      </c>
      <c r="M1216" s="7"/>
      <c r="N1216" s="7"/>
      <c r="O1216" s="7"/>
      <c r="P1216" s="6"/>
    </row>
    <row r="1217" spans="1:16" ht="12.75" x14ac:dyDescent="0.2">
      <c r="A1217" s="6">
        <v>45919</v>
      </c>
      <c r="B1217" s="11">
        <f>+MONTH(A1217)</f>
        <v>9</v>
      </c>
      <c r="C1217" s="11">
        <f>+WEEKNUM(A1217)</f>
        <v>38</v>
      </c>
      <c r="D1217" s="4" t="s">
        <v>207</v>
      </c>
      <c r="E1217" s="4" t="s">
        <v>1247</v>
      </c>
      <c r="F1217" s="4">
        <v>573132337616</v>
      </c>
      <c r="G1217" s="4">
        <v>69370</v>
      </c>
      <c r="H1217" s="8"/>
      <c r="I1217" s="4"/>
      <c r="J1217" s="4"/>
      <c r="K1217" s="4"/>
      <c r="L1217" s="8"/>
      <c r="M1217" s="4"/>
      <c r="N1217" s="7"/>
      <c r="O1217" s="7"/>
      <c r="P1217" s="6"/>
    </row>
    <row r="1218" spans="1:16" ht="12.75" x14ac:dyDescent="0.2">
      <c r="A1218" s="6">
        <v>45919</v>
      </c>
      <c r="B1218" s="11">
        <f>+MONTH(A1218)</f>
        <v>9</v>
      </c>
      <c r="C1218" s="11">
        <f>+WEEKNUM(A1218)</f>
        <v>38</v>
      </c>
      <c r="D1218" s="4" t="s">
        <v>115</v>
      </c>
      <c r="E1218" s="4" t="s">
        <v>1246</v>
      </c>
      <c r="F1218" s="4">
        <v>573103614755</v>
      </c>
      <c r="G1218" s="4">
        <v>69465</v>
      </c>
      <c r="H1218" s="8"/>
      <c r="I1218" s="4"/>
      <c r="J1218" s="4"/>
      <c r="K1218" s="4"/>
      <c r="L1218" s="8"/>
      <c r="M1218" s="4"/>
      <c r="N1218" s="7"/>
      <c r="O1218" s="7"/>
      <c r="P1218" s="6"/>
    </row>
    <row r="1219" spans="1:16" ht="12.75" x14ac:dyDescent="0.2">
      <c r="A1219" s="6">
        <v>45919</v>
      </c>
      <c r="B1219" s="11">
        <f>+MONTH(A1219)</f>
        <v>9</v>
      </c>
      <c r="C1219" s="11">
        <f>+WEEKNUM(A1219)</f>
        <v>38</v>
      </c>
      <c r="D1219" s="4" t="s">
        <v>1244</v>
      </c>
      <c r="E1219" s="4" t="s">
        <v>1245</v>
      </c>
      <c r="F1219" s="4">
        <v>573187123653</v>
      </c>
      <c r="G1219" s="4">
        <v>69423</v>
      </c>
      <c r="H1219" s="8"/>
      <c r="I1219" s="4"/>
      <c r="J1219" s="4"/>
      <c r="K1219" s="4"/>
      <c r="L1219" s="8"/>
      <c r="M1219" s="4"/>
      <c r="N1219" s="7"/>
      <c r="O1219" s="7"/>
      <c r="P1219" s="6"/>
    </row>
    <row r="1220" spans="1:16" ht="12.75" x14ac:dyDescent="0.2">
      <c r="A1220" s="6">
        <v>45919</v>
      </c>
      <c r="B1220" s="11">
        <f>+MONTH(A1220)</f>
        <v>9</v>
      </c>
      <c r="C1220" s="11">
        <f>+WEEKNUM(A1220)</f>
        <v>38</v>
      </c>
      <c r="D1220" s="4" t="s">
        <v>1242</v>
      </c>
      <c r="E1220" s="4" t="s">
        <v>1243</v>
      </c>
      <c r="F1220" s="4">
        <v>573229298821</v>
      </c>
      <c r="G1220" s="4">
        <v>69470</v>
      </c>
      <c r="H1220" s="8"/>
      <c r="I1220" s="4"/>
      <c r="J1220" s="4"/>
      <c r="K1220" s="4"/>
      <c r="L1220" s="8"/>
      <c r="M1220" s="4"/>
      <c r="N1220" s="7"/>
      <c r="O1220" s="7"/>
      <c r="P1220" s="6"/>
    </row>
    <row r="1221" spans="1:16" ht="165.75" x14ac:dyDescent="0.2">
      <c r="A1221" s="6">
        <v>45919</v>
      </c>
      <c r="B1221" s="11">
        <f>+MONTH(A1221)</f>
        <v>9</v>
      </c>
      <c r="C1221" s="11">
        <f>+WEEKNUM(A1221)</f>
        <v>38</v>
      </c>
      <c r="D1221" s="4" t="s">
        <v>1239</v>
      </c>
      <c r="E1221" s="4" t="s">
        <v>1240</v>
      </c>
      <c r="F1221" s="4">
        <v>573173174372</v>
      </c>
      <c r="G1221" s="4">
        <v>67350</v>
      </c>
      <c r="H1221" s="8" t="s">
        <v>13</v>
      </c>
      <c r="I1221" s="4" t="s">
        <v>3331</v>
      </c>
      <c r="J1221" s="5" t="s">
        <v>1241</v>
      </c>
      <c r="K1221" s="4"/>
      <c r="L1221" s="8" t="s">
        <v>12</v>
      </c>
      <c r="M1221" s="4"/>
      <c r="N1221" s="7"/>
      <c r="O1221" s="7"/>
      <c r="P1221" s="6"/>
    </row>
    <row r="1222" spans="1:16" ht="25.5" x14ac:dyDescent="0.2">
      <c r="A1222" s="6">
        <v>45919</v>
      </c>
      <c r="B1222" s="11">
        <f>+MONTH(A1222)</f>
        <v>9</v>
      </c>
      <c r="C1222" s="11">
        <f>+WEEKNUM(A1222)</f>
        <v>38</v>
      </c>
      <c r="D1222" s="4" t="s">
        <v>16</v>
      </c>
      <c r="E1222" s="4" t="s">
        <v>1238</v>
      </c>
      <c r="F1222" s="4">
        <v>573203603614</v>
      </c>
      <c r="G1222" s="4">
        <v>69114</v>
      </c>
      <c r="H1222" s="8"/>
      <c r="I1222" s="4"/>
      <c r="J1222" s="4"/>
      <c r="K1222" s="4"/>
      <c r="L1222" s="8"/>
      <c r="M1222" s="4"/>
      <c r="N1222" s="7"/>
      <c r="O1222" s="7"/>
      <c r="P1222" s="6"/>
    </row>
    <row r="1223" spans="1:16" ht="12.75" x14ac:dyDescent="0.2">
      <c r="A1223" s="6">
        <v>45919</v>
      </c>
      <c r="B1223" s="11">
        <f>+MONTH(A1223)</f>
        <v>9</v>
      </c>
      <c r="C1223" s="11">
        <f>+WEEKNUM(A1223)</f>
        <v>38</v>
      </c>
      <c r="D1223" s="4" t="s">
        <v>152</v>
      </c>
      <c r="E1223" s="4" t="s">
        <v>1237</v>
      </c>
      <c r="F1223" s="4">
        <v>573123790371</v>
      </c>
      <c r="G1223" s="4">
        <v>69436</v>
      </c>
      <c r="H1223" s="8"/>
      <c r="I1223" s="4"/>
      <c r="J1223" s="4"/>
      <c r="K1223" s="4"/>
      <c r="L1223" s="8"/>
      <c r="M1223" s="4"/>
      <c r="N1223" s="7"/>
      <c r="O1223" s="7"/>
      <c r="P1223" s="6"/>
    </row>
    <row r="1224" spans="1:16" ht="12.75" x14ac:dyDescent="0.2">
      <c r="A1224" s="6">
        <v>45919</v>
      </c>
      <c r="B1224" s="11">
        <f>+MONTH(A1224)</f>
        <v>9</v>
      </c>
      <c r="C1224" s="11">
        <f>+WEEKNUM(A1224)</f>
        <v>38</v>
      </c>
      <c r="D1224" s="4" t="s">
        <v>92</v>
      </c>
      <c r="E1224" s="4" t="s">
        <v>1236</v>
      </c>
      <c r="F1224" s="4">
        <v>573232350705</v>
      </c>
      <c r="G1224" s="4">
        <v>69496</v>
      </c>
      <c r="H1224" s="8"/>
      <c r="I1224" s="4"/>
      <c r="J1224" s="4"/>
      <c r="K1224" s="4"/>
      <c r="L1224" s="8"/>
      <c r="M1224" s="4"/>
      <c r="N1224" s="7"/>
      <c r="O1224" s="7"/>
      <c r="P1224" s="6"/>
    </row>
    <row r="1225" spans="1:16" ht="165.75" x14ac:dyDescent="0.2">
      <c r="A1225" s="6">
        <v>45919</v>
      </c>
      <c r="B1225" s="11">
        <f>+MONTH(A1225)</f>
        <v>9</v>
      </c>
      <c r="C1225" s="11">
        <f>+WEEKNUM(A1225)</f>
        <v>38</v>
      </c>
      <c r="D1225" s="4" t="s">
        <v>1234</v>
      </c>
      <c r="E1225" s="4" t="s">
        <v>1235</v>
      </c>
      <c r="F1225" s="4">
        <v>573016135249</v>
      </c>
      <c r="G1225" s="4">
        <v>69473</v>
      </c>
      <c r="H1225" s="8" t="s">
        <v>22</v>
      </c>
      <c r="I1225" s="4" t="s">
        <v>3348</v>
      </c>
      <c r="J1225" s="4"/>
      <c r="K1225" s="4"/>
      <c r="L1225" s="8" t="s">
        <v>12</v>
      </c>
      <c r="M1225" s="4"/>
      <c r="N1225" s="7"/>
      <c r="O1225" s="7"/>
      <c r="P1225" s="6"/>
    </row>
    <row r="1226" spans="1:16" ht="102" x14ac:dyDescent="0.2">
      <c r="A1226" s="6">
        <v>45919</v>
      </c>
      <c r="B1226" s="11">
        <f>+MONTH(A1226)</f>
        <v>9</v>
      </c>
      <c r="C1226" s="11">
        <f>+WEEKNUM(A1226)</f>
        <v>38</v>
      </c>
      <c r="D1226" s="4" t="s">
        <v>1230</v>
      </c>
      <c r="E1226" s="4" t="s">
        <v>1231</v>
      </c>
      <c r="F1226" s="4">
        <v>573053500381</v>
      </c>
      <c r="G1226" s="4">
        <v>69217</v>
      </c>
      <c r="H1226" s="8" t="s">
        <v>13</v>
      </c>
      <c r="I1226" s="4" t="s">
        <v>1232</v>
      </c>
      <c r="J1226" s="5" t="s">
        <v>1233</v>
      </c>
      <c r="K1226" s="4"/>
      <c r="L1226" s="8" t="s">
        <v>12</v>
      </c>
      <c r="M1226" s="4"/>
      <c r="N1226" s="7"/>
      <c r="O1226" s="7"/>
      <c r="P1226" s="6"/>
    </row>
    <row r="1227" spans="1:16" ht="12.75" x14ac:dyDescent="0.2">
      <c r="A1227" s="6">
        <v>45918</v>
      </c>
      <c r="B1227" s="11">
        <f>+MONTH(A1227)</f>
        <v>9</v>
      </c>
      <c r="C1227" s="11">
        <f>+WEEKNUM(A1227)</f>
        <v>38</v>
      </c>
      <c r="D1227" s="4" t="s">
        <v>1229</v>
      </c>
      <c r="E1227" s="4" t="s">
        <v>189</v>
      </c>
      <c r="F1227" s="4">
        <v>573219770216</v>
      </c>
      <c r="G1227" s="4">
        <v>69396</v>
      </c>
      <c r="H1227" s="8"/>
      <c r="I1227" s="4"/>
      <c r="J1227" s="4"/>
      <c r="K1227" s="4"/>
      <c r="L1227" s="8"/>
      <c r="M1227" s="4"/>
      <c r="N1227" s="7"/>
      <c r="O1227" s="7"/>
      <c r="P1227" s="6"/>
    </row>
    <row r="1228" spans="1:16" ht="12.75" x14ac:dyDescent="0.2">
      <c r="A1228" s="6">
        <v>45918</v>
      </c>
      <c r="B1228" s="11">
        <f>+MONTH(A1228)</f>
        <v>9</v>
      </c>
      <c r="C1228" s="11">
        <f>+WEEKNUM(A1228)</f>
        <v>38</v>
      </c>
      <c r="D1228" s="4" t="s">
        <v>127</v>
      </c>
      <c r="E1228" s="4" t="s">
        <v>103</v>
      </c>
      <c r="F1228" s="4">
        <v>573115759194</v>
      </c>
      <c r="G1228" s="4">
        <v>69282</v>
      </c>
      <c r="H1228" s="8"/>
      <c r="I1228" s="4"/>
      <c r="J1228" s="4"/>
      <c r="K1228" s="4"/>
      <c r="L1228" s="8"/>
      <c r="M1228" s="4"/>
      <c r="N1228" s="7"/>
      <c r="O1228" s="7"/>
      <c r="P1228" s="6"/>
    </row>
    <row r="1229" spans="1:16" ht="25.5" x14ac:dyDescent="0.2">
      <c r="A1229" s="6">
        <v>45918</v>
      </c>
      <c r="B1229" s="11">
        <f>+MONTH(A1229)</f>
        <v>9</v>
      </c>
      <c r="C1229" s="11">
        <f>+WEEKNUM(A1229)</f>
        <v>38</v>
      </c>
      <c r="D1229" s="4" t="s">
        <v>1227</v>
      </c>
      <c r="E1229" s="4" t="s">
        <v>1228</v>
      </c>
      <c r="F1229" s="4">
        <v>573203762219</v>
      </c>
      <c r="G1229" s="4">
        <v>69227</v>
      </c>
      <c r="H1229" s="8"/>
      <c r="I1229" s="4"/>
      <c r="J1229" s="4"/>
      <c r="K1229" s="4"/>
      <c r="L1229" s="8"/>
      <c r="M1229" s="4"/>
      <c r="N1229" s="7"/>
      <c r="O1229" s="7"/>
      <c r="P1229" s="6"/>
    </row>
    <row r="1230" spans="1:16" ht="38.25" x14ac:dyDescent="0.2">
      <c r="A1230" s="6">
        <v>45918</v>
      </c>
      <c r="B1230" s="11">
        <f>+MONTH(A1230)</f>
        <v>9</v>
      </c>
      <c r="C1230" s="11">
        <f>+WEEKNUM(A1230)</f>
        <v>38</v>
      </c>
      <c r="D1230" s="4" t="s">
        <v>198</v>
      </c>
      <c r="E1230" s="4" t="s">
        <v>1225</v>
      </c>
      <c r="F1230" s="4">
        <v>573057636871</v>
      </c>
      <c r="G1230" s="4">
        <v>69355</v>
      </c>
      <c r="H1230" s="8" t="s">
        <v>13</v>
      </c>
      <c r="I1230" s="4" t="s">
        <v>3349</v>
      </c>
      <c r="J1230" s="5" t="s">
        <v>1226</v>
      </c>
      <c r="K1230" s="4"/>
      <c r="L1230" s="8" t="s">
        <v>12</v>
      </c>
      <c r="M1230" s="4"/>
      <c r="N1230" s="7"/>
      <c r="O1230" s="7"/>
    </row>
    <row r="1231" spans="1:16" ht="25.5" x14ac:dyDescent="0.2">
      <c r="A1231" s="6">
        <v>45918</v>
      </c>
      <c r="B1231" s="11">
        <f>+MONTH(A1231)</f>
        <v>9</v>
      </c>
      <c r="C1231" s="11">
        <f>+WEEKNUM(A1231)</f>
        <v>38</v>
      </c>
      <c r="D1231" s="4" t="s">
        <v>324</v>
      </c>
      <c r="E1231" s="4" t="s">
        <v>1224</v>
      </c>
      <c r="F1231" s="4">
        <v>573185179773</v>
      </c>
      <c r="G1231" s="4">
        <v>69380</v>
      </c>
      <c r="H1231" s="8" t="s">
        <v>13</v>
      </c>
      <c r="I1231" s="4"/>
      <c r="J1231" s="4"/>
      <c r="K1231" s="4"/>
      <c r="L1231" s="8" t="s">
        <v>12</v>
      </c>
      <c r="M1231" s="4"/>
      <c r="N1231" s="7"/>
      <c r="O1231" s="7"/>
    </row>
    <row r="1232" spans="1:16" ht="12.75" x14ac:dyDescent="0.2">
      <c r="A1232" s="6">
        <v>45918</v>
      </c>
      <c r="B1232" s="11">
        <f>+MONTH(A1232)</f>
        <v>9</v>
      </c>
      <c r="C1232" s="11">
        <f>+WEEKNUM(A1232)</f>
        <v>38</v>
      </c>
      <c r="D1232" s="4" t="s">
        <v>1222</v>
      </c>
      <c r="E1232" s="4" t="s">
        <v>1223</v>
      </c>
      <c r="F1232" s="4">
        <v>573158866064</v>
      </c>
      <c r="G1232" s="4">
        <v>69047</v>
      </c>
      <c r="H1232" s="8"/>
      <c r="I1232" s="4"/>
      <c r="J1232" s="4"/>
      <c r="K1232" s="4"/>
      <c r="L1232" s="8"/>
      <c r="M1232" s="4"/>
      <c r="N1232" s="7"/>
      <c r="O1232" s="7"/>
    </row>
    <row r="1233" spans="1:15" ht="12.75" x14ac:dyDescent="0.2">
      <c r="A1233" s="6">
        <v>45918</v>
      </c>
      <c r="B1233" s="11">
        <f>+MONTH(A1233)</f>
        <v>9</v>
      </c>
      <c r="C1233" s="11">
        <f>+WEEKNUM(A1233)</f>
        <v>38</v>
      </c>
      <c r="D1233" s="4" t="s">
        <v>1220</v>
      </c>
      <c r="E1233" s="4" t="s">
        <v>1221</v>
      </c>
      <c r="F1233" s="4">
        <v>573124373483</v>
      </c>
      <c r="G1233" s="4">
        <v>69151</v>
      </c>
      <c r="H1233" s="8"/>
      <c r="I1233" s="4"/>
      <c r="J1233" s="4"/>
      <c r="K1233" s="4"/>
      <c r="L1233" s="8"/>
      <c r="M1233" s="4"/>
      <c r="N1233" s="7"/>
      <c r="O1233" s="7"/>
    </row>
    <row r="1234" spans="1:15" ht="25.5" x14ac:dyDescent="0.2">
      <c r="A1234" s="6">
        <v>45917</v>
      </c>
      <c r="B1234" s="11">
        <f>+MONTH(A1234)</f>
        <v>9</v>
      </c>
      <c r="C1234" s="11">
        <f>+WEEKNUM(A1234)</f>
        <v>38</v>
      </c>
      <c r="D1234" s="4" t="s">
        <v>52</v>
      </c>
      <c r="E1234" s="4" t="s">
        <v>238</v>
      </c>
      <c r="F1234" s="4">
        <v>573105253157</v>
      </c>
      <c r="G1234" s="4">
        <v>69049</v>
      </c>
      <c r="H1234" s="8"/>
      <c r="I1234" s="4"/>
      <c r="J1234" s="4"/>
      <c r="K1234" s="4"/>
      <c r="L1234" s="8"/>
      <c r="M1234" s="4"/>
      <c r="N1234" s="7"/>
      <c r="O1234" s="7"/>
    </row>
    <row r="1235" spans="1:15" ht="38.25" x14ac:dyDescent="0.2">
      <c r="A1235" s="6">
        <v>45917</v>
      </c>
      <c r="B1235" s="11">
        <f>+MONTH(A1235)</f>
        <v>9</v>
      </c>
      <c r="C1235" s="11">
        <f>+WEEKNUM(A1235)</f>
        <v>38</v>
      </c>
      <c r="D1235" s="4" t="s">
        <v>86</v>
      </c>
      <c r="E1235" s="4" t="s">
        <v>1218</v>
      </c>
      <c r="F1235" s="4">
        <v>573042032890</v>
      </c>
      <c r="G1235" s="4">
        <v>69215</v>
      </c>
      <c r="H1235" s="8" t="s">
        <v>13</v>
      </c>
      <c r="I1235" s="4" t="s">
        <v>1219</v>
      </c>
      <c r="J1235" s="4" t="s">
        <v>14</v>
      </c>
      <c r="K1235" s="4"/>
      <c r="L1235" s="8" t="s">
        <v>12</v>
      </c>
      <c r="M1235" s="4"/>
      <c r="N1235" s="7"/>
      <c r="O1235" s="7"/>
    </row>
    <row r="1236" spans="1:15" ht="12.75" x14ac:dyDescent="0.2">
      <c r="A1236" s="6">
        <v>45917</v>
      </c>
      <c r="B1236" s="11">
        <f>+MONTH(A1236)</f>
        <v>9</v>
      </c>
      <c r="C1236" s="11">
        <f>+WEEKNUM(A1236)</f>
        <v>38</v>
      </c>
      <c r="D1236" s="4" t="s">
        <v>1216</v>
      </c>
      <c r="E1236" s="4" t="s">
        <v>1217</v>
      </c>
      <c r="F1236" s="4">
        <v>573007494584</v>
      </c>
      <c r="G1236" s="4">
        <v>69012</v>
      </c>
      <c r="H1236" s="8" t="s">
        <v>13</v>
      </c>
      <c r="I1236" s="4" t="s">
        <v>3326</v>
      </c>
      <c r="J1236" s="4" t="s">
        <v>23</v>
      </c>
      <c r="K1236" s="4"/>
      <c r="L1236" s="8" t="s">
        <v>12</v>
      </c>
      <c r="M1236" s="4"/>
      <c r="N1236" s="7"/>
      <c r="O1236" s="7"/>
    </row>
    <row r="1237" spans="1:15" ht="12.75" x14ac:dyDescent="0.2">
      <c r="A1237" s="6">
        <v>45917</v>
      </c>
      <c r="B1237" s="11">
        <f>+MONTH(A1237)</f>
        <v>9</v>
      </c>
      <c r="C1237" s="11">
        <f>+WEEKNUM(A1237)</f>
        <v>38</v>
      </c>
      <c r="D1237" s="4" t="s">
        <v>212</v>
      </c>
      <c r="E1237" s="4" t="s">
        <v>1215</v>
      </c>
      <c r="F1237" s="4">
        <v>573124471647</v>
      </c>
      <c r="G1237" s="4">
        <v>68972</v>
      </c>
      <c r="H1237" s="8"/>
      <c r="I1237" s="4"/>
      <c r="J1237" s="4"/>
      <c r="K1237" s="4"/>
      <c r="L1237" s="8"/>
      <c r="M1237" s="4"/>
      <c r="N1237" s="7"/>
      <c r="O1237" s="7"/>
    </row>
    <row r="1238" spans="1:15" ht="12.75" x14ac:dyDescent="0.2">
      <c r="A1238" s="6">
        <v>45917</v>
      </c>
      <c r="B1238" s="11">
        <f>+MONTH(A1238)</f>
        <v>9</v>
      </c>
      <c r="C1238" s="11">
        <f>+WEEKNUM(A1238)</f>
        <v>38</v>
      </c>
      <c r="D1238" s="4" t="s">
        <v>1213</v>
      </c>
      <c r="E1238" s="4" t="s">
        <v>1214</v>
      </c>
      <c r="F1238" s="4">
        <v>573023542592</v>
      </c>
      <c r="G1238" s="4">
        <v>69069</v>
      </c>
      <c r="H1238" s="8"/>
      <c r="I1238" s="4"/>
      <c r="J1238" s="4"/>
      <c r="K1238" s="4"/>
      <c r="L1238" s="8"/>
      <c r="M1238" s="4"/>
      <c r="N1238" s="7"/>
      <c r="O1238" s="7"/>
    </row>
    <row r="1239" spans="1:15" ht="114.75" x14ac:dyDescent="0.2">
      <c r="A1239" s="6">
        <v>45917</v>
      </c>
      <c r="B1239" s="11">
        <f>+MONTH(A1239)</f>
        <v>9</v>
      </c>
      <c r="C1239" s="11">
        <f>+WEEKNUM(A1239)</f>
        <v>38</v>
      </c>
      <c r="D1239" s="4" t="s">
        <v>1210</v>
      </c>
      <c r="E1239" s="4" t="s">
        <v>1211</v>
      </c>
      <c r="F1239" s="4">
        <v>573044904621</v>
      </c>
      <c r="G1239" s="4">
        <v>68954</v>
      </c>
      <c r="H1239" s="8" t="s">
        <v>13</v>
      </c>
      <c r="I1239" s="4" t="s">
        <v>1212</v>
      </c>
      <c r="J1239" s="4" t="s">
        <v>14</v>
      </c>
      <c r="K1239" s="4"/>
      <c r="L1239" s="8" t="s">
        <v>12</v>
      </c>
      <c r="M1239" s="4"/>
      <c r="N1239" s="7"/>
      <c r="O1239" s="7"/>
    </row>
    <row r="1240" spans="1:15" ht="25.5" x14ac:dyDescent="0.2">
      <c r="A1240" s="6">
        <v>45917</v>
      </c>
      <c r="B1240" s="11">
        <f>+MONTH(A1240)</f>
        <v>9</v>
      </c>
      <c r="C1240" s="11">
        <f>+WEEKNUM(A1240)</f>
        <v>38</v>
      </c>
      <c r="D1240" s="4" t="s">
        <v>121</v>
      </c>
      <c r="E1240" s="4" t="s">
        <v>1209</v>
      </c>
      <c r="F1240" s="4">
        <v>573183907779</v>
      </c>
      <c r="G1240" s="4">
        <v>69198</v>
      </c>
      <c r="H1240" s="8"/>
      <c r="I1240" s="4"/>
      <c r="J1240" s="4"/>
      <c r="K1240" s="4"/>
      <c r="L1240" s="8"/>
      <c r="M1240" s="4"/>
      <c r="N1240" s="7"/>
      <c r="O1240" s="7"/>
    </row>
    <row r="1241" spans="1:15" ht="12.75" x14ac:dyDescent="0.2">
      <c r="A1241" s="6">
        <v>45917</v>
      </c>
      <c r="B1241" s="11">
        <f>+MONTH(A1241)</f>
        <v>9</v>
      </c>
      <c r="C1241" s="11">
        <f>+WEEKNUM(A1241)</f>
        <v>38</v>
      </c>
      <c r="D1241" s="4" t="s">
        <v>1207</v>
      </c>
      <c r="E1241" s="4" t="s">
        <v>1208</v>
      </c>
      <c r="F1241" s="4">
        <v>573133405488</v>
      </c>
      <c r="G1241" s="4">
        <v>69257</v>
      </c>
      <c r="H1241" s="8"/>
      <c r="I1241" s="4"/>
      <c r="J1241" s="4"/>
      <c r="K1241" s="4"/>
      <c r="L1241" s="8"/>
      <c r="M1241" s="4"/>
      <c r="N1241" s="7"/>
      <c r="O1241" s="7"/>
    </row>
    <row r="1242" spans="1:15" ht="38.25" x14ac:dyDescent="0.2">
      <c r="A1242" s="6">
        <v>45917</v>
      </c>
      <c r="B1242" s="11">
        <f>+MONTH(A1242)</f>
        <v>9</v>
      </c>
      <c r="C1242" s="11">
        <f>+WEEKNUM(A1242)</f>
        <v>38</v>
      </c>
      <c r="D1242" s="4" t="s">
        <v>1203</v>
      </c>
      <c r="E1242" s="4" t="s">
        <v>1204</v>
      </c>
      <c r="F1242" s="4">
        <v>573237404803</v>
      </c>
      <c r="G1242" s="4">
        <v>68741</v>
      </c>
      <c r="H1242" s="8" t="s">
        <v>13</v>
      </c>
      <c r="I1242" s="4" t="s">
        <v>1205</v>
      </c>
      <c r="J1242" s="5" t="s">
        <v>1206</v>
      </c>
      <c r="K1242" s="4"/>
      <c r="L1242" s="8" t="s">
        <v>12</v>
      </c>
      <c r="M1242" s="4"/>
      <c r="N1242" s="7"/>
      <c r="O1242" s="7"/>
    </row>
    <row r="1243" spans="1:15" ht="165.75" x14ac:dyDescent="0.2">
      <c r="A1243" s="6">
        <v>45917</v>
      </c>
      <c r="B1243" s="11">
        <f>+MONTH(A1243)</f>
        <v>9</v>
      </c>
      <c r="C1243" s="11">
        <f>+WEEKNUM(A1243)</f>
        <v>38</v>
      </c>
      <c r="D1243" s="4" t="s">
        <v>1200</v>
      </c>
      <c r="E1243" s="4" t="s">
        <v>1201</v>
      </c>
      <c r="F1243" s="4">
        <v>573042430700</v>
      </c>
      <c r="G1243" s="4">
        <v>69290</v>
      </c>
      <c r="H1243" s="8" t="s">
        <v>13</v>
      </c>
      <c r="I1243" s="4" t="s">
        <v>1202</v>
      </c>
      <c r="J1243" s="4" t="s">
        <v>14</v>
      </c>
      <c r="K1243" s="4"/>
      <c r="L1243" s="8" t="s">
        <v>12</v>
      </c>
      <c r="M1243" s="4"/>
      <c r="N1243" s="7"/>
      <c r="O1243" s="7"/>
    </row>
    <row r="1244" spans="1:15" ht="12.75" x14ac:dyDescent="0.2">
      <c r="A1244" s="6">
        <v>45917</v>
      </c>
      <c r="B1244" s="11">
        <f>+MONTH(A1244)</f>
        <v>9</v>
      </c>
      <c r="C1244" s="11">
        <f>+WEEKNUM(A1244)</f>
        <v>38</v>
      </c>
      <c r="D1244" s="4" t="s">
        <v>1198</v>
      </c>
      <c r="E1244" s="4" t="s">
        <v>1199</v>
      </c>
      <c r="F1244" s="4">
        <v>573202718072</v>
      </c>
      <c r="G1244" s="4">
        <v>68647</v>
      </c>
      <c r="H1244" s="8"/>
      <c r="I1244" s="4"/>
      <c r="J1244" s="4"/>
      <c r="K1244" s="4"/>
      <c r="L1244" s="8"/>
      <c r="M1244" s="4"/>
      <c r="N1244" s="7"/>
      <c r="O1244" s="7"/>
    </row>
    <row r="1245" spans="1:15" ht="12.75" x14ac:dyDescent="0.2">
      <c r="A1245" s="6">
        <v>45917</v>
      </c>
      <c r="B1245" s="11">
        <f>+MONTH(A1245)</f>
        <v>9</v>
      </c>
      <c r="C1245" s="11">
        <f>+WEEKNUM(A1245)</f>
        <v>38</v>
      </c>
      <c r="D1245" s="4" t="s">
        <v>1196</v>
      </c>
      <c r="E1245" s="4" t="s">
        <v>1197</v>
      </c>
      <c r="F1245" s="4">
        <v>573113966937</v>
      </c>
      <c r="G1245" s="4">
        <v>67939</v>
      </c>
      <c r="H1245" s="8"/>
      <c r="I1245" s="4"/>
      <c r="J1245" s="4"/>
      <c r="K1245" s="4"/>
      <c r="L1245" s="8"/>
      <c r="M1245" s="4"/>
      <c r="N1245" s="7"/>
      <c r="O1245" s="7"/>
    </row>
    <row r="1246" spans="1:15" ht="12.75" x14ac:dyDescent="0.2">
      <c r="A1246" s="6">
        <v>45917</v>
      </c>
      <c r="B1246" s="11">
        <f>+MONTH(A1246)</f>
        <v>9</v>
      </c>
      <c r="C1246" s="11">
        <f>+WEEKNUM(A1246)</f>
        <v>38</v>
      </c>
      <c r="D1246" s="4" t="s">
        <v>300</v>
      </c>
      <c r="E1246" s="4" t="s">
        <v>291</v>
      </c>
      <c r="F1246" s="4">
        <v>573133763252</v>
      </c>
      <c r="G1246" s="4">
        <v>66190</v>
      </c>
      <c r="H1246" s="8"/>
      <c r="I1246" s="4"/>
      <c r="J1246" s="4"/>
      <c r="K1246" s="4"/>
      <c r="L1246" s="8"/>
      <c r="M1246" s="4"/>
      <c r="N1246" s="7"/>
      <c r="O1246" s="7"/>
    </row>
    <row r="1247" spans="1:15" ht="12.75" x14ac:dyDescent="0.2">
      <c r="A1247" s="6">
        <v>45917</v>
      </c>
      <c r="B1247" s="11">
        <f>+MONTH(A1247)</f>
        <v>9</v>
      </c>
      <c r="C1247" s="11">
        <f>+WEEKNUM(A1247)</f>
        <v>38</v>
      </c>
      <c r="D1247" s="4" t="s">
        <v>1194</v>
      </c>
      <c r="E1247" s="4" t="s">
        <v>1195</v>
      </c>
      <c r="F1247" s="4">
        <v>573215494274</v>
      </c>
      <c r="G1247" s="4">
        <v>68956</v>
      </c>
      <c r="H1247" s="8"/>
      <c r="I1247" s="4"/>
      <c r="J1247" s="4"/>
      <c r="K1247" s="4"/>
      <c r="L1247" s="8"/>
      <c r="M1247" s="4"/>
      <c r="N1247" s="7"/>
      <c r="O1247" s="7"/>
    </row>
    <row r="1248" spans="1:15" ht="204" x14ac:dyDescent="0.2">
      <c r="A1248" s="6">
        <v>45916</v>
      </c>
      <c r="B1248" s="11">
        <f>+MONTH(A1248)</f>
        <v>9</v>
      </c>
      <c r="C1248" s="11">
        <f>+WEEKNUM(A1248)</f>
        <v>38</v>
      </c>
      <c r="D1248" s="4" t="s">
        <v>1191</v>
      </c>
      <c r="E1248" s="4" t="s">
        <v>1192</v>
      </c>
      <c r="F1248" s="4">
        <v>573001807410</v>
      </c>
      <c r="G1248" s="4">
        <v>68076</v>
      </c>
      <c r="H1248" s="8" t="s">
        <v>22</v>
      </c>
      <c r="I1248" s="4" t="s">
        <v>1193</v>
      </c>
      <c r="J1248" s="4"/>
      <c r="K1248" s="4" t="s">
        <v>257</v>
      </c>
      <c r="L1248" s="8" t="s">
        <v>22</v>
      </c>
      <c r="M1248" s="7">
        <v>45924.476597222223</v>
      </c>
      <c r="N1248" s="7"/>
      <c r="O1248" s="7"/>
    </row>
    <row r="1249" spans="1:15" ht="25.5" x14ac:dyDescent="0.2">
      <c r="A1249" s="6">
        <v>45916</v>
      </c>
      <c r="B1249" s="11">
        <f>+MONTH(A1249)</f>
        <v>9</v>
      </c>
      <c r="C1249" s="11">
        <f>+WEEKNUM(A1249)</f>
        <v>38</v>
      </c>
      <c r="D1249" s="4" t="s">
        <v>19</v>
      </c>
      <c r="E1249" s="4" t="s">
        <v>1190</v>
      </c>
      <c r="F1249" s="4">
        <v>573133904841</v>
      </c>
      <c r="G1249" s="4">
        <v>69224</v>
      </c>
      <c r="H1249" s="8"/>
      <c r="I1249" s="4"/>
      <c r="J1249" s="4"/>
      <c r="K1249" s="4"/>
      <c r="L1249" s="8"/>
      <c r="M1249" s="4"/>
      <c r="N1249" s="7"/>
      <c r="O1249" s="7"/>
    </row>
    <row r="1250" spans="1:15" ht="38.25" x14ac:dyDescent="0.2">
      <c r="A1250" s="6">
        <v>45916</v>
      </c>
      <c r="B1250" s="11">
        <f>+MONTH(A1250)</f>
        <v>9</v>
      </c>
      <c r="C1250" s="11">
        <f>+WEEKNUM(A1250)</f>
        <v>38</v>
      </c>
      <c r="D1250" s="4" t="s">
        <v>1187</v>
      </c>
      <c r="E1250" s="4" t="s">
        <v>1188</v>
      </c>
      <c r="F1250" s="4">
        <v>573107749021</v>
      </c>
      <c r="G1250" s="4">
        <v>68823</v>
      </c>
      <c r="H1250" s="8" t="s">
        <v>44</v>
      </c>
      <c r="I1250" s="4" t="s">
        <v>1189</v>
      </c>
      <c r="J1250" s="4"/>
      <c r="K1250" s="4"/>
      <c r="L1250" s="8" t="s">
        <v>22</v>
      </c>
      <c r="M1250" s="4"/>
      <c r="N1250" s="7"/>
      <c r="O1250" s="7"/>
    </row>
    <row r="1251" spans="1:15" ht="12.75" x14ac:dyDescent="0.2">
      <c r="A1251" s="6">
        <v>45916</v>
      </c>
      <c r="B1251" s="11">
        <f>+MONTH(A1251)</f>
        <v>9</v>
      </c>
      <c r="C1251" s="11">
        <f>+WEEKNUM(A1251)</f>
        <v>38</v>
      </c>
      <c r="D1251" s="4" t="s">
        <v>154</v>
      </c>
      <c r="E1251" s="4" t="s">
        <v>1186</v>
      </c>
      <c r="F1251" s="4">
        <v>573124485168</v>
      </c>
      <c r="G1251" s="4">
        <v>69185</v>
      </c>
      <c r="H1251" s="8"/>
      <c r="I1251" s="4"/>
      <c r="J1251" s="4"/>
      <c r="K1251" s="4"/>
      <c r="L1251" s="8"/>
      <c r="M1251" s="4"/>
      <c r="N1251" s="7"/>
      <c r="O1251" s="7"/>
    </row>
    <row r="1252" spans="1:15" ht="12.75" x14ac:dyDescent="0.2">
      <c r="A1252" s="6">
        <v>45916</v>
      </c>
      <c r="B1252" s="11">
        <f>+MONTH(A1252)</f>
        <v>9</v>
      </c>
      <c r="C1252" s="11">
        <f>+WEEKNUM(A1252)</f>
        <v>38</v>
      </c>
      <c r="D1252" s="4" t="s">
        <v>1184</v>
      </c>
      <c r="E1252" s="4" t="s">
        <v>1185</v>
      </c>
      <c r="F1252" s="4">
        <v>573162314499</v>
      </c>
      <c r="G1252" s="4">
        <v>68790</v>
      </c>
      <c r="H1252" s="8"/>
      <c r="I1252" s="4"/>
      <c r="J1252" s="4"/>
      <c r="K1252" s="4"/>
      <c r="L1252" s="8"/>
      <c r="M1252" s="4"/>
      <c r="N1252" s="7"/>
      <c r="O1252" s="7"/>
    </row>
    <row r="1253" spans="1:15" ht="114.75" x14ac:dyDescent="0.2">
      <c r="A1253" s="6">
        <v>45916</v>
      </c>
      <c r="B1253" s="11">
        <f>+MONTH(A1253)</f>
        <v>9</v>
      </c>
      <c r="C1253" s="11">
        <f>+WEEKNUM(A1253)</f>
        <v>38</v>
      </c>
      <c r="D1253" s="4" t="s">
        <v>1182</v>
      </c>
      <c r="E1253" s="4" t="s">
        <v>225</v>
      </c>
      <c r="F1253" s="4">
        <v>573106052567</v>
      </c>
      <c r="G1253" s="4">
        <v>68582</v>
      </c>
      <c r="H1253" s="8" t="s">
        <v>13</v>
      </c>
      <c r="I1253" s="4" t="s">
        <v>1183</v>
      </c>
      <c r="J1253" s="4" t="s">
        <v>23</v>
      </c>
      <c r="K1253" s="4"/>
      <c r="L1253" s="8" t="s">
        <v>12</v>
      </c>
      <c r="M1253" s="4"/>
      <c r="N1253" s="7"/>
      <c r="O1253" s="7"/>
    </row>
    <row r="1254" spans="1:15" ht="12.75" x14ac:dyDescent="0.2">
      <c r="A1254" s="6">
        <v>45916</v>
      </c>
      <c r="B1254" s="11">
        <f>+MONTH(A1254)</f>
        <v>9</v>
      </c>
      <c r="C1254" s="11">
        <f>+WEEKNUM(A1254)</f>
        <v>38</v>
      </c>
      <c r="D1254" s="4" t="s">
        <v>163</v>
      </c>
      <c r="E1254" s="4" t="s">
        <v>1181</v>
      </c>
      <c r="F1254" s="4">
        <v>573184969635</v>
      </c>
      <c r="G1254" s="4">
        <v>67930</v>
      </c>
      <c r="H1254" s="8"/>
      <c r="I1254" s="4"/>
      <c r="J1254" s="4"/>
      <c r="K1254" s="4"/>
      <c r="L1254" s="8"/>
      <c r="M1254" s="4"/>
      <c r="N1254" s="7"/>
      <c r="O1254" s="7"/>
    </row>
    <row r="1255" spans="1:15" ht="25.5" x14ac:dyDescent="0.2">
      <c r="A1255" s="6">
        <v>45916</v>
      </c>
      <c r="B1255" s="11">
        <f>+MONTH(A1255)</f>
        <v>9</v>
      </c>
      <c r="C1255" s="11">
        <f>+WEEKNUM(A1255)</f>
        <v>38</v>
      </c>
      <c r="D1255" s="4" t="s">
        <v>1180</v>
      </c>
      <c r="E1255" s="4" t="s">
        <v>268</v>
      </c>
      <c r="F1255" s="4">
        <v>573175761193</v>
      </c>
      <c r="G1255" s="4">
        <v>68766</v>
      </c>
      <c r="H1255" s="8"/>
      <c r="I1255" s="4"/>
      <c r="J1255" s="4"/>
      <c r="K1255" s="4"/>
      <c r="L1255" s="8"/>
      <c r="M1255" s="4"/>
      <c r="N1255" s="7"/>
      <c r="O1255" s="7"/>
    </row>
    <row r="1256" spans="1:15" ht="12.75" x14ac:dyDescent="0.2">
      <c r="A1256" s="6">
        <v>45916</v>
      </c>
      <c r="B1256" s="11">
        <f>+MONTH(A1256)</f>
        <v>9</v>
      </c>
      <c r="C1256" s="11">
        <f>+WEEKNUM(A1256)</f>
        <v>38</v>
      </c>
      <c r="D1256" s="4" t="s">
        <v>1178</v>
      </c>
      <c r="E1256" s="4" t="s">
        <v>1179</v>
      </c>
      <c r="F1256" s="4">
        <v>573123604429</v>
      </c>
      <c r="G1256" s="4">
        <v>68964</v>
      </c>
      <c r="H1256" s="8"/>
      <c r="I1256" s="4"/>
      <c r="J1256" s="4"/>
      <c r="K1256" s="4"/>
      <c r="L1256" s="8"/>
      <c r="M1256" s="4"/>
      <c r="N1256" s="7"/>
      <c r="O1256" s="7"/>
    </row>
    <row r="1257" spans="1:15" ht="25.5" x14ac:dyDescent="0.2">
      <c r="A1257" s="25">
        <v>45915</v>
      </c>
      <c r="B1257" s="11">
        <f>+MONTH(A1257)</f>
        <v>9</v>
      </c>
      <c r="C1257" s="11">
        <f>+WEEKNUM(A1257)</f>
        <v>38</v>
      </c>
      <c r="D1257" s="4"/>
      <c r="E1257" s="4"/>
      <c r="F1257" s="4"/>
      <c r="G1257" s="4"/>
      <c r="H1257" s="8" t="s">
        <v>13</v>
      </c>
      <c r="I1257" s="4" t="s">
        <v>634</v>
      </c>
      <c r="J1257" s="4" t="s">
        <v>14</v>
      </c>
      <c r="K1257" s="4" t="s">
        <v>76</v>
      </c>
      <c r="L1257" s="8" t="s">
        <v>12</v>
      </c>
      <c r="M1257" s="4" t="s">
        <v>1177</v>
      </c>
      <c r="N1257" s="7"/>
      <c r="O1257" s="7"/>
    </row>
    <row r="1258" spans="1:15" ht="63.75" x14ac:dyDescent="0.2">
      <c r="A1258" s="6">
        <v>45915</v>
      </c>
      <c r="B1258" s="11">
        <f>+MONTH(A1258)</f>
        <v>9</v>
      </c>
      <c r="C1258" s="11">
        <f>+WEEKNUM(A1258)</f>
        <v>38</v>
      </c>
      <c r="D1258" s="4" t="s">
        <v>237</v>
      </c>
      <c r="E1258" s="4" t="s">
        <v>1174</v>
      </c>
      <c r="F1258" s="4">
        <v>573112818604</v>
      </c>
      <c r="G1258" s="4">
        <v>68689</v>
      </c>
      <c r="H1258" s="8" t="s">
        <v>13</v>
      </c>
      <c r="I1258" s="4" t="s">
        <v>1175</v>
      </c>
      <c r="J1258" s="5" t="s">
        <v>1176</v>
      </c>
      <c r="K1258" s="4"/>
      <c r="L1258" s="8" t="s">
        <v>12</v>
      </c>
      <c r="M1258" s="7"/>
      <c r="N1258" s="7"/>
      <c r="O1258" s="7"/>
    </row>
    <row r="1259" spans="1:15" ht="12.75" x14ac:dyDescent="0.2">
      <c r="A1259" s="6">
        <v>45915</v>
      </c>
      <c r="B1259" s="11">
        <f>+MONTH(A1259)</f>
        <v>9</v>
      </c>
      <c r="C1259" s="11">
        <f>+WEEKNUM(A1259)</f>
        <v>38</v>
      </c>
      <c r="D1259" s="4" t="s">
        <v>108</v>
      </c>
      <c r="E1259" s="4" t="s">
        <v>954</v>
      </c>
      <c r="F1259" s="4">
        <v>573014071159</v>
      </c>
      <c r="G1259" s="4">
        <v>69228</v>
      </c>
      <c r="H1259" s="8"/>
      <c r="I1259" s="4"/>
      <c r="J1259" s="4"/>
      <c r="K1259" s="4"/>
      <c r="L1259" s="8"/>
      <c r="M1259" s="7"/>
      <c r="N1259" s="7"/>
      <c r="O1259" s="7"/>
    </row>
    <row r="1260" spans="1:15" ht="25.5" x14ac:dyDescent="0.2">
      <c r="A1260" s="6">
        <v>45915</v>
      </c>
      <c r="B1260" s="11">
        <f>+MONTH(A1260)</f>
        <v>9</v>
      </c>
      <c r="C1260" s="11">
        <f>+WEEKNUM(A1260)</f>
        <v>38</v>
      </c>
      <c r="D1260" s="4" t="s">
        <v>102</v>
      </c>
      <c r="E1260" s="4" t="s">
        <v>220</v>
      </c>
      <c r="F1260" s="4">
        <v>573218806708</v>
      </c>
      <c r="G1260" s="4">
        <v>69116</v>
      </c>
      <c r="H1260" s="8"/>
      <c r="I1260" s="4"/>
      <c r="J1260" s="4"/>
      <c r="K1260" s="4"/>
      <c r="L1260" s="8"/>
      <c r="M1260" s="7"/>
      <c r="N1260" s="7"/>
      <c r="O1260" s="7"/>
    </row>
    <row r="1261" spans="1:15" ht="12.75" x14ac:dyDescent="0.2">
      <c r="A1261" s="6">
        <v>45915</v>
      </c>
      <c r="B1261" s="11">
        <f>+MONTH(A1261)</f>
        <v>9</v>
      </c>
      <c r="C1261" s="11">
        <f>+WEEKNUM(A1261)</f>
        <v>38</v>
      </c>
      <c r="D1261" s="4" t="s">
        <v>1172</v>
      </c>
      <c r="E1261" s="4" t="s">
        <v>1173</v>
      </c>
      <c r="F1261" s="4">
        <v>573163177121</v>
      </c>
      <c r="G1261" s="4">
        <v>68378</v>
      </c>
      <c r="H1261" s="8"/>
      <c r="I1261" s="4"/>
      <c r="J1261" s="4"/>
      <c r="K1261" s="4"/>
      <c r="L1261" s="8"/>
      <c r="M1261" s="7"/>
      <c r="N1261" s="7"/>
      <c r="O1261" s="7"/>
    </row>
    <row r="1262" spans="1:15" ht="25.5" x14ac:dyDescent="0.2">
      <c r="A1262" s="6">
        <v>45915</v>
      </c>
      <c r="B1262" s="11">
        <f>+MONTH(A1262)</f>
        <v>9</v>
      </c>
      <c r="C1262" s="11">
        <f>+WEEKNUM(A1262)</f>
        <v>38</v>
      </c>
      <c r="D1262" s="4" t="s">
        <v>240</v>
      </c>
      <c r="E1262" s="4" t="s">
        <v>295</v>
      </c>
      <c r="F1262" s="4">
        <v>573143273400</v>
      </c>
      <c r="G1262" s="4">
        <v>69179</v>
      </c>
      <c r="H1262" s="8"/>
      <c r="I1262" s="4"/>
      <c r="J1262" s="4"/>
      <c r="K1262" s="4"/>
      <c r="L1262" s="8"/>
      <c r="M1262" s="7"/>
      <c r="N1262" s="7"/>
      <c r="O1262" s="7"/>
    </row>
    <row r="1263" spans="1:15" ht="12.75" x14ac:dyDescent="0.2">
      <c r="A1263" s="6">
        <v>45915</v>
      </c>
      <c r="B1263" s="11">
        <f>+MONTH(A1263)</f>
        <v>9</v>
      </c>
      <c r="C1263" s="11">
        <f>+WEEKNUM(A1263)</f>
        <v>38</v>
      </c>
      <c r="D1263" s="4" t="s">
        <v>1170</v>
      </c>
      <c r="E1263" s="4" t="s">
        <v>1171</v>
      </c>
      <c r="F1263" s="4">
        <v>573505363020</v>
      </c>
      <c r="G1263" s="4">
        <v>69070</v>
      </c>
      <c r="H1263" s="8"/>
      <c r="I1263" s="4"/>
      <c r="J1263" s="4"/>
      <c r="K1263" s="4"/>
      <c r="L1263" s="8"/>
      <c r="M1263" s="7"/>
      <c r="N1263" s="7"/>
      <c r="O1263" s="7"/>
    </row>
    <row r="1264" spans="1:15" ht="12.75" x14ac:dyDescent="0.2">
      <c r="A1264" s="6">
        <v>45915</v>
      </c>
      <c r="B1264" s="11">
        <f>+MONTH(A1264)</f>
        <v>9</v>
      </c>
      <c r="C1264" s="11">
        <f>+WEEKNUM(A1264)</f>
        <v>38</v>
      </c>
      <c r="D1264" s="4" t="s">
        <v>1168</v>
      </c>
      <c r="E1264" s="4" t="s">
        <v>1169</v>
      </c>
      <c r="F1264" s="4">
        <v>573188554720</v>
      </c>
      <c r="G1264" s="4">
        <v>68425</v>
      </c>
      <c r="H1264" s="8"/>
      <c r="I1264" s="4"/>
      <c r="J1264" s="4"/>
      <c r="K1264" s="4"/>
      <c r="L1264" s="8"/>
      <c r="M1264" s="7"/>
      <c r="N1264" s="7"/>
      <c r="O1264" s="7"/>
    </row>
    <row r="1265" spans="1:15" ht="114.75" x14ac:dyDescent="0.2">
      <c r="A1265" s="6">
        <v>45915</v>
      </c>
      <c r="B1265" s="11">
        <f>+MONTH(A1265)</f>
        <v>9</v>
      </c>
      <c r="C1265" s="11">
        <f>+WEEKNUM(A1265)</f>
        <v>38</v>
      </c>
      <c r="D1265" s="4" t="s">
        <v>150</v>
      </c>
      <c r="E1265" s="4" t="s">
        <v>1166</v>
      </c>
      <c r="F1265" s="4">
        <v>573022871687</v>
      </c>
      <c r="G1265" s="4">
        <v>68628</v>
      </c>
      <c r="H1265" s="8" t="s">
        <v>44</v>
      </c>
      <c r="I1265" s="4" t="s">
        <v>1167</v>
      </c>
      <c r="J1265" s="4"/>
      <c r="K1265" s="4"/>
      <c r="L1265" s="8" t="s">
        <v>12</v>
      </c>
      <c r="M1265" s="7"/>
      <c r="N1265" s="7"/>
      <c r="O1265" s="7"/>
    </row>
    <row r="1266" spans="1:15" ht="76.5" x14ac:dyDescent="0.2">
      <c r="A1266" s="6">
        <v>45915</v>
      </c>
      <c r="B1266" s="11">
        <f>+MONTH(A1266)</f>
        <v>9</v>
      </c>
      <c r="C1266" s="11">
        <f>+WEEKNUM(A1266)</f>
        <v>38</v>
      </c>
      <c r="D1266" s="4" t="s">
        <v>115</v>
      </c>
      <c r="E1266" s="4" t="s">
        <v>1163</v>
      </c>
      <c r="F1266" s="4">
        <v>573115803780</v>
      </c>
      <c r="G1266" s="4">
        <v>67230</v>
      </c>
      <c r="H1266" s="8" t="s">
        <v>13</v>
      </c>
      <c r="I1266" s="4" t="s">
        <v>1164</v>
      </c>
      <c r="J1266" s="5" t="s">
        <v>1165</v>
      </c>
      <c r="K1266" s="4"/>
      <c r="L1266" s="8" t="s">
        <v>12</v>
      </c>
      <c r="M1266" s="7"/>
      <c r="N1266" s="7"/>
      <c r="O1266" s="7"/>
    </row>
    <row r="1267" spans="1:15" ht="25.5" x14ac:dyDescent="0.2">
      <c r="A1267" s="6">
        <v>45915</v>
      </c>
      <c r="B1267" s="11">
        <f>+MONTH(A1267)</f>
        <v>9</v>
      </c>
      <c r="C1267" s="11">
        <f>+WEEKNUM(A1267)</f>
        <v>38</v>
      </c>
      <c r="D1267" s="4" t="s">
        <v>1161</v>
      </c>
      <c r="E1267" s="4" t="s">
        <v>1162</v>
      </c>
      <c r="F1267" s="4">
        <v>573057719503</v>
      </c>
      <c r="G1267" s="4">
        <v>68746</v>
      </c>
      <c r="H1267" s="8"/>
      <c r="I1267" s="4"/>
      <c r="J1267" s="4"/>
      <c r="K1267" s="4"/>
      <c r="L1267" s="8"/>
      <c r="M1267" s="7"/>
      <c r="N1267" s="7"/>
      <c r="O1267" s="7"/>
    </row>
    <row r="1268" spans="1:15" ht="12.75" x14ac:dyDescent="0.2">
      <c r="A1268" s="6">
        <v>45915</v>
      </c>
      <c r="B1268" s="11">
        <f>+MONTH(A1268)</f>
        <v>9</v>
      </c>
      <c r="C1268" s="11">
        <f>+WEEKNUM(A1268)</f>
        <v>38</v>
      </c>
      <c r="D1268" s="4" t="s">
        <v>1160</v>
      </c>
      <c r="E1268" s="4" t="s">
        <v>85</v>
      </c>
      <c r="F1268" s="4">
        <v>573114644993</v>
      </c>
      <c r="G1268" s="4">
        <v>69141</v>
      </c>
      <c r="H1268" s="8"/>
      <c r="I1268" s="4"/>
      <c r="J1268" s="4"/>
      <c r="K1268" s="4"/>
      <c r="L1268" s="8"/>
      <c r="M1268" s="7"/>
      <c r="N1268" s="7"/>
      <c r="O1268" s="7"/>
    </row>
    <row r="1269" spans="1:15" ht="12.75" x14ac:dyDescent="0.2">
      <c r="A1269" s="6">
        <v>45915</v>
      </c>
      <c r="B1269" s="11">
        <f>+MONTH(A1269)</f>
        <v>9</v>
      </c>
      <c r="C1269" s="11">
        <f>+WEEKNUM(A1269)</f>
        <v>38</v>
      </c>
      <c r="D1269" s="4" t="s">
        <v>204</v>
      </c>
      <c r="E1269" s="4" t="s">
        <v>1159</v>
      </c>
      <c r="F1269" s="4">
        <v>573113560748</v>
      </c>
      <c r="G1269" s="4">
        <v>69022</v>
      </c>
      <c r="H1269" s="8"/>
      <c r="I1269" s="4"/>
      <c r="J1269" s="4"/>
      <c r="K1269" s="4"/>
      <c r="L1269" s="8"/>
      <c r="M1269" s="7"/>
      <c r="N1269" s="7"/>
      <c r="O1269" s="7"/>
    </row>
    <row r="1270" spans="1:15" ht="25.5" x14ac:dyDescent="0.2">
      <c r="A1270" s="6">
        <v>45915</v>
      </c>
      <c r="B1270" s="11">
        <f>+MONTH(A1270)</f>
        <v>9</v>
      </c>
      <c r="C1270" s="11">
        <f>+WEEKNUM(A1270)</f>
        <v>38</v>
      </c>
      <c r="D1270" s="4" t="s">
        <v>110</v>
      </c>
      <c r="E1270" s="4" t="s">
        <v>1158</v>
      </c>
      <c r="F1270" s="4">
        <v>573132875768</v>
      </c>
      <c r="G1270" s="4">
        <v>68422</v>
      </c>
      <c r="H1270" s="8"/>
      <c r="I1270" s="4"/>
      <c r="J1270" s="4"/>
      <c r="K1270" s="4"/>
      <c r="L1270" s="8"/>
      <c r="M1270" s="7"/>
      <c r="N1270" s="7"/>
      <c r="O1270" s="7"/>
    </row>
    <row r="1271" spans="1:15" ht="12.75" x14ac:dyDescent="0.2">
      <c r="A1271" s="6">
        <v>45913</v>
      </c>
      <c r="B1271" s="11">
        <f>+MONTH(A1271)</f>
        <v>9</v>
      </c>
      <c r="C1271" s="11">
        <f>+WEEKNUM(A1271)</f>
        <v>37</v>
      </c>
      <c r="D1271" s="4" t="s">
        <v>1156</v>
      </c>
      <c r="E1271" s="4" t="s">
        <v>1157</v>
      </c>
      <c r="F1271" s="4">
        <v>573175389778</v>
      </c>
      <c r="G1271" s="4">
        <v>67964</v>
      </c>
      <c r="H1271" s="8"/>
      <c r="I1271" s="4"/>
      <c r="J1271" s="4"/>
      <c r="K1271" s="4"/>
      <c r="L1271" s="8"/>
      <c r="M1271" s="7"/>
      <c r="N1271" s="7"/>
      <c r="O1271" s="7"/>
    </row>
    <row r="1272" spans="1:15" ht="12.75" x14ac:dyDescent="0.2">
      <c r="A1272" s="6">
        <v>45913</v>
      </c>
      <c r="B1272" s="11">
        <f>+MONTH(A1272)</f>
        <v>9</v>
      </c>
      <c r="C1272" s="11">
        <f>+WEEKNUM(A1272)</f>
        <v>37</v>
      </c>
      <c r="D1272" s="4" t="s">
        <v>240</v>
      </c>
      <c r="E1272" s="4" t="s">
        <v>155</v>
      </c>
      <c r="F1272" s="4">
        <v>573173546262</v>
      </c>
      <c r="G1272" s="4">
        <v>68562</v>
      </c>
      <c r="H1272" s="8"/>
      <c r="I1272" s="4"/>
      <c r="J1272" s="4"/>
      <c r="K1272" s="4"/>
      <c r="L1272" s="8"/>
      <c r="M1272" s="7"/>
      <c r="N1272" s="7"/>
      <c r="O1272" s="7"/>
    </row>
    <row r="1273" spans="1:15" ht="12.75" x14ac:dyDescent="0.2">
      <c r="A1273" s="6">
        <v>45913</v>
      </c>
      <c r="B1273" s="11">
        <f>+MONTH(A1273)</f>
        <v>9</v>
      </c>
      <c r="C1273" s="11">
        <f>+WEEKNUM(A1273)</f>
        <v>37</v>
      </c>
      <c r="D1273" s="4" t="s">
        <v>1154</v>
      </c>
      <c r="E1273" s="4" t="s">
        <v>1155</v>
      </c>
      <c r="F1273" s="4">
        <v>573012772755</v>
      </c>
      <c r="G1273" s="4">
        <v>41035</v>
      </c>
      <c r="H1273" s="8"/>
      <c r="I1273" s="4"/>
      <c r="J1273" s="4"/>
      <c r="K1273" s="4"/>
      <c r="L1273" s="8"/>
      <c r="M1273" s="7"/>
      <c r="N1273" s="7"/>
      <c r="O1273" s="7"/>
    </row>
    <row r="1274" spans="1:15" ht="12.75" x14ac:dyDescent="0.2">
      <c r="A1274" s="6">
        <v>45913</v>
      </c>
      <c r="B1274" s="11">
        <f>+MONTH(A1274)</f>
        <v>9</v>
      </c>
      <c r="C1274" s="11">
        <f>+WEEKNUM(A1274)</f>
        <v>37</v>
      </c>
      <c r="D1274" s="4" t="s">
        <v>1152</v>
      </c>
      <c r="E1274" s="4" t="s">
        <v>1153</v>
      </c>
      <c r="F1274" s="4">
        <v>573023672129</v>
      </c>
      <c r="G1274" s="4">
        <v>69053</v>
      </c>
      <c r="H1274" s="8"/>
      <c r="I1274" s="4"/>
      <c r="J1274" s="4"/>
      <c r="K1274" s="4"/>
      <c r="L1274" s="8"/>
      <c r="M1274" s="7"/>
      <c r="N1274" s="7"/>
      <c r="O1274" s="7"/>
    </row>
    <row r="1275" spans="1:15" ht="12.75" x14ac:dyDescent="0.2">
      <c r="A1275" s="6">
        <v>45913</v>
      </c>
      <c r="B1275" s="11">
        <f>+MONTH(A1275)</f>
        <v>9</v>
      </c>
      <c r="C1275" s="11">
        <f>+WEEKNUM(A1275)</f>
        <v>37</v>
      </c>
      <c r="D1275" s="4" t="s">
        <v>310</v>
      </c>
      <c r="E1275" s="4" t="s">
        <v>247</v>
      </c>
      <c r="F1275" s="4">
        <v>573102871238</v>
      </c>
      <c r="G1275" s="4">
        <v>68867</v>
      </c>
      <c r="H1275" s="8"/>
      <c r="I1275" s="4"/>
      <c r="J1275" s="4"/>
      <c r="K1275" s="4"/>
      <c r="L1275" s="8"/>
      <c r="M1275" s="7"/>
      <c r="N1275" s="7"/>
      <c r="O1275" s="7"/>
    </row>
    <row r="1276" spans="1:15" ht="114.75" x14ac:dyDescent="0.2">
      <c r="A1276" s="6">
        <v>45913</v>
      </c>
      <c r="B1276" s="11">
        <f>+MONTH(A1276)</f>
        <v>9</v>
      </c>
      <c r="C1276" s="11">
        <f>+WEEKNUM(A1276)</f>
        <v>37</v>
      </c>
      <c r="D1276" s="4" t="s">
        <v>885</v>
      </c>
      <c r="E1276" s="4" t="s">
        <v>1151</v>
      </c>
      <c r="F1276" s="4">
        <v>573114492591</v>
      </c>
      <c r="G1276" s="4">
        <v>67754</v>
      </c>
      <c r="H1276" s="8" t="s">
        <v>22</v>
      </c>
      <c r="I1276" s="4" t="s">
        <v>3350</v>
      </c>
      <c r="J1276" s="4"/>
      <c r="K1276" s="4"/>
      <c r="L1276" s="8" t="s">
        <v>12</v>
      </c>
      <c r="M1276" s="7"/>
      <c r="N1276" s="7"/>
      <c r="O1276" s="7"/>
    </row>
    <row r="1277" spans="1:15" ht="25.5" x14ac:dyDescent="0.2">
      <c r="A1277" s="6">
        <v>45913</v>
      </c>
      <c r="B1277" s="11">
        <f>+MONTH(A1277)</f>
        <v>9</v>
      </c>
      <c r="C1277" s="11">
        <f>+WEEKNUM(A1277)</f>
        <v>37</v>
      </c>
      <c r="D1277" s="4" t="s">
        <v>1149</v>
      </c>
      <c r="E1277" s="4" t="s">
        <v>1150</v>
      </c>
      <c r="F1277" s="4">
        <v>573118518364</v>
      </c>
      <c r="G1277" s="4">
        <v>68814</v>
      </c>
      <c r="H1277" s="8" t="s">
        <v>13</v>
      </c>
      <c r="I1277" s="4" t="s">
        <v>64</v>
      </c>
      <c r="J1277" s="4" t="s">
        <v>14</v>
      </c>
      <c r="K1277" s="4"/>
      <c r="L1277" s="8" t="s">
        <v>12</v>
      </c>
      <c r="M1277" s="7"/>
      <c r="N1277" s="7"/>
      <c r="O1277" s="7"/>
    </row>
    <row r="1278" spans="1:15" ht="12.75" x14ac:dyDescent="0.2">
      <c r="A1278" s="6">
        <v>45913</v>
      </c>
      <c r="B1278" s="11">
        <f>+MONTH(A1278)</f>
        <v>9</v>
      </c>
      <c r="C1278" s="11">
        <f>+WEEKNUM(A1278)</f>
        <v>37</v>
      </c>
      <c r="D1278" s="4" t="s">
        <v>33</v>
      </c>
      <c r="E1278" s="4" t="s">
        <v>62</v>
      </c>
      <c r="F1278" s="4">
        <v>573217607115</v>
      </c>
      <c r="G1278" s="4">
        <v>68896</v>
      </c>
      <c r="H1278" s="8"/>
      <c r="I1278" s="4"/>
      <c r="J1278" s="4"/>
      <c r="K1278" s="4"/>
      <c r="L1278" s="8"/>
      <c r="M1278" s="7"/>
      <c r="N1278" s="7"/>
      <c r="O1278" s="7"/>
    </row>
    <row r="1279" spans="1:15" ht="51" x14ac:dyDescent="0.2">
      <c r="A1279" s="6">
        <v>45913</v>
      </c>
      <c r="B1279" s="11">
        <f>+MONTH(A1279)</f>
        <v>9</v>
      </c>
      <c r="C1279" s="11">
        <f>+WEEKNUM(A1279)</f>
        <v>37</v>
      </c>
      <c r="D1279" s="4" t="s">
        <v>63</v>
      </c>
      <c r="E1279" s="4" t="s">
        <v>41</v>
      </c>
      <c r="F1279" s="4">
        <v>573202479333</v>
      </c>
      <c r="G1279" s="4">
        <v>68009</v>
      </c>
      <c r="H1279" s="8" t="s">
        <v>13</v>
      </c>
      <c r="I1279" s="4" t="s">
        <v>1147</v>
      </c>
      <c r="J1279" s="5" t="s">
        <v>1148</v>
      </c>
      <c r="K1279" s="4"/>
      <c r="L1279" s="8" t="s">
        <v>12</v>
      </c>
      <c r="M1279" s="7"/>
      <c r="N1279" s="7"/>
      <c r="O1279" s="7"/>
    </row>
    <row r="1280" spans="1:15" ht="25.5" x14ac:dyDescent="0.2">
      <c r="A1280" s="6">
        <v>45913</v>
      </c>
      <c r="B1280" s="11">
        <f>+MONTH(A1280)</f>
        <v>9</v>
      </c>
      <c r="C1280" s="11">
        <f>+WEEKNUM(A1280)</f>
        <v>37</v>
      </c>
      <c r="D1280" s="4" t="s">
        <v>516</v>
      </c>
      <c r="E1280" s="4" t="s">
        <v>1146</v>
      </c>
      <c r="F1280" s="4">
        <v>573016731684</v>
      </c>
      <c r="G1280" s="4">
        <v>68551</v>
      </c>
      <c r="H1280" s="8"/>
      <c r="I1280" s="4"/>
      <c r="J1280" s="4"/>
      <c r="K1280" s="4"/>
      <c r="L1280" s="8"/>
      <c r="M1280" s="7"/>
      <c r="N1280" s="7"/>
      <c r="O1280" s="7"/>
    </row>
    <row r="1281" spans="1:15" ht="153" x14ac:dyDescent="0.2">
      <c r="A1281" s="6">
        <v>45913</v>
      </c>
      <c r="B1281" s="11">
        <f>+MONTH(A1281)</f>
        <v>9</v>
      </c>
      <c r="C1281" s="11">
        <f>+WEEKNUM(A1281)</f>
        <v>37</v>
      </c>
      <c r="D1281" s="4" t="s">
        <v>1143</v>
      </c>
      <c r="E1281" s="4" t="s">
        <v>1144</v>
      </c>
      <c r="F1281" s="4">
        <v>573214556027</v>
      </c>
      <c r="G1281" s="4">
        <v>68902</v>
      </c>
      <c r="H1281" s="8" t="s">
        <v>13</v>
      </c>
      <c r="I1281" s="4" t="s">
        <v>1145</v>
      </c>
      <c r="J1281" s="4" t="s">
        <v>23</v>
      </c>
      <c r="K1281" s="4"/>
      <c r="L1281" s="8" t="s">
        <v>12</v>
      </c>
      <c r="M1281" s="7"/>
      <c r="N1281" s="7"/>
      <c r="O1281" s="7"/>
    </row>
    <row r="1282" spans="1:15" ht="25.5" x14ac:dyDescent="0.2">
      <c r="A1282" s="6">
        <v>45913</v>
      </c>
      <c r="B1282" s="11">
        <f>+MONTH(A1282)</f>
        <v>9</v>
      </c>
      <c r="C1282" s="11">
        <f>+WEEKNUM(A1282)</f>
        <v>37</v>
      </c>
      <c r="D1282" s="4" t="s">
        <v>140</v>
      </c>
      <c r="E1282" s="4" t="s">
        <v>1142</v>
      </c>
      <c r="F1282" s="4">
        <v>573184735062</v>
      </c>
      <c r="G1282" s="4">
        <v>69041</v>
      </c>
      <c r="H1282" s="8" t="s">
        <v>13</v>
      </c>
      <c r="I1282" s="4" t="s">
        <v>64</v>
      </c>
      <c r="J1282" s="4" t="s">
        <v>14</v>
      </c>
      <c r="K1282" s="4"/>
      <c r="L1282" s="8" t="s">
        <v>12</v>
      </c>
      <c r="M1282" s="7"/>
      <c r="N1282" s="7"/>
      <c r="O1282" s="7"/>
    </row>
    <row r="1283" spans="1:15" ht="382.5" x14ac:dyDescent="0.2">
      <c r="A1283" s="6">
        <v>45913</v>
      </c>
      <c r="B1283" s="11">
        <f>+MONTH(A1283)</f>
        <v>9</v>
      </c>
      <c r="C1283" s="11">
        <f>+WEEKNUM(A1283)</f>
        <v>37</v>
      </c>
      <c r="D1283" s="4" t="s">
        <v>1140</v>
      </c>
      <c r="E1283" s="4" t="s">
        <v>1141</v>
      </c>
      <c r="F1283" s="4">
        <v>573134571122</v>
      </c>
      <c r="G1283" s="4">
        <v>68624</v>
      </c>
      <c r="H1283" s="8" t="s">
        <v>13</v>
      </c>
      <c r="I1283" s="4" t="s">
        <v>3332</v>
      </c>
      <c r="J1283" s="4" t="s">
        <v>14</v>
      </c>
      <c r="K1283" s="4"/>
      <c r="L1283" s="8" t="s">
        <v>12</v>
      </c>
      <c r="M1283" s="7"/>
      <c r="N1283" s="7"/>
      <c r="O1283" s="7"/>
    </row>
    <row r="1284" spans="1:15" ht="12.75" x14ac:dyDescent="0.2">
      <c r="A1284" s="6">
        <v>45913</v>
      </c>
      <c r="B1284" s="11">
        <f>+MONTH(A1284)</f>
        <v>9</v>
      </c>
      <c r="C1284" s="11">
        <f>+WEEKNUM(A1284)</f>
        <v>37</v>
      </c>
      <c r="D1284" s="4" t="s">
        <v>83</v>
      </c>
      <c r="E1284" s="4" t="s">
        <v>1139</v>
      </c>
      <c r="F1284" s="4">
        <v>573105662833</v>
      </c>
      <c r="G1284" s="4">
        <v>68945</v>
      </c>
      <c r="H1284" s="8"/>
      <c r="I1284" s="4"/>
      <c r="J1284" s="4"/>
      <c r="K1284" s="4"/>
      <c r="L1284" s="8"/>
      <c r="M1284" s="7"/>
      <c r="N1284" s="7"/>
      <c r="O1284" s="7"/>
    </row>
    <row r="1285" spans="1:15" ht="25.5" x14ac:dyDescent="0.2">
      <c r="A1285" s="6">
        <v>45912</v>
      </c>
      <c r="B1285" s="11">
        <f>+MONTH(A1285)</f>
        <v>9</v>
      </c>
      <c r="C1285" s="11">
        <f>+WEEKNUM(A1285)</f>
        <v>37</v>
      </c>
      <c r="D1285" s="4" t="s">
        <v>1137</v>
      </c>
      <c r="E1285" s="4" t="s">
        <v>1138</v>
      </c>
      <c r="F1285" s="4">
        <v>573022319504</v>
      </c>
      <c r="G1285" s="4">
        <v>68828</v>
      </c>
      <c r="H1285" s="8"/>
      <c r="I1285" s="4"/>
      <c r="J1285" s="4"/>
      <c r="K1285" s="4"/>
      <c r="L1285" s="8"/>
      <c r="M1285" s="7"/>
      <c r="N1285" s="7"/>
      <c r="O1285" s="7"/>
    </row>
    <row r="1286" spans="1:15" ht="114.75" x14ac:dyDescent="0.2">
      <c r="A1286" s="6">
        <v>45912</v>
      </c>
      <c r="B1286" s="11">
        <f>+MONTH(A1286)</f>
        <v>9</v>
      </c>
      <c r="C1286" s="11">
        <f>+WEEKNUM(A1286)</f>
        <v>37</v>
      </c>
      <c r="D1286" s="4" t="s">
        <v>17</v>
      </c>
      <c r="E1286" s="4" t="s">
        <v>1135</v>
      </c>
      <c r="F1286" s="4">
        <v>573224079655</v>
      </c>
      <c r="G1286" s="4">
        <v>68899</v>
      </c>
      <c r="H1286" s="8" t="s">
        <v>44</v>
      </c>
      <c r="I1286" s="4" t="s">
        <v>1136</v>
      </c>
      <c r="J1286" s="4"/>
      <c r="K1286" s="4"/>
      <c r="L1286" s="8" t="s">
        <v>12</v>
      </c>
      <c r="M1286" s="7"/>
      <c r="N1286" s="7"/>
      <c r="O1286" s="7"/>
    </row>
    <row r="1287" spans="1:15" ht="12.75" x14ac:dyDescent="0.2">
      <c r="A1287" s="6">
        <v>45912</v>
      </c>
      <c r="B1287" s="11">
        <f>+MONTH(A1287)</f>
        <v>9</v>
      </c>
      <c r="C1287" s="11">
        <f>+WEEKNUM(A1287)</f>
        <v>37</v>
      </c>
      <c r="D1287" s="4" t="s">
        <v>302</v>
      </c>
      <c r="E1287" s="4" t="s">
        <v>1134</v>
      </c>
      <c r="F1287" s="4">
        <v>573176699376</v>
      </c>
      <c r="G1287" s="4">
        <v>68449</v>
      </c>
      <c r="H1287" s="8"/>
      <c r="I1287" s="4"/>
      <c r="J1287" s="4"/>
      <c r="K1287" s="4"/>
      <c r="L1287" s="8"/>
      <c r="M1287" s="7"/>
      <c r="N1287" s="7"/>
      <c r="O1287" s="7"/>
    </row>
    <row r="1288" spans="1:15" ht="63.75" x14ac:dyDescent="0.2">
      <c r="A1288" s="6">
        <v>45912</v>
      </c>
      <c r="B1288" s="11">
        <f>+MONTH(A1288)</f>
        <v>9</v>
      </c>
      <c r="C1288" s="11">
        <f>+WEEKNUM(A1288)</f>
        <v>37</v>
      </c>
      <c r="D1288" s="4" t="s">
        <v>1132</v>
      </c>
      <c r="E1288" s="4" t="s">
        <v>190</v>
      </c>
      <c r="F1288" s="4">
        <v>573132537775</v>
      </c>
      <c r="G1288" s="4">
        <v>68463</v>
      </c>
      <c r="H1288" s="8" t="s">
        <v>13</v>
      </c>
      <c r="I1288" s="4" t="s">
        <v>1133</v>
      </c>
      <c r="J1288" s="4" t="s">
        <v>23</v>
      </c>
      <c r="K1288" s="4"/>
      <c r="L1288" s="8" t="s">
        <v>12</v>
      </c>
      <c r="M1288" s="7"/>
      <c r="N1288" s="7"/>
      <c r="O1288" s="7"/>
    </row>
    <row r="1289" spans="1:15" ht="12.75" x14ac:dyDescent="0.2">
      <c r="A1289" s="6">
        <v>45911</v>
      </c>
      <c r="B1289" s="11">
        <f>+MONTH(A1289)</f>
        <v>9</v>
      </c>
      <c r="C1289" s="11">
        <f>+WEEKNUM(A1289)</f>
        <v>37</v>
      </c>
      <c r="D1289" s="4" t="s">
        <v>24</v>
      </c>
      <c r="E1289" s="4" t="s">
        <v>139</v>
      </c>
      <c r="F1289" s="4">
        <v>573188949753</v>
      </c>
      <c r="G1289" s="4">
        <v>68916</v>
      </c>
      <c r="H1289" s="8" t="s">
        <v>13</v>
      </c>
      <c r="I1289" s="4"/>
      <c r="J1289" s="4"/>
      <c r="K1289" s="4"/>
      <c r="L1289" s="8" t="s">
        <v>22</v>
      </c>
      <c r="M1289" s="7"/>
      <c r="N1289" s="7"/>
      <c r="O1289" s="7"/>
    </row>
    <row r="1290" spans="1:15" ht="25.5" x14ac:dyDescent="0.2">
      <c r="A1290" s="6">
        <v>45911</v>
      </c>
      <c r="B1290" s="11">
        <f>+MONTH(A1290)</f>
        <v>9</v>
      </c>
      <c r="C1290" s="11">
        <f>+WEEKNUM(A1290)</f>
        <v>37</v>
      </c>
      <c r="D1290" s="4" t="s">
        <v>21</v>
      </c>
      <c r="E1290" s="4" t="s">
        <v>1122</v>
      </c>
      <c r="F1290" s="4">
        <v>573133251899</v>
      </c>
      <c r="G1290" s="4">
        <v>68821</v>
      </c>
      <c r="H1290" s="8"/>
      <c r="I1290" s="4"/>
      <c r="J1290" s="4"/>
      <c r="K1290" s="4"/>
      <c r="L1290" s="8"/>
      <c r="M1290" s="7"/>
      <c r="N1290" s="7"/>
      <c r="O1290" s="7"/>
    </row>
    <row r="1291" spans="1:15" ht="12.75" x14ac:dyDescent="0.2">
      <c r="A1291" s="6">
        <v>45911</v>
      </c>
      <c r="B1291" s="11">
        <f>+MONTH(A1291)</f>
        <v>9</v>
      </c>
      <c r="C1291" s="11">
        <f>+WEEKNUM(A1291)</f>
        <v>37</v>
      </c>
      <c r="D1291" s="4" t="s">
        <v>113</v>
      </c>
      <c r="E1291" s="4" t="s">
        <v>1127</v>
      </c>
      <c r="F1291" s="4">
        <v>573153317098</v>
      </c>
      <c r="G1291" s="4">
        <v>58879</v>
      </c>
      <c r="H1291" s="8"/>
      <c r="I1291" s="4"/>
      <c r="J1291" s="4"/>
      <c r="K1291" s="4"/>
      <c r="L1291" s="8"/>
      <c r="M1291" s="7"/>
      <c r="N1291" s="7"/>
      <c r="O1291" s="7"/>
    </row>
    <row r="1292" spans="1:15" ht="25.5" x14ac:dyDescent="0.2">
      <c r="A1292" s="6">
        <v>45911</v>
      </c>
      <c r="B1292" s="11">
        <f>+MONTH(A1292)</f>
        <v>9</v>
      </c>
      <c r="C1292" s="11">
        <f>+WEEKNUM(A1292)</f>
        <v>37</v>
      </c>
      <c r="D1292" s="4" t="s">
        <v>66</v>
      </c>
      <c r="E1292" s="4" t="s">
        <v>1089</v>
      </c>
      <c r="F1292" s="4">
        <v>573154821600</v>
      </c>
      <c r="G1292" s="4">
        <v>68836</v>
      </c>
      <c r="H1292" s="8"/>
      <c r="I1292" s="4"/>
      <c r="J1292" s="4"/>
      <c r="K1292" s="4"/>
      <c r="L1292" s="8"/>
      <c r="M1292" s="7"/>
      <c r="N1292" s="7"/>
      <c r="O1292" s="7"/>
    </row>
    <row r="1293" spans="1:15" ht="12.75" x14ac:dyDescent="0.2">
      <c r="A1293" s="6">
        <v>45911</v>
      </c>
      <c r="B1293" s="11">
        <f>+MONTH(A1293)</f>
        <v>9</v>
      </c>
      <c r="C1293" s="11">
        <f>+WEEKNUM(A1293)</f>
        <v>37</v>
      </c>
      <c r="D1293" s="4" t="s">
        <v>1123</v>
      </c>
      <c r="E1293" s="4" t="s">
        <v>1123</v>
      </c>
      <c r="F1293" s="4">
        <v>573046167699</v>
      </c>
      <c r="G1293" s="4">
        <v>68847</v>
      </c>
      <c r="H1293" s="8"/>
      <c r="I1293" s="4"/>
      <c r="J1293" s="4"/>
      <c r="K1293" s="4"/>
      <c r="L1293" s="8"/>
      <c r="M1293" s="7"/>
      <c r="N1293" s="7"/>
      <c r="O1293" s="7"/>
    </row>
    <row r="1294" spans="1:15" ht="12.75" x14ac:dyDescent="0.2">
      <c r="A1294" s="6">
        <v>45911</v>
      </c>
      <c r="B1294" s="11">
        <f>+MONTH(A1294)</f>
        <v>9</v>
      </c>
      <c r="C1294" s="11">
        <f>+WEEKNUM(A1294)</f>
        <v>37</v>
      </c>
      <c r="D1294" s="4" t="s">
        <v>164</v>
      </c>
      <c r="E1294" s="4" t="s">
        <v>144</v>
      </c>
      <c r="F1294" s="4">
        <v>573113251375</v>
      </c>
      <c r="G1294" s="4">
        <v>68747</v>
      </c>
      <c r="H1294" s="8"/>
      <c r="I1294" s="4"/>
      <c r="J1294" s="4"/>
      <c r="K1294" s="4"/>
      <c r="L1294" s="8"/>
      <c r="M1294" s="7"/>
      <c r="N1294" s="7"/>
      <c r="O1294" s="7"/>
    </row>
    <row r="1295" spans="1:15" ht="12.75" x14ac:dyDescent="0.2">
      <c r="A1295" s="6">
        <v>45911</v>
      </c>
      <c r="B1295" s="11">
        <f>+MONTH(A1295)</f>
        <v>9</v>
      </c>
      <c r="C1295" s="11">
        <f>+WEEKNUM(A1295)</f>
        <v>37</v>
      </c>
      <c r="D1295" s="4" t="s">
        <v>252</v>
      </c>
      <c r="E1295" s="4" t="s">
        <v>188</v>
      </c>
      <c r="F1295" s="4">
        <v>573155275262</v>
      </c>
      <c r="G1295" s="4">
        <v>68684</v>
      </c>
      <c r="H1295" s="8"/>
      <c r="I1295" s="4"/>
      <c r="J1295" s="4"/>
      <c r="K1295" s="4"/>
      <c r="L1295" s="8"/>
      <c r="M1295" s="7"/>
      <c r="N1295" s="7"/>
      <c r="O1295" s="7"/>
    </row>
    <row r="1296" spans="1:15" ht="12.75" x14ac:dyDescent="0.2">
      <c r="A1296" s="6">
        <v>45911</v>
      </c>
      <c r="B1296" s="11">
        <f>+MONTH(A1296)</f>
        <v>9</v>
      </c>
      <c r="C1296" s="11">
        <f>+WEEKNUM(A1296)</f>
        <v>37</v>
      </c>
      <c r="D1296" s="4" t="s">
        <v>320</v>
      </c>
      <c r="E1296" s="4" t="s">
        <v>1124</v>
      </c>
      <c r="F1296" s="4">
        <v>573045363557</v>
      </c>
      <c r="G1296" s="4">
        <v>68559</v>
      </c>
      <c r="H1296" s="8"/>
      <c r="I1296" s="4"/>
      <c r="J1296" s="4"/>
      <c r="K1296" s="4"/>
      <c r="L1296" s="8"/>
      <c r="M1296" s="7"/>
      <c r="N1296" s="7"/>
      <c r="O1296" s="7"/>
    </row>
    <row r="1297" spans="1:15" ht="25.5" x14ac:dyDescent="0.2">
      <c r="A1297" s="6">
        <v>45911</v>
      </c>
      <c r="B1297" s="11">
        <f>+MONTH(A1297)</f>
        <v>9</v>
      </c>
      <c r="C1297" s="11">
        <f>+WEEKNUM(A1297)</f>
        <v>37</v>
      </c>
      <c r="D1297" s="4" t="s">
        <v>63</v>
      </c>
      <c r="E1297" s="4" t="s">
        <v>1119</v>
      </c>
      <c r="F1297" s="4">
        <v>573106198778</v>
      </c>
      <c r="G1297" s="4">
        <v>68331</v>
      </c>
      <c r="H1297" s="8"/>
      <c r="I1297" s="4"/>
      <c r="J1297" s="4"/>
      <c r="K1297" s="4"/>
      <c r="L1297" s="8"/>
      <c r="M1297" s="7"/>
      <c r="N1297" s="7"/>
      <c r="O1297" s="7"/>
    </row>
    <row r="1298" spans="1:15" ht="12.75" x14ac:dyDescent="0.2">
      <c r="A1298" s="6">
        <v>45911</v>
      </c>
      <c r="B1298" s="11">
        <f>+MONTH(A1298)</f>
        <v>9</v>
      </c>
      <c r="C1298" s="11">
        <f>+WEEKNUM(A1298)</f>
        <v>37</v>
      </c>
      <c r="D1298" s="4" t="s">
        <v>229</v>
      </c>
      <c r="E1298" s="4" t="s">
        <v>180</v>
      </c>
      <c r="F1298" s="4">
        <v>573017160340</v>
      </c>
      <c r="G1298" s="4">
        <v>68822</v>
      </c>
      <c r="H1298" s="8"/>
      <c r="I1298" s="4"/>
      <c r="J1298" s="4"/>
      <c r="K1298" s="4"/>
      <c r="L1298" s="8"/>
      <c r="M1298" s="7"/>
      <c r="N1298" s="7"/>
      <c r="O1298" s="7"/>
    </row>
    <row r="1299" spans="1:15" ht="12.75" x14ac:dyDescent="0.2">
      <c r="A1299" s="6">
        <v>45911</v>
      </c>
      <c r="B1299" s="11">
        <f>+MONTH(A1299)</f>
        <v>9</v>
      </c>
      <c r="C1299" s="11">
        <f>+WEEKNUM(A1299)</f>
        <v>37</v>
      </c>
      <c r="D1299" s="4" t="s">
        <v>1130</v>
      </c>
      <c r="E1299" s="4" t="s">
        <v>1131</v>
      </c>
      <c r="F1299" s="4">
        <v>573043279852</v>
      </c>
      <c r="G1299" s="4">
        <v>68521</v>
      </c>
      <c r="H1299" s="8"/>
      <c r="I1299" s="4"/>
      <c r="J1299" s="4"/>
      <c r="K1299" s="4"/>
      <c r="L1299" s="8"/>
      <c r="M1299" s="7"/>
      <c r="N1299" s="7"/>
      <c r="O1299" s="7"/>
    </row>
    <row r="1300" spans="1:15" ht="25.5" x14ac:dyDescent="0.2">
      <c r="A1300" s="6">
        <v>45911</v>
      </c>
      <c r="B1300" s="11">
        <f>+MONTH(A1300)</f>
        <v>9</v>
      </c>
      <c r="C1300" s="11">
        <f>+WEEKNUM(A1300)</f>
        <v>37</v>
      </c>
      <c r="D1300" s="4" t="s">
        <v>1125</v>
      </c>
      <c r="E1300" s="4" t="s">
        <v>1126</v>
      </c>
      <c r="F1300" s="4">
        <v>573212019698</v>
      </c>
      <c r="G1300" s="4">
        <v>68706</v>
      </c>
      <c r="H1300" s="8"/>
      <c r="I1300" s="4"/>
      <c r="J1300" s="4"/>
      <c r="K1300" s="4"/>
      <c r="L1300" s="8"/>
      <c r="M1300" s="7"/>
      <c r="N1300" s="7"/>
      <c r="O1300" s="7"/>
    </row>
    <row r="1301" spans="1:15" ht="153" x14ac:dyDescent="0.2">
      <c r="A1301" s="6">
        <v>45911</v>
      </c>
      <c r="B1301" s="11">
        <f>+MONTH(A1301)</f>
        <v>9</v>
      </c>
      <c r="C1301" s="11">
        <f>+WEEKNUM(A1301)</f>
        <v>37</v>
      </c>
      <c r="D1301" s="4" t="s">
        <v>88</v>
      </c>
      <c r="E1301" s="4" t="s">
        <v>1117</v>
      </c>
      <c r="F1301" s="4">
        <v>573216280337</v>
      </c>
      <c r="G1301" s="4">
        <v>68900</v>
      </c>
      <c r="H1301" s="8" t="s">
        <v>13</v>
      </c>
      <c r="I1301" s="4" t="s">
        <v>1118</v>
      </c>
      <c r="J1301" s="4" t="s">
        <v>14</v>
      </c>
      <c r="K1301" s="4"/>
      <c r="L1301" s="8" t="s">
        <v>12</v>
      </c>
      <c r="M1301" s="7"/>
      <c r="N1301" s="7"/>
      <c r="O1301" s="7"/>
    </row>
    <row r="1302" spans="1:15" ht="153" x14ac:dyDescent="0.2">
      <c r="A1302" s="6">
        <v>45911</v>
      </c>
      <c r="B1302" s="11">
        <f>+MONTH(A1302)</f>
        <v>9</v>
      </c>
      <c r="C1302" s="11">
        <f>+WEEKNUM(A1302)</f>
        <v>37</v>
      </c>
      <c r="D1302" s="4" t="s">
        <v>88</v>
      </c>
      <c r="E1302" s="4" t="s">
        <v>1117</v>
      </c>
      <c r="F1302" s="4">
        <v>573216280337</v>
      </c>
      <c r="G1302" s="4">
        <v>68900</v>
      </c>
      <c r="H1302" s="8" t="s">
        <v>13</v>
      </c>
      <c r="I1302" s="4" t="s">
        <v>1118</v>
      </c>
      <c r="J1302" s="4" t="s">
        <v>14</v>
      </c>
      <c r="K1302" s="4"/>
      <c r="L1302" s="8" t="s">
        <v>12</v>
      </c>
      <c r="M1302" s="7"/>
      <c r="N1302" s="7"/>
      <c r="O1302" s="7"/>
    </row>
    <row r="1303" spans="1:15" ht="12.75" x14ac:dyDescent="0.2">
      <c r="A1303" s="6">
        <v>45911</v>
      </c>
      <c r="B1303" s="11">
        <f>+MONTH(A1303)</f>
        <v>9</v>
      </c>
      <c r="C1303" s="11">
        <f>+WEEKNUM(A1303)</f>
        <v>37</v>
      </c>
      <c r="D1303" s="4" t="s">
        <v>1120</v>
      </c>
      <c r="E1303" s="4" t="s">
        <v>1121</v>
      </c>
      <c r="F1303" s="4">
        <v>573118180678</v>
      </c>
      <c r="G1303" s="4">
        <v>68875</v>
      </c>
      <c r="H1303" s="8"/>
      <c r="I1303" s="4"/>
      <c r="J1303" s="4"/>
      <c r="K1303" s="4"/>
      <c r="L1303" s="8"/>
      <c r="M1303" s="7"/>
      <c r="N1303" s="7"/>
      <c r="O1303" s="7"/>
    </row>
    <row r="1304" spans="1:15" ht="12.75" x14ac:dyDescent="0.2">
      <c r="A1304" s="6">
        <v>45911</v>
      </c>
      <c r="B1304" s="11">
        <f>+MONTH(A1304)</f>
        <v>9</v>
      </c>
      <c r="C1304" s="11">
        <f>+WEEKNUM(A1304)</f>
        <v>37</v>
      </c>
      <c r="D1304" s="4" t="s">
        <v>179</v>
      </c>
      <c r="E1304" s="4" t="s">
        <v>1129</v>
      </c>
      <c r="F1304" s="4">
        <v>573186444890</v>
      </c>
      <c r="G1304" s="4">
        <v>68819</v>
      </c>
      <c r="H1304" s="8"/>
      <c r="I1304" s="4"/>
      <c r="J1304" s="4"/>
      <c r="K1304" s="4"/>
      <c r="L1304" s="8"/>
      <c r="M1304" s="7"/>
      <c r="N1304" s="7"/>
      <c r="O1304" s="7"/>
    </row>
    <row r="1305" spans="1:15" ht="12.75" x14ac:dyDescent="0.2">
      <c r="A1305" s="6">
        <v>45911</v>
      </c>
      <c r="B1305" s="11">
        <f>+MONTH(A1305)</f>
        <v>9</v>
      </c>
      <c r="C1305" s="11">
        <f>+WEEKNUM(A1305)</f>
        <v>37</v>
      </c>
      <c r="D1305" s="4" t="s">
        <v>1128</v>
      </c>
      <c r="E1305" s="4" t="s">
        <v>201</v>
      </c>
      <c r="F1305" s="4">
        <v>573208134131</v>
      </c>
      <c r="G1305" s="4">
        <v>68552</v>
      </c>
      <c r="H1305" s="8"/>
      <c r="I1305" s="4"/>
      <c r="J1305" s="4"/>
      <c r="K1305" s="4"/>
      <c r="L1305" s="8"/>
      <c r="M1305" s="7"/>
      <c r="N1305" s="7"/>
      <c r="O1305" s="7"/>
    </row>
    <row r="1306" spans="1:15" ht="12.75" x14ac:dyDescent="0.2">
      <c r="A1306" s="6">
        <v>45910</v>
      </c>
      <c r="B1306" s="11">
        <f>+MONTH(A1306)</f>
        <v>9</v>
      </c>
      <c r="C1306" s="11">
        <f>+WEEKNUM(A1306)</f>
        <v>37</v>
      </c>
      <c r="D1306" s="4" t="s">
        <v>1109</v>
      </c>
      <c r="E1306" s="4" t="s">
        <v>1110</v>
      </c>
      <c r="F1306" s="4">
        <v>573143860438</v>
      </c>
      <c r="G1306" s="4">
        <v>68776</v>
      </c>
      <c r="H1306" s="8"/>
      <c r="I1306" s="4"/>
      <c r="J1306" s="4"/>
      <c r="K1306" s="4"/>
      <c r="L1306" s="8"/>
      <c r="M1306" s="7"/>
      <c r="N1306" s="7"/>
      <c r="O1306" s="7"/>
    </row>
    <row r="1307" spans="1:15" ht="114.75" x14ac:dyDescent="0.2">
      <c r="A1307" s="6">
        <v>45910</v>
      </c>
      <c r="B1307" s="11">
        <f>+MONTH(A1307)</f>
        <v>9</v>
      </c>
      <c r="C1307" s="11">
        <f>+WEEKNUM(A1307)</f>
        <v>37</v>
      </c>
      <c r="D1307" s="4" t="s">
        <v>124</v>
      </c>
      <c r="E1307" s="4" t="s">
        <v>1114</v>
      </c>
      <c r="F1307" s="4">
        <v>573053007226</v>
      </c>
      <c r="G1307" s="4">
        <v>68802</v>
      </c>
      <c r="H1307" s="8" t="s">
        <v>13</v>
      </c>
      <c r="I1307" s="4" t="s">
        <v>1115</v>
      </c>
      <c r="J1307" s="5" t="s">
        <v>1116</v>
      </c>
      <c r="K1307" s="4"/>
      <c r="L1307" s="8" t="s">
        <v>12</v>
      </c>
      <c r="M1307" s="7"/>
      <c r="N1307" s="7"/>
      <c r="O1307" s="7"/>
    </row>
    <row r="1308" spans="1:15" ht="38.25" x14ac:dyDescent="0.2">
      <c r="A1308" s="6">
        <v>45910</v>
      </c>
      <c r="B1308" s="11">
        <f>+MONTH(A1308)</f>
        <v>9</v>
      </c>
      <c r="C1308" s="11">
        <f>+WEEKNUM(A1308)</f>
        <v>37</v>
      </c>
      <c r="D1308" s="4" t="s">
        <v>1111</v>
      </c>
      <c r="E1308" s="4" t="s">
        <v>1112</v>
      </c>
      <c r="F1308" s="4">
        <v>573193894216</v>
      </c>
      <c r="G1308" s="4">
        <v>68337</v>
      </c>
      <c r="H1308" s="8" t="s">
        <v>13</v>
      </c>
      <c r="I1308" s="4" t="s">
        <v>3351</v>
      </c>
      <c r="J1308" s="5" t="s">
        <v>1113</v>
      </c>
      <c r="K1308" s="4"/>
      <c r="L1308" s="8" t="s">
        <v>12</v>
      </c>
      <c r="M1308" s="7"/>
      <c r="N1308" s="7"/>
      <c r="O1308" s="7"/>
    </row>
    <row r="1309" spans="1:15" ht="38.25" x14ac:dyDescent="0.2">
      <c r="A1309" s="6">
        <v>45910</v>
      </c>
      <c r="B1309" s="11">
        <f>+MONTH(A1309)</f>
        <v>9</v>
      </c>
      <c r="C1309" s="11">
        <f>+WEEKNUM(A1309)</f>
        <v>37</v>
      </c>
      <c r="D1309" s="4" t="s">
        <v>1111</v>
      </c>
      <c r="E1309" s="4" t="s">
        <v>1112</v>
      </c>
      <c r="F1309" s="4">
        <v>573193894216</v>
      </c>
      <c r="G1309" s="4">
        <v>68337</v>
      </c>
      <c r="H1309" s="8" t="s">
        <v>13</v>
      </c>
      <c r="I1309" s="4" t="s">
        <v>3351</v>
      </c>
      <c r="J1309" s="5" t="s">
        <v>1113</v>
      </c>
      <c r="K1309" s="4"/>
      <c r="L1309" s="8" t="s">
        <v>12</v>
      </c>
      <c r="M1309" s="7"/>
      <c r="N1309" s="7"/>
      <c r="O1309" s="7"/>
    </row>
    <row r="1310" spans="1:15" ht="12.75" x14ac:dyDescent="0.2">
      <c r="A1310" s="6">
        <v>45910</v>
      </c>
      <c r="B1310" s="11">
        <f>+MONTH(A1310)</f>
        <v>9</v>
      </c>
      <c r="C1310" s="11">
        <f>+WEEKNUM(A1310)</f>
        <v>37</v>
      </c>
      <c r="D1310" s="4" t="s">
        <v>1107</v>
      </c>
      <c r="E1310" s="4" t="s">
        <v>1108</v>
      </c>
      <c r="F1310" s="4">
        <v>573195434844</v>
      </c>
      <c r="G1310" s="4">
        <v>67532</v>
      </c>
      <c r="H1310" s="8"/>
      <c r="I1310" s="4"/>
      <c r="J1310" s="4"/>
      <c r="K1310" s="4"/>
      <c r="L1310" s="8"/>
      <c r="M1310" s="7"/>
      <c r="N1310" s="7"/>
      <c r="O1310" s="7"/>
    </row>
    <row r="1311" spans="1:15" ht="102" x14ac:dyDescent="0.2">
      <c r="A1311" s="6">
        <v>45910</v>
      </c>
      <c r="B1311" s="11">
        <f>+MONTH(A1311)</f>
        <v>9</v>
      </c>
      <c r="C1311" s="11">
        <f>+WEEKNUM(A1311)</f>
        <v>37</v>
      </c>
      <c r="D1311" s="4" t="s">
        <v>48</v>
      </c>
      <c r="E1311" s="4" t="s">
        <v>1104</v>
      </c>
      <c r="F1311" s="4">
        <v>573058818888</v>
      </c>
      <c r="G1311" s="4">
        <v>68431</v>
      </c>
      <c r="H1311" s="8" t="s">
        <v>13</v>
      </c>
      <c r="I1311" s="4" t="s">
        <v>1105</v>
      </c>
      <c r="J1311" s="5" t="s">
        <v>1106</v>
      </c>
      <c r="K1311" s="4"/>
      <c r="L1311" s="8" t="s">
        <v>12</v>
      </c>
      <c r="M1311" s="7"/>
      <c r="N1311" s="7"/>
      <c r="O1311" s="7"/>
    </row>
    <row r="1312" spans="1:15" ht="51" x14ac:dyDescent="0.2">
      <c r="A1312" s="6">
        <v>45910</v>
      </c>
      <c r="B1312" s="11">
        <f>+MONTH(A1312)</f>
        <v>9</v>
      </c>
      <c r="C1312" s="11">
        <f>+WEEKNUM(A1312)</f>
        <v>37</v>
      </c>
      <c r="D1312" s="4" t="s">
        <v>223</v>
      </c>
      <c r="E1312" s="4" t="s">
        <v>138</v>
      </c>
      <c r="F1312" s="4">
        <v>573132292504</v>
      </c>
      <c r="G1312" s="4">
        <v>67540</v>
      </c>
      <c r="H1312" s="8" t="s">
        <v>13</v>
      </c>
      <c r="I1312" s="4" t="s">
        <v>1102</v>
      </c>
      <c r="J1312" s="5" t="s">
        <v>1103</v>
      </c>
      <c r="K1312" s="4"/>
      <c r="L1312" s="8" t="s">
        <v>12</v>
      </c>
      <c r="M1312" s="7"/>
      <c r="N1312" s="7"/>
      <c r="O1312" s="7"/>
    </row>
    <row r="1313" spans="1:15" ht="38.25" x14ac:dyDescent="0.2">
      <c r="A1313" s="6">
        <v>45910</v>
      </c>
      <c r="B1313" s="11">
        <f>+MONTH(A1313)</f>
        <v>9</v>
      </c>
      <c r="C1313" s="11">
        <f>+WEEKNUM(A1313)</f>
        <v>37</v>
      </c>
      <c r="D1313" s="4" t="s">
        <v>1100</v>
      </c>
      <c r="E1313" s="4" t="s">
        <v>326</v>
      </c>
      <c r="F1313" s="4">
        <v>573014865970</v>
      </c>
      <c r="G1313" s="4">
        <v>68638</v>
      </c>
      <c r="H1313" s="8" t="s">
        <v>13</v>
      </c>
      <c r="I1313" s="4" t="s">
        <v>1101</v>
      </c>
      <c r="J1313" s="4" t="s">
        <v>23</v>
      </c>
      <c r="K1313" s="4"/>
      <c r="L1313" s="8" t="s">
        <v>12</v>
      </c>
      <c r="M1313" s="7"/>
      <c r="N1313" s="7"/>
      <c r="O1313" s="7"/>
    </row>
    <row r="1314" spans="1:15" ht="12.75" x14ac:dyDescent="0.2">
      <c r="A1314" s="6">
        <v>45910</v>
      </c>
      <c r="B1314" s="11">
        <f>+MONTH(A1314)</f>
        <v>9</v>
      </c>
      <c r="C1314" s="11">
        <f>+WEEKNUM(A1314)</f>
        <v>37</v>
      </c>
      <c r="D1314" s="4" t="s">
        <v>1098</v>
      </c>
      <c r="E1314" s="4" t="s">
        <v>1099</v>
      </c>
      <c r="F1314" s="4">
        <v>573168485339</v>
      </c>
      <c r="G1314" s="4">
        <v>68541</v>
      </c>
      <c r="H1314" s="8"/>
      <c r="I1314" s="4"/>
      <c r="J1314" s="4"/>
      <c r="K1314" s="4"/>
      <c r="L1314" s="8"/>
      <c r="M1314" s="7"/>
      <c r="N1314" s="7"/>
      <c r="O1314" s="7"/>
    </row>
    <row r="1315" spans="1:15" ht="12.75" x14ac:dyDescent="0.2">
      <c r="A1315" s="6">
        <v>45910</v>
      </c>
      <c r="B1315" s="11">
        <f>+MONTH(A1315)</f>
        <v>9</v>
      </c>
      <c r="C1315" s="11">
        <f>+WEEKNUM(A1315)</f>
        <v>37</v>
      </c>
      <c r="D1315" s="4" t="s">
        <v>79</v>
      </c>
      <c r="E1315" s="4" t="s">
        <v>1097</v>
      </c>
      <c r="F1315" s="4">
        <v>573203036059</v>
      </c>
      <c r="G1315" s="4">
        <v>68491</v>
      </c>
      <c r="H1315" s="8"/>
      <c r="I1315" s="4"/>
      <c r="J1315" s="4"/>
      <c r="K1315" s="4"/>
      <c r="L1315" s="8"/>
      <c r="M1315" s="7"/>
      <c r="N1315" s="7"/>
      <c r="O1315" s="7"/>
    </row>
    <row r="1316" spans="1:15" ht="12.75" x14ac:dyDescent="0.2">
      <c r="A1316" s="6">
        <v>45910</v>
      </c>
      <c r="B1316" s="11">
        <f>+MONTH(A1316)</f>
        <v>9</v>
      </c>
      <c r="C1316" s="11">
        <f>+WEEKNUM(A1316)</f>
        <v>37</v>
      </c>
      <c r="D1316" s="4" t="s">
        <v>183</v>
      </c>
      <c r="E1316" s="4" t="s">
        <v>1096</v>
      </c>
      <c r="F1316" s="4">
        <v>573102224355</v>
      </c>
      <c r="G1316" s="4">
        <v>68753</v>
      </c>
      <c r="H1316" s="8"/>
      <c r="I1316" s="4"/>
      <c r="J1316" s="4"/>
      <c r="K1316" s="4"/>
      <c r="L1316" s="8"/>
      <c r="M1316" s="7"/>
      <c r="N1316" s="7"/>
      <c r="O1316" s="7"/>
    </row>
    <row r="1317" spans="1:15" ht="12.75" x14ac:dyDescent="0.2">
      <c r="A1317" s="6">
        <v>45910</v>
      </c>
      <c r="B1317" s="11">
        <f>+MONTH(A1317)</f>
        <v>9</v>
      </c>
      <c r="C1317" s="11">
        <f>+WEEKNUM(A1317)</f>
        <v>37</v>
      </c>
      <c r="D1317" s="4" t="s">
        <v>38</v>
      </c>
      <c r="E1317" s="4" t="s">
        <v>309</v>
      </c>
      <c r="F1317" s="4">
        <v>573148462902</v>
      </c>
      <c r="G1317" s="4">
        <v>65315</v>
      </c>
      <c r="H1317" s="8"/>
      <c r="I1317" s="4"/>
      <c r="J1317" s="4"/>
      <c r="K1317" s="4"/>
      <c r="L1317" s="8"/>
      <c r="M1317" s="7"/>
      <c r="N1317" s="7"/>
      <c r="O1317" s="7"/>
    </row>
    <row r="1318" spans="1:15" ht="216.75" x14ac:dyDescent="0.2">
      <c r="A1318" s="6">
        <v>45910</v>
      </c>
      <c r="B1318" s="11">
        <f>+MONTH(A1318)</f>
        <v>9</v>
      </c>
      <c r="C1318" s="11">
        <f>+WEEKNUM(A1318)</f>
        <v>37</v>
      </c>
      <c r="D1318" s="4" t="s">
        <v>130</v>
      </c>
      <c r="E1318" s="4" t="s">
        <v>1093</v>
      </c>
      <c r="F1318" s="4">
        <v>573024617277</v>
      </c>
      <c r="G1318" s="4">
        <v>66810</v>
      </c>
      <c r="H1318" s="8" t="s">
        <v>13</v>
      </c>
      <c r="I1318" s="4" t="s">
        <v>3333</v>
      </c>
      <c r="J1318" s="5" t="s">
        <v>1094</v>
      </c>
      <c r="K1318" s="4" t="s">
        <v>1095</v>
      </c>
      <c r="L1318" s="8" t="s">
        <v>12</v>
      </c>
      <c r="M1318" s="7">
        <v>45926.595358796294</v>
      </c>
      <c r="N1318" s="7"/>
      <c r="O1318" s="7"/>
    </row>
    <row r="1319" spans="1:15" ht="12.75" x14ac:dyDescent="0.2">
      <c r="A1319" s="6">
        <v>45910</v>
      </c>
      <c r="B1319" s="11">
        <f>+MONTH(A1319)</f>
        <v>9</v>
      </c>
      <c r="C1319" s="11">
        <f>+WEEKNUM(A1319)</f>
        <v>37</v>
      </c>
      <c r="D1319" s="4" t="s">
        <v>48</v>
      </c>
      <c r="E1319" s="4" t="s">
        <v>308</v>
      </c>
      <c r="F1319" s="4">
        <v>573102892006</v>
      </c>
      <c r="G1319" s="4">
        <v>68278</v>
      </c>
      <c r="H1319" s="8" t="s">
        <v>13</v>
      </c>
      <c r="I1319" s="4"/>
      <c r="J1319" s="4"/>
      <c r="K1319" s="4"/>
      <c r="L1319" s="8" t="s">
        <v>12</v>
      </c>
      <c r="M1319" s="7"/>
      <c r="N1319" s="7"/>
      <c r="O1319" s="7"/>
    </row>
    <row r="1320" spans="1:15" ht="25.5" x14ac:dyDescent="0.2">
      <c r="A1320" s="6">
        <v>45910</v>
      </c>
      <c r="B1320" s="11">
        <f>+MONTH(A1320)</f>
        <v>9</v>
      </c>
      <c r="C1320" s="11">
        <f>+WEEKNUM(A1320)</f>
        <v>37</v>
      </c>
      <c r="D1320" s="4" t="s">
        <v>296</v>
      </c>
      <c r="E1320" s="4" t="s">
        <v>1092</v>
      </c>
      <c r="F1320" s="4">
        <v>573102067557</v>
      </c>
      <c r="G1320" s="4">
        <v>68349</v>
      </c>
      <c r="H1320" s="8"/>
      <c r="I1320" s="4"/>
      <c r="J1320" s="4"/>
      <c r="K1320" s="4"/>
      <c r="L1320" s="8"/>
      <c r="M1320" s="7"/>
      <c r="N1320" s="7"/>
      <c r="O1320" s="7"/>
    </row>
    <row r="1321" spans="1:15" ht="12.75" x14ac:dyDescent="0.2">
      <c r="A1321" s="6">
        <v>45910</v>
      </c>
      <c r="B1321" s="11">
        <f>+MONTH(A1321)</f>
        <v>9</v>
      </c>
      <c r="C1321" s="11">
        <f>+WEEKNUM(A1321)</f>
        <v>37</v>
      </c>
      <c r="D1321" s="4" t="s">
        <v>116</v>
      </c>
      <c r="E1321" s="4" t="s">
        <v>1091</v>
      </c>
      <c r="F1321" s="4">
        <v>573502300103</v>
      </c>
      <c r="G1321" s="4">
        <v>68442</v>
      </c>
      <c r="H1321" s="8"/>
      <c r="I1321" s="4"/>
      <c r="J1321" s="4"/>
      <c r="K1321" s="4"/>
      <c r="L1321" s="8"/>
      <c r="M1321" s="7"/>
      <c r="N1321" s="7"/>
      <c r="O1321" s="7"/>
    </row>
    <row r="1322" spans="1:15" ht="191.25" x14ac:dyDescent="0.2">
      <c r="A1322" s="6">
        <v>45910</v>
      </c>
      <c r="B1322" s="11">
        <f>+MONTH(A1322)</f>
        <v>9</v>
      </c>
      <c r="C1322" s="11">
        <f>+WEEKNUM(A1322)</f>
        <v>37</v>
      </c>
      <c r="D1322" s="4" t="s">
        <v>105</v>
      </c>
      <c r="E1322" s="4" t="s">
        <v>112</v>
      </c>
      <c r="F1322" s="4">
        <v>573102694847</v>
      </c>
      <c r="G1322" s="4">
        <v>68233</v>
      </c>
      <c r="H1322" s="8" t="s">
        <v>13</v>
      </c>
      <c r="I1322" s="4" t="s">
        <v>3334</v>
      </c>
      <c r="J1322" s="5" t="s">
        <v>1090</v>
      </c>
      <c r="K1322" s="4"/>
      <c r="L1322" s="8" t="s">
        <v>12</v>
      </c>
      <c r="M1322" s="7"/>
      <c r="N1322" s="7"/>
      <c r="O1322" s="7"/>
    </row>
    <row r="1323" spans="1:15" ht="25.5" x14ac:dyDescent="0.2">
      <c r="A1323" s="6">
        <v>45909</v>
      </c>
      <c r="B1323" s="11">
        <f>+MONTH(A1323)</f>
        <v>9</v>
      </c>
      <c r="C1323" s="11">
        <f>+WEEKNUM(A1323)</f>
        <v>37</v>
      </c>
      <c r="D1323" s="4" t="s">
        <v>66</v>
      </c>
      <c r="E1323" s="4" t="s">
        <v>1089</v>
      </c>
      <c r="F1323" s="4">
        <v>573154821606</v>
      </c>
      <c r="G1323" s="4">
        <v>68660</v>
      </c>
      <c r="H1323" s="8"/>
      <c r="I1323" s="4"/>
      <c r="J1323" s="4"/>
      <c r="K1323" s="4"/>
      <c r="L1323" s="8"/>
      <c r="M1323" s="7"/>
      <c r="N1323" s="7"/>
      <c r="O1323" s="7"/>
    </row>
    <row r="1324" spans="1:15" ht="25.5" x14ac:dyDescent="0.2">
      <c r="A1324" s="6">
        <v>45909</v>
      </c>
      <c r="B1324" s="11">
        <f>+MONTH(A1324)</f>
        <v>9</v>
      </c>
      <c r="C1324" s="11">
        <f>+WEEKNUM(A1324)</f>
        <v>37</v>
      </c>
      <c r="D1324" s="4" t="s">
        <v>252</v>
      </c>
      <c r="E1324" s="4" t="s">
        <v>1088</v>
      </c>
      <c r="F1324" s="4">
        <v>573153400123</v>
      </c>
      <c r="G1324" s="4">
        <v>68697</v>
      </c>
      <c r="H1324" s="8"/>
      <c r="I1324" s="4"/>
      <c r="J1324" s="4"/>
      <c r="K1324" s="4"/>
      <c r="L1324" s="8"/>
      <c r="M1324" s="7"/>
      <c r="N1324" s="7"/>
      <c r="O1324" s="7"/>
    </row>
    <row r="1325" spans="1:15" ht="25.5" x14ac:dyDescent="0.2">
      <c r="A1325" s="6">
        <v>45909</v>
      </c>
      <c r="B1325" s="11">
        <f>+MONTH(A1325)</f>
        <v>9</v>
      </c>
      <c r="C1325" s="11">
        <f>+WEEKNUM(A1325)</f>
        <v>37</v>
      </c>
      <c r="D1325" s="4" t="s">
        <v>1086</v>
      </c>
      <c r="E1325" s="4" t="s">
        <v>1087</v>
      </c>
      <c r="F1325" s="4">
        <v>573160411122</v>
      </c>
      <c r="G1325" s="4">
        <v>68394</v>
      </c>
      <c r="H1325" s="8"/>
      <c r="I1325" s="4"/>
      <c r="J1325" s="4"/>
      <c r="K1325" s="4"/>
      <c r="L1325" s="8"/>
      <c r="M1325" s="7"/>
      <c r="N1325" s="7"/>
      <c r="O1325" s="7"/>
    </row>
    <row r="1326" spans="1:15" ht="12.75" x14ac:dyDescent="0.2">
      <c r="A1326" s="6">
        <v>45909</v>
      </c>
      <c r="B1326" s="11">
        <f>+MONTH(A1326)</f>
        <v>9</v>
      </c>
      <c r="C1326" s="11">
        <f>+WEEKNUM(A1326)</f>
        <v>37</v>
      </c>
      <c r="D1326" s="4" t="s">
        <v>1084</v>
      </c>
      <c r="E1326" s="4" t="s">
        <v>1085</v>
      </c>
      <c r="F1326" s="4">
        <v>573052540046</v>
      </c>
      <c r="G1326" s="4">
        <v>67901</v>
      </c>
      <c r="H1326" s="8"/>
      <c r="I1326" s="4"/>
      <c r="J1326" s="4"/>
      <c r="K1326" s="4"/>
      <c r="L1326" s="8"/>
      <c r="M1326" s="7"/>
      <c r="N1326" s="7"/>
      <c r="O1326" s="7"/>
    </row>
    <row r="1327" spans="1:15" ht="25.5" x14ac:dyDescent="0.2">
      <c r="A1327" s="6">
        <v>45909</v>
      </c>
      <c r="B1327" s="11">
        <f>+MONTH(A1327)</f>
        <v>9</v>
      </c>
      <c r="C1327" s="11">
        <f>+WEEKNUM(A1327)</f>
        <v>37</v>
      </c>
      <c r="D1327" s="4" t="s">
        <v>258</v>
      </c>
      <c r="E1327" s="4" t="s">
        <v>1083</v>
      </c>
      <c r="F1327" s="4">
        <v>573004981979</v>
      </c>
      <c r="G1327" s="4">
        <v>68467</v>
      </c>
      <c r="H1327" s="8"/>
      <c r="I1327" s="4"/>
      <c r="J1327" s="4"/>
      <c r="K1327" s="4"/>
      <c r="L1327" s="8"/>
      <c r="M1327" s="7"/>
      <c r="N1327" s="7"/>
      <c r="O1327" s="7"/>
    </row>
    <row r="1328" spans="1:15" ht="12.75" x14ac:dyDescent="0.2">
      <c r="A1328" s="6">
        <v>45909</v>
      </c>
      <c r="B1328" s="11">
        <f>+MONTH(A1328)</f>
        <v>9</v>
      </c>
      <c r="C1328" s="11">
        <f>+WEEKNUM(A1328)</f>
        <v>37</v>
      </c>
      <c r="D1328" s="4" t="s">
        <v>48</v>
      </c>
      <c r="E1328" s="4" t="s">
        <v>1082</v>
      </c>
      <c r="F1328" s="4">
        <v>573122269687</v>
      </c>
      <c r="G1328" s="4">
        <v>68052</v>
      </c>
      <c r="H1328" s="8"/>
      <c r="I1328" s="4"/>
      <c r="J1328" s="4"/>
      <c r="K1328" s="4"/>
      <c r="L1328" s="8"/>
      <c r="M1328" s="7"/>
      <c r="N1328" s="7"/>
      <c r="O1328" s="7"/>
    </row>
    <row r="1329" spans="1:15" ht="409.5" x14ac:dyDescent="0.2">
      <c r="A1329" s="6">
        <v>45909</v>
      </c>
      <c r="B1329" s="11">
        <f>+MONTH(A1329)</f>
        <v>9</v>
      </c>
      <c r="C1329" s="11">
        <f>+WEEKNUM(A1329)</f>
        <v>37</v>
      </c>
      <c r="D1329" s="4" t="s">
        <v>1079</v>
      </c>
      <c r="E1329" s="4" t="s">
        <v>1080</v>
      </c>
      <c r="F1329" s="4">
        <v>573135300610</v>
      </c>
      <c r="G1329" s="4">
        <v>68158</v>
      </c>
      <c r="H1329" s="8" t="s">
        <v>13</v>
      </c>
      <c r="I1329" s="4" t="s">
        <v>1081</v>
      </c>
      <c r="J1329" s="4"/>
      <c r="K1329" s="4"/>
      <c r="L1329" s="8" t="s">
        <v>22</v>
      </c>
      <c r="M1329" s="7"/>
      <c r="N1329" s="7"/>
      <c r="O1329" s="7"/>
    </row>
    <row r="1330" spans="1:15" ht="12.75" x14ac:dyDescent="0.2">
      <c r="A1330" s="6">
        <v>45908</v>
      </c>
      <c r="B1330" s="11">
        <f>+MONTH(A1330)</f>
        <v>9</v>
      </c>
      <c r="C1330" s="11">
        <f>+WEEKNUM(A1330)</f>
        <v>37</v>
      </c>
      <c r="D1330" s="4" t="s">
        <v>1077</v>
      </c>
      <c r="E1330" s="4" t="s">
        <v>1078</v>
      </c>
      <c r="F1330" s="4">
        <v>573108170334</v>
      </c>
      <c r="G1330" s="4">
        <v>68666</v>
      </c>
      <c r="H1330" s="8"/>
      <c r="I1330" s="4"/>
      <c r="J1330" s="4"/>
      <c r="K1330" s="4"/>
      <c r="L1330" s="8"/>
      <c r="M1330" s="7"/>
      <c r="N1330" s="7"/>
      <c r="O1330" s="7"/>
    </row>
    <row r="1331" spans="1:15" ht="12.75" x14ac:dyDescent="0.2">
      <c r="A1331" s="6">
        <v>45908</v>
      </c>
      <c r="B1331" s="11">
        <f>+MONTH(A1331)</f>
        <v>9</v>
      </c>
      <c r="C1331" s="11">
        <f>+WEEKNUM(A1331)</f>
        <v>37</v>
      </c>
      <c r="D1331" s="4" t="s">
        <v>1076</v>
      </c>
      <c r="E1331" s="4" t="s">
        <v>203</v>
      </c>
      <c r="F1331" s="4">
        <v>573134371130</v>
      </c>
      <c r="G1331" s="4">
        <v>67820</v>
      </c>
      <c r="H1331" s="8"/>
      <c r="I1331" s="4"/>
      <c r="J1331" s="4"/>
      <c r="K1331" s="4"/>
      <c r="L1331" s="8"/>
      <c r="M1331" s="7"/>
      <c r="N1331" s="7"/>
      <c r="O1331" s="7"/>
    </row>
    <row r="1332" spans="1:15" ht="25.5" x14ac:dyDescent="0.2">
      <c r="A1332" s="6">
        <v>45908</v>
      </c>
      <c r="B1332" s="11">
        <f>+MONTH(A1332)</f>
        <v>9</v>
      </c>
      <c r="C1332" s="11">
        <f>+WEEKNUM(A1332)</f>
        <v>37</v>
      </c>
      <c r="D1332" s="4" t="s">
        <v>1073</v>
      </c>
      <c r="E1332" s="4" t="s">
        <v>1074</v>
      </c>
      <c r="F1332" s="4">
        <v>573112061955</v>
      </c>
      <c r="G1332" s="4">
        <v>68621</v>
      </c>
      <c r="H1332" s="8" t="s">
        <v>13</v>
      </c>
      <c r="I1332" s="4" t="s">
        <v>1075</v>
      </c>
      <c r="J1332" s="4" t="s">
        <v>14</v>
      </c>
      <c r="K1332" s="4"/>
      <c r="L1332" s="8" t="s">
        <v>12</v>
      </c>
      <c r="M1332" s="7"/>
      <c r="N1332" s="7"/>
      <c r="O1332" s="7"/>
    </row>
    <row r="1333" spans="1:15" ht="12.75" x14ac:dyDescent="0.2">
      <c r="A1333" s="6">
        <v>45908</v>
      </c>
      <c r="B1333" s="11">
        <f>+MONTH(A1333)</f>
        <v>9</v>
      </c>
      <c r="C1333" s="11">
        <f>+WEEKNUM(A1333)</f>
        <v>37</v>
      </c>
      <c r="D1333" s="4" t="s">
        <v>1071</v>
      </c>
      <c r="E1333" s="4" t="s">
        <v>1072</v>
      </c>
      <c r="F1333" s="4">
        <v>573016245349</v>
      </c>
      <c r="G1333" s="4">
        <v>68656</v>
      </c>
      <c r="H1333" s="8"/>
      <c r="I1333" s="4"/>
      <c r="J1333" s="4"/>
      <c r="K1333" s="4"/>
      <c r="L1333" s="8"/>
      <c r="M1333" s="7"/>
      <c r="N1333" s="7"/>
      <c r="O1333" s="7"/>
    </row>
    <row r="1334" spans="1:15" ht="25.5" x14ac:dyDescent="0.2">
      <c r="A1334" s="6">
        <v>45908</v>
      </c>
      <c r="B1334" s="11">
        <f>+MONTH(A1334)</f>
        <v>9</v>
      </c>
      <c r="C1334" s="11">
        <f>+WEEKNUM(A1334)</f>
        <v>37</v>
      </c>
      <c r="D1334" s="4" t="s">
        <v>1069</v>
      </c>
      <c r="E1334" s="4" t="s">
        <v>1070</v>
      </c>
      <c r="F1334" s="4">
        <v>573133070754</v>
      </c>
      <c r="G1334" s="4">
        <v>68532</v>
      </c>
      <c r="H1334" s="8"/>
      <c r="I1334" s="4"/>
      <c r="J1334" s="4"/>
      <c r="K1334" s="4"/>
      <c r="L1334" s="8"/>
      <c r="M1334" s="7"/>
      <c r="N1334" s="7"/>
      <c r="O1334" s="7"/>
    </row>
    <row r="1335" spans="1:15" ht="12.75" x14ac:dyDescent="0.2">
      <c r="A1335" s="6">
        <v>45908</v>
      </c>
      <c r="B1335" s="11">
        <f>+MONTH(A1335)</f>
        <v>9</v>
      </c>
      <c r="C1335" s="11">
        <f>+WEEKNUM(A1335)</f>
        <v>37</v>
      </c>
      <c r="D1335" s="4" t="s">
        <v>1068</v>
      </c>
      <c r="E1335" s="4" t="s">
        <v>1068</v>
      </c>
      <c r="F1335" s="4">
        <v>573164681024</v>
      </c>
      <c r="G1335" s="4">
        <v>68598</v>
      </c>
      <c r="H1335" s="8"/>
      <c r="I1335" s="4"/>
      <c r="J1335" s="4"/>
      <c r="K1335" s="4"/>
      <c r="L1335" s="8"/>
      <c r="M1335" s="7"/>
      <c r="N1335" s="7"/>
      <c r="O1335" s="7"/>
    </row>
    <row r="1336" spans="1:15" ht="25.5" x14ac:dyDescent="0.2">
      <c r="A1336" s="6">
        <v>45908</v>
      </c>
      <c r="B1336" s="11">
        <f>+MONTH(A1336)</f>
        <v>9</v>
      </c>
      <c r="C1336" s="11">
        <f>+WEEKNUM(A1336)</f>
        <v>37</v>
      </c>
      <c r="D1336" s="4" t="s">
        <v>219</v>
      </c>
      <c r="E1336" s="4" t="s">
        <v>298</v>
      </c>
      <c r="F1336" s="4">
        <v>573215548428</v>
      </c>
      <c r="G1336" s="4">
        <v>68634</v>
      </c>
      <c r="H1336" s="8"/>
      <c r="I1336" s="4"/>
      <c r="J1336" s="4"/>
      <c r="K1336" s="4"/>
      <c r="L1336" s="8"/>
      <c r="M1336" s="7"/>
      <c r="N1336" s="7"/>
      <c r="O1336" s="7"/>
    </row>
    <row r="1337" spans="1:15" ht="25.5" x14ac:dyDescent="0.2">
      <c r="A1337" s="6">
        <v>45908</v>
      </c>
      <c r="B1337" s="11">
        <f>+MONTH(A1337)</f>
        <v>9</v>
      </c>
      <c r="C1337" s="11">
        <f>+WEEKNUM(A1337)</f>
        <v>37</v>
      </c>
      <c r="D1337" s="4" t="s">
        <v>1066</v>
      </c>
      <c r="E1337" s="4" t="s">
        <v>1067</v>
      </c>
      <c r="F1337" s="4">
        <v>573106297433</v>
      </c>
      <c r="G1337" s="4">
        <v>68223</v>
      </c>
      <c r="H1337" s="8" t="s">
        <v>22</v>
      </c>
      <c r="I1337" s="4"/>
      <c r="J1337" s="4"/>
      <c r="K1337" s="4"/>
      <c r="L1337" s="8" t="s">
        <v>12</v>
      </c>
      <c r="M1337" s="7"/>
      <c r="N1337" s="7"/>
      <c r="O1337" s="7"/>
    </row>
    <row r="1338" spans="1:15" ht="12.75" x14ac:dyDescent="0.2">
      <c r="A1338" s="6">
        <v>45908</v>
      </c>
      <c r="B1338" s="11">
        <f>+MONTH(A1338)</f>
        <v>9</v>
      </c>
      <c r="C1338" s="11">
        <f>+WEEKNUM(A1338)</f>
        <v>37</v>
      </c>
      <c r="D1338" s="4" t="s">
        <v>183</v>
      </c>
      <c r="E1338" s="4" t="s">
        <v>1065</v>
      </c>
      <c r="F1338" s="4">
        <v>573003437965</v>
      </c>
      <c r="G1338" s="4">
        <v>67042</v>
      </c>
      <c r="H1338" s="8"/>
      <c r="I1338" s="4"/>
      <c r="J1338" s="4"/>
      <c r="K1338" s="4"/>
      <c r="L1338" s="8"/>
      <c r="M1338" s="7"/>
      <c r="N1338" s="7"/>
      <c r="O1338" s="7"/>
    </row>
    <row r="1339" spans="1:15" ht="114.75" x14ac:dyDescent="0.2">
      <c r="A1339" s="6">
        <v>45908</v>
      </c>
      <c r="B1339" s="11">
        <f>+MONTH(A1339)</f>
        <v>9</v>
      </c>
      <c r="C1339" s="11">
        <f>+WEEKNUM(A1339)</f>
        <v>37</v>
      </c>
      <c r="D1339" s="4" t="s">
        <v>1062</v>
      </c>
      <c r="E1339" s="4" t="s">
        <v>1063</v>
      </c>
      <c r="F1339" s="4">
        <v>573043815710</v>
      </c>
      <c r="G1339" s="4">
        <v>68460</v>
      </c>
      <c r="H1339" s="8" t="s">
        <v>13</v>
      </c>
      <c r="I1339" s="4" t="s">
        <v>3352</v>
      </c>
      <c r="J1339" s="5" t="s">
        <v>1064</v>
      </c>
      <c r="K1339" s="4"/>
      <c r="L1339" s="8" t="s">
        <v>12</v>
      </c>
      <c r="M1339" s="7"/>
      <c r="N1339" s="7"/>
      <c r="O1339" s="7"/>
    </row>
    <row r="1340" spans="1:15" ht="12.75" x14ac:dyDescent="0.2">
      <c r="A1340" s="6">
        <v>45908</v>
      </c>
      <c r="B1340" s="11">
        <f>+MONTH(A1340)</f>
        <v>9</v>
      </c>
      <c r="C1340" s="11">
        <f>+WEEKNUM(A1340)</f>
        <v>37</v>
      </c>
      <c r="D1340" s="4" t="s">
        <v>1060</v>
      </c>
      <c r="E1340" s="4" t="s">
        <v>1061</v>
      </c>
      <c r="F1340" s="4">
        <v>573106044952</v>
      </c>
      <c r="G1340" s="4">
        <v>68456</v>
      </c>
      <c r="H1340" s="8"/>
      <c r="I1340" s="4"/>
      <c r="J1340" s="4"/>
      <c r="K1340" s="4"/>
      <c r="L1340" s="8"/>
      <c r="M1340" s="7"/>
      <c r="N1340" s="7"/>
      <c r="O1340" s="7"/>
    </row>
    <row r="1341" spans="1:15" ht="25.5" x14ac:dyDescent="0.2">
      <c r="A1341" s="6">
        <v>45908</v>
      </c>
      <c r="B1341" s="11">
        <f>+MONTH(A1341)</f>
        <v>9</v>
      </c>
      <c r="C1341" s="11">
        <f>+WEEKNUM(A1341)</f>
        <v>37</v>
      </c>
      <c r="D1341" s="4" t="s">
        <v>20</v>
      </c>
      <c r="E1341" s="4" t="s">
        <v>1059</v>
      </c>
      <c r="F1341" s="4">
        <v>573185158087</v>
      </c>
      <c r="G1341" s="4">
        <v>68509</v>
      </c>
      <c r="H1341" s="8"/>
      <c r="I1341" s="4"/>
      <c r="J1341" s="4"/>
      <c r="K1341" s="4"/>
      <c r="L1341" s="8"/>
      <c r="M1341" s="7"/>
      <c r="N1341" s="7"/>
      <c r="O1341" s="7"/>
    </row>
    <row r="1342" spans="1:15" ht="38.25" x14ac:dyDescent="0.2">
      <c r="A1342" s="6">
        <v>45906</v>
      </c>
      <c r="B1342" s="11">
        <f>+MONTH(A1342)</f>
        <v>9</v>
      </c>
      <c r="C1342" s="11">
        <f>+WEEKNUM(A1342)</f>
        <v>36</v>
      </c>
      <c r="D1342" s="4" t="s">
        <v>38</v>
      </c>
      <c r="E1342" s="4" t="s">
        <v>80</v>
      </c>
      <c r="F1342" s="4">
        <v>573006645517</v>
      </c>
      <c r="G1342" s="4">
        <v>68427</v>
      </c>
      <c r="H1342" s="8" t="s">
        <v>13</v>
      </c>
      <c r="I1342" s="4" t="s">
        <v>1058</v>
      </c>
      <c r="J1342" s="4" t="s">
        <v>23</v>
      </c>
      <c r="K1342" s="4"/>
      <c r="L1342" s="8" t="s">
        <v>12</v>
      </c>
      <c r="M1342" s="7"/>
      <c r="N1342" s="7"/>
      <c r="O1342" s="7"/>
    </row>
    <row r="1343" spans="1:15" ht="12.75" x14ac:dyDescent="0.2">
      <c r="A1343" s="6">
        <v>45906</v>
      </c>
      <c r="B1343" s="11">
        <f>+MONTH(A1343)</f>
        <v>9</v>
      </c>
      <c r="C1343" s="11">
        <f>+WEEKNUM(A1343)</f>
        <v>36</v>
      </c>
      <c r="D1343" s="4" t="s">
        <v>1056</v>
      </c>
      <c r="E1343" s="4" t="s">
        <v>1057</v>
      </c>
      <c r="F1343" s="4">
        <v>573204231062</v>
      </c>
      <c r="G1343" s="4">
        <v>68483</v>
      </c>
      <c r="H1343" s="8"/>
      <c r="I1343" s="4"/>
      <c r="J1343" s="4"/>
      <c r="K1343" s="4"/>
      <c r="L1343" s="8"/>
      <c r="M1343" s="7"/>
      <c r="N1343" s="7"/>
      <c r="O1343" s="7"/>
    </row>
    <row r="1344" spans="1:15" ht="12.75" x14ac:dyDescent="0.2">
      <c r="A1344" s="6">
        <v>45906</v>
      </c>
      <c r="B1344" s="11">
        <f>+MONTH(A1344)</f>
        <v>9</v>
      </c>
      <c r="C1344" s="11">
        <f>+WEEKNUM(A1344)</f>
        <v>36</v>
      </c>
      <c r="D1344" s="4" t="s">
        <v>1054</v>
      </c>
      <c r="E1344" s="4" t="s">
        <v>1055</v>
      </c>
      <c r="F1344" s="4">
        <v>573057105518</v>
      </c>
      <c r="G1344" s="4">
        <v>68384</v>
      </c>
      <c r="H1344" s="8"/>
      <c r="I1344" s="4"/>
      <c r="J1344" s="4"/>
      <c r="K1344" s="4"/>
      <c r="L1344" s="8"/>
      <c r="M1344" s="7"/>
      <c r="N1344" s="7"/>
      <c r="O1344" s="7"/>
    </row>
    <row r="1345" spans="1:15" ht="25.5" x14ac:dyDescent="0.2">
      <c r="A1345" s="6">
        <v>45906</v>
      </c>
      <c r="B1345" s="11">
        <f>+MONTH(A1345)</f>
        <v>9</v>
      </c>
      <c r="C1345" s="11">
        <f>+WEEKNUM(A1345)</f>
        <v>36</v>
      </c>
      <c r="D1345" s="4" t="s">
        <v>119</v>
      </c>
      <c r="E1345" s="4" t="s">
        <v>1053</v>
      </c>
      <c r="F1345" s="4">
        <v>573502791373</v>
      </c>
      <c r="G1345" s="4">
        <v>68423</v>
      </c>
      <c r="H1345" s="8"/>
      <c r="I1345" s="4"/>
      <c r="J1345" s="4"/>
      <c r="K1345" s="4"/>
      <c r="L1345" s="8"/>
      <c r="M1345" s="7"/>
      <c r="N1345" s="7"/>
      <c r="O1345" s="7"/>
    </row>
    <row r="1346" spans="1:15" ht="25.5" x14ac:dyDescent="0.2">
      <c r="A1346" s="6">
        <v>45906</v>
      </c>
      <c r="B1346" s="11">
        <f>+MONTH(A1346)</f>
        <v>9</v>
      </c>
      <c r="C1346" s="11">
        <f>+WEEKNUM(A1346)</f>
        <v>36</v>
      </c>
      <c r="D1346" s="4" t="s">
        <v>1051</v>
      </c>
      <c r="E1346" s="4" t="s">
        <v>1052</v>
      </c>
      <c r="F1346" s="4">
        <v>573146406916</v>
      </c>
      <c r="G1346" s="4">
        <v>68527</v>
      </c>
      <c r="H1346" s="8"/>
      <c r="I1346" s="4"/>
      <c r="J1346" s="4"/>
      <c r="K1346" s="4"/>
      <c r="L1346" s="8"/>
      <c r="M1346" s="7"/>
      <c r="N1346" s="7"/>
      <c r="O1346" s="7"/>
    </row>
    <row r="1347" spans="1:15" ht="204" x14ac:dyDescent="0.2">
      <c r="A1347" s="6">
        <v>45906</v>
      </c>
      <c r="B1347" s="11">
        <f>+MONTH(A1347)</f>
        <v>9</v>
      </c>
      <c r="C1347" s="11">
        <f>+WEEKNUM(A1347)</f>
        <v>36</v>
      </c>
      <c r="D1347" s="4" t="s">
        <v>1047</v>
      </c>
      <c r="E1347" s="4" t="s">
        <v>1048</v>
      </c>
      <c r="F1347" s="4">
        <v>573046356252</v>
      </c>
      <c r="G1347" s="4">
        <v>67871</v>
      </c>
      <c r="H1347" s="8" t="s">
        <v>13</v>
      </c>
      <c r="I1347" s="4" t="s">
        <v>1049</v>
      </c>
      <c r="J1347" s="5" t="s">
        <v>1050</v>
      </c>
      <c r="K1347" s="4"/>
      <c r="L1347" s="8" t="s">
        <v>12</v>
      </c>
      <c r="M1347" s="7"/>
      <c r="N1347" s="7"/>
      <c r="O1347" s="7"/>
    </row>
    <row r="1348" spans="1:15" ht="255" x14ac:dyDescent="0.2">
      <c r="A1348" s="6">
        <v>45906</v>
      </c>
      <c r="B1348" s="11">
        <f>+MONTH(A1348)</f>
        <v>9</v>
      </c>
      <c r="C1348" s="11">
        <f>+WEEKNUM(A1348)</f>
        <v>36</v>
      </c>
      <c r="D1348" s="4" t="s">
        <v>55</v>
      </c>
      <c r="E1348" s="4" t="s">
        <v>1045</v>
      </c>
      <c r="F1348" s="4">
        <v>573013186300</v>
      </c>
      <c r="G1348" s="4">
        <v>67426</v>
      </c>
      <c r="H1348" s="8" t="s">
        <v>13</v>
      </c>
      <c r="I1348" s="4" t="s">
        <v>1046</v>
      </c>
      <c r="J1348" s="4" t="s">
        <v>23</v>
      </c>
      <c r="K1348" s="4"/>
      <c r="L1348" s="8" t="s">
        <v>12</v>
      </c>
      <c r="M1348" s="7"/>
      <c r="N1348" s="7"/>
      <c r="O1348" s="7"/>
    </row>
    <row r="1349" spans="1:15" ht="25.5" x14ac:dyDescent="0.2">
      <c r="A1349" s="6">
        <v>45906</v>
      </c>
      <c r="B1349" s="11">
        <f>+MONTH(A1349)</f>
        <v>9</v>
      </c>
      <c r="C1349" s="11">
        <f>+WEEKNUM(A1349)</f>
        <v>36</v>
      </c>
      <c r="D1349" s="4" t="s">
        <v>1043</v>
      </c>
      <c r="E1349" s="4" t="s">
        <v>1044</v>
      </c>
      <c r="F1349" s="4">
        <v>573193518899</v>
      </c>
      <c r="G1349" s="4">
        <v>68170</v>
      </c>
      <c r="H1349" s="8"/>
      <c r="I1349" s="4"/>
      <c r="J1349" s="4"/>
      <c r="K1349" s="4"/>
      <c r="L1349" s="8"/>
      <c r="M1349" s="7"/>
      <c r="N1349" s="7"/>
      <c r="O1349" s="7"/>
    </row>
    <row r="1350" spans="1:15" ht="242.25" x14ac:dyDescent="0.2">
      <c r="A1350" s="6">
        <v>45906</v>
      </c>
      <c r="B1350" s="11">
        <f>+MONTH(A1350)</f>
        <v>9</v>
      </c>
      <c r="C1350" s="11">
        <f>+WEEKNUM(A1350)</f>
        <v>36</v>
      </c>
      <c r="D1350" s="4" t="s">
        <v>45</v>
      </c>
      <c r="E1350" s="4" t="s">
        <v>1041</v>
      </c>
      <c r="F1350" s="4">
        <v>573133963151</v>
      </c>
      <c r="G1350" s="4">
        <v>68279</v>
      </c>
      <c r="H1350" s="8" t="s">
        <v>22</v>
      </c>
      <c r="I1350" s="4" t="s">
        <v>1042</v>
      </c>
      <c r="J1350" s="4"/>
      <c r="K1350" s="4"/>
      <c r="L1350" s="8" t="s">
        <v>12</v>
      </c>
      <c r="M1350" s="7"/>
      <c r="N1350" s="7"/>
      <c r="O1350" s="7"/>
    </row>
    <row r="1351" spans="1:15" ht="12.75" x14ac:dyDescent="0.2">
      <c r="A1351" s="6">
        <v>45906</v>
      </c>
      <c r="B1351" s="11">
        <f>+MONTH(A1351)</f>
        <v>9</v>
      </c>
      <c r="C1351" s="11">
        <f>+WEEKNUM(A1351)</f>
        <v>36</v>
      </c>
      <c r="D1351" s="4" t="s">
        <v>1039</v>
      </c>
      <c r="E1351" s="4" t="s">
        <v>1040</v>
      </c>
      <c r="F1351" s="4">
        <v>573112244707</v>
      </c>
      <c r="G1351" s="4">
        <v>68164</v>
      </c>
      <c r="H1351" s="8"/>
      <c r="I1351" s="4"/>
      <c r="J1351" s="4"/>
      <c r="K1351" s="4"/>
      <c r="L1351" s="8"/>
      <c r="M1351" s="7"/>
      <c r="N1351" s="7"/>
      <c r="O1351" s="7"/>
    </row>
    <row r="1352" spans="1:15" ht="25.5" x14ac:dyDescent="0.2">
      <c r="A1352" s="6">
        <v>45906</v>
      </c>
      <c r="B1352" s="11">
        <f>+MONTH(A1352)</f>
        <v>9</v>
      </c>
      <c r="C1352" s="11">
        <f>+WEEKNUM(A1352)</f>
        <v>36</v>
      </c>
      <c r="D1352" s="4" t="s">
        <v>162</v>
      </c>
      <c r="E1352" s="4" t="s">
        <v>1038</v>
      </c>
      <c r="F1352" s="4">
        <v>573202017130</v>
      </c>
      <c r="G1352" s="4">
        <v>68275</v>
      </c>
      <c r="H1352" s="8" t="s">
        <v>13</v>
      </c>
      <c r="I1352" s="4" t="s">
        <v>243</v>
      </c>
      <c r="J1352" s="4" t="s">
        <v>23</v>
      </c>
      <c r="K1352" s="4"/>
      <c r="L1352" s="8" t="s">
        <v>12</v>
      </c>
      <c r="M1352" s="7"/>
      <c r="N1352" s="7"/>
      <c r="O1352" s="7"/>
    </row>
    <row r="1353" spans="1:15" ht="12.75" x14ac:dyDescent="0.2">
      <c r="A1353" s="6">
        <v>45905</v>
      </c>
      <c r="B1353" s="11">
        <f>+MONTH(A1353)</f>
        <v>9</v>
      </c>
      <c r="C1353" s="11">
        <f>+WEEKNUM(A1353)</f>
        <v>36</v>
      </c>
      <c r="D1353" s="4" t="s">
        <v>1036</v>
      </c>
      <c r="E1353" s="4" t="s">
        <v>1037</v>
      </c>
      <c r="F1353" s="4">
        <v>573142263731</v>
      </c>
      <c r="G1353" s="4">
        <v>68458</v>
      </c>
      <c r="H1353" s="8"/>
      <c r="I1353" s="4"/>
      <c r="J1353" s="4"/>
      <c r="K1353" s="4"/>
      <c r="L1353" s="8"/>
      <c r="M1353" s="7"/>
      <c r="N1353" s="7"/>
      <c r="O1353" s="7"/>
    </row>
    <row r="1354" spans="1:15" ht="165.75" x14ac:dyDescent="0.2">
      <c r="A1354" s="6">
        <v>45905</v>
      </c>
      <c r="B1354" s="11">
        <f>+MONTH(A1354)</f>
        <v>9</v>
      </c>
      <c r="C1354" s="11">
        <f>+WEEKNUM(A1354)</f>
        <v>36</v>
      </c>
      <c r="D1354" s="4" t="s">
        <v>1033</v>
      </c>
      <c r="E1354" s="4" t="s">
        <v>1034</v>
      </c>
      <c r="F1354" s="4">
        <v>573160534041</v>
      </c>
      <c r="G1354" s="4">
        <v>68074</v>
      </c>
      <c r="H1354" s="8" t="s">
        <v>13</v>
      </c>
      <c r="I1354" s="4" t="s">
        <v>1035</v>
      </c>
      <c r="J1354" s="4" t="s">
        <v>14</v>
      </c>
      <c r="K1354" s="4"/>
      <c r="L1354" s="8" t="s">
        <v>12</v>
      </c>
      <c r="M1354" s="7"/>
      <c r="N1354" s="7"/>
      <c r="O1354" s="7"/>
    </row>
    <row r="1355" spans="1:15" ht="38.25" x14ac:dyDescent="0.2">
      <c r="A1355" s="6">
        <v>45905</v>
      </c>
      <c r="B1355" s="11">
        <f>+MONTH(A1355)</f>
        <v>9</v>
      </c>
      <c r="C1355" s="11">
        <f>+WEEKNUM(A1355)</f>
        <v>36</v>
      </c>
      <c r="D1355" s="4" t="s">
        <v>172</v>
      </c>
      <c r="E1355" s="4" t="s">
        <v>1031</v>
      </c>
      <c r="F1355" s="4">
        <v>573204900565</v>
      </c>
      <c r="G1355" s="4">
        <v>68399</v>
      </c>
      <c r="H1355" s="8" t="s">
        <v>13</v>
      </c>
      <c r="I1355" s="4" t="s">
        <v>1032</v>
      </c>
      <c r="J1355" s="4" t="s">
        <v>14</v>
      </c>
      <c r="K1355" s="4"/>
      <c r="L1355" s="8" t="s">
        <v>12</v>
      </c>
      <c r="M1355" s="7"/>
      <c r="N1355" s="7"/>
      <c r="O1355" s="7"/>
    </row>
    <row r="1356" spans="1:15" ht="63.75" x14ac:dyDescent="0.2">
      <c r="A1356" s="6">
        <v>45905</v>
      </c>
      <c r="B1356" s="11">
        <f>+MONTH(A1356)</f>
        <v>9</v>
      </c>
      <c r="C1356" s="11">
        <f>+WEEKNUM(A1356)</f>
        <v>36</v>
      </c>
      <c r="D1356" s="4" t="s">
        <v>96</v>
      </c>
      <c r="E1356" s="4" t="s">
        <v>1029</v>
      </c>
      <c r="F1356" s="4">
        <v>573137463882</v>
      </c>
      <c r="G1356" s="4">
        <v>68005</v>
      </c>
      <c r="H1356" s="8" t="s">
        <v>13</v>
      </c>
      <c r="I1356" s="4" t="s">
        <v>1030</v>
      </c>
      <c r="J1356" s="4"/>
      <c r="K1356" s="4"/>
      <c r="L1356" s="8" t="s">
        <v>22</v>
      </c>
      <c r="M1356" s="7"/>
      <c r="N1356" s="7"/>
      <c r="O1356" s="7"/>
    </row>
    <row r="1357" spans="1:15" ht="12.75" x14ac:dyDescent="0.2">
      <c r="A1357" s="6">
        <v>45905</v>
      </c>
      <c r="B1357" s="11">
        <f>+MONTH(A1357)</f>
        <v>9</v>
      </c>
      <c r="C1357" s="11">
        <f>+WEEKNUM(A1357)</f>
        <v>36</v>
      </c>
      <c r="D1357" s="4" t="s">
        <v>1027</v>
      </c>
      <c r="E1357" s="4" t="s">
        <v>1028</v>
      </c>
      <c r="F1357" s="4">
        <v>573105583071</v>
      </c>
      <c r="G1357" s="4">
        <v>68198</v>
      </c>
      <c r="H1357" s="8"/>
      <c r="I1357" s="4"/>
      <c r="J1357" s="4"/>
      <c r="K1357" s="4"/>
      <c r="L1357" s="8"/>
      <c r="M1357" s="7"/>
      <c r="N1357" s="7"/>
      <c r="O1357" s="7"/>
    </row>
    <row r="1358" spans="1:15" ht="25.5" x14ac:dyDescent="0.2">
      <c r="A1358" s="6">
        <v>45905</v>
      </c>
      <c r="B1358" s="11">
        <f>+MONTH(A1358)</f>
        <v>9</v>
      </c>
      <c r="C1358" s="11">
        <f>+WEEKNUM(A1358)</f>
        <v>36</v>
      </c>
      <c r="D1358" s="4" t="s">
        <v>109</v>
      </c>
      <c r="E1358" s="4" t="s">
        <v>1026</v>
      </c>
      <c r="F1358" s="4">
        <v>573102809370</v>
      </c>
      <c r="G1358" s="4">
        <v>68013</v>
      </c>
      <c r="H1358" s="8"/>
      <c r="I1358" s="4"/>
      <c r="J1358" s="4"/>
      <c r="K1358" s="4"/>
      <c r="L1358" s="8"/>
      <c r="M1358" s="7"/>
      <c r="N1358" s="7"/>
      <c r="O1358" s="7"/>
    </row>
    <row r="1359" spans="1:15" ht="25.5" x14ac:dyDescent="0.2">
      <c r="A1359" s="6">
        <v>45905</v>
      </c>
      <c r="B1359" s="11">
        <f>+MONTH(A1359)</f>
        <v>9</v>
      </c>
      <c r="C1359" s="11">
        <f>+WEEKNUM(A1359)</f>
        <v>36</v>
      </c>
      <c r="D1359" s="4" t="s">
        <v>15</v>
      </c>
      <c r="E1359" s="4" t="s">
        <v>1025</v>
      </c>
      <c r="F1359" s="4">
        <v>573236246739</v>
      </c>
      <c r="G1359" s="4">
        <v>67970</v>
      </c>
      <c r="H1359" s="8"/>
      <c r="I1359" s="4"/>
      <c r="J1359" s="4"/>
      <c r="K1359" s="4"/>
      <c r="L1359" s="8"/>
      <c r="M1359" s="7"/>
      <c r="N1359" s="7"/>
      <c r="O1359" s="7"/>
    </row>
    <row r="1360" spans="1:15" ht="12.75" x14ac:dyDescent="0.2">
      <c r="A1360" s="6">
        <v>45905</v>
      </c>
      <c r="B1360" s="11">
        <f>+MONTH(A1360)</f>
        <v>9</v>
      </c>
      <c r="C1360" s="11">
        <f>+WEEKNUM(A1360)</f>
        <v>36</v>
      </c>
      <c r="D1360" s="4" t="s">
        <v>1024</v>
      </c>
      <c r="E1360" s="4" t="s">
        <v>230</v>
      </c>
      <c r="F1360" s="4">
        <v>573115951097</v>
      </c>
      <c r="G1360" s="4">
        <v>68433</v>
      </c>
      <c r="H1360" s="8"/>
      <c r="I1360" s="4"/>
      <c r="J1360" s="4"/>
      <c r="K1360" s="4"/>
      <c r="L1360" s="8"/>
      <c r="M1360" s="7"/>
      <c r="N1360" s="7"/>
      <c r="O1360" s="7"/>
    </row>
    <row r="1361" spans="1:15" ht="12.75" x14ac:dyDescent="0.2">
      <c r="A1361" s="6">
        <v>45905</v>
      </c>
      <c r="B1361" s="11">
        <f>+MONTH(A1361)</f>
        <v>9</v>
      </c>
      <c r="C1361" s="11">
        <f>+WEEKNUM(A1361)</f>
        <v>36</v>
      </c>
      <c r="D1361" s="4" t="s">
        <v>1022</v>
      </c>
      <c r="E1361" s="4" t="s">
        <v>1023</v>
      </c>
      <c r="F1361" s="4">
        <v>573014898864</v>
      </c>
      <c r="G1361" s="4">
        <v>68175</v>
      </c>
      <c r="H1361" s="8"/>
      <c r="I1361" s="4"/>
      <c r="J1361" s="4"/>
      <c r="K1361" s="4"/>
      <c r="L1361" s="8"/>
      <c r="M1361" s="7"/>
      <c r="N1361" s="7"/>
      <c r="O1361" s="7"/>
    </row>
    <row r="1362" spans="1:15" ht="12.75" x14ac:dyDescent="0.2">
      <c r="A1362" s="6">
        <v>45905</v>
      </c>
      <c r="B1362" s="11">
        <f>+MONTH(A1362)</f>
        <v>9</v>
      </c>
      <c r="C1362" s="11">
        <f>+WEEKNUM(A1362)</f>
        <v>36</v>
      </c>
      <c r="D1362" s="4" t="s">
        <v>1020</v>
      </c>
      <c r="E1362" s="4" t="s">
        <v>1021</v>
      </c>
      <c r="F1362" s="4">
        <v>573142996444</v>
      </c>
      <c r="G1362" s="4">
        <v>68455</v>
      </c>
      <c r="H1362" s="8"/>
      <c r="I1362" s="4"/>
      <c r="J1362" s="4"/>
      <c r="K1362" s="4"/>
      <c r="L1362" s="8"/>
      <c r="M1362" s="7"/>
      <c r="N1362" s="7"/>
      <c r="O1362" s="7"/>
    </row>
    <row r="1363" spans="1:15" ht="12.75" x14ac:dyDescent="0.2">
      <c r="A1363" s="6">
        <v>45905</v>
      </c>
      <c r="B1363" s="11">
        <f>+MONTH(A1363)</f>
        <v>9</v>
      </c>
      <c r="C1363" s="11">
        <f>+WEEKNUM(A1363)</f>
        <v>36</v>
      </c>
      <c r="D1363" s="4" t="s">
        <v>78</v>
      </c>
      <c r="E1363" s="4" t="s">
        <v>1019</v>
      </c>
      <c r="F1363" s="4">
        <v>573134676079</v>
      </c>
      <c r="G1363" s="4">
        <v>68314</v>
      </c>
      <c r="H1363" s="8"/>
      <c r="I1363" s="4"/>
      <c r="J1363" s="4"/>
      <c r="K1363" s="4"/>
      <c r="L1363" s="8"/>
      <c r="M1363" s="7"/>
      <c r="N1363" s="7"/>
      <c r="O1363" s="7"/>
    </row>
    <row r="1364" spans="1:15" ht="51" x14ac:dyDescent="0.2">
      <c r="A1364" s="6">
        <v>45905</v>
      </c>
      <c r="B1364" s="11">
        <f>+MONTH(A1364)</f>
        <v>9</v>
      </c>
      <c r="C1364" s="11">
        <f>+WEEKNUM(A1364)</f>
        <v>36</v>
      </c>
      <c r="D1364" s="4" t="s">
        <v>315</v>
      </c>
      <c r="E1364" s="4" t="s">
        <v>1017</v>
      </c>
      <c r="F1364" s="4">
        <v>573164284350</v>
      </c>
      <c r="G1364" s="4">
        <v>68447</v>
      </c>
      <c r="H1364" s="8" t="s">
        <v>13</v>
      </c>
      <c r="I1364" s="4" t="s">
        <v>1018</v>
      </c>
      <c r="J1364" s="4" t="s">
        <v>14</v>
      </c>
      <c r="K1364" s="4"/>
      <c r="L1364" s="8" t="s">
        <v>12</v>
      </c>
      <c r="M1364" s="7"/>
      <c r="N1364" s="7"/>
      <c r="O1364" s="7"/>
    </row>
    <row r="1365" spans="1:15" ht="12.75" x14ac:dyDescent="0.2">
      <c r="A1365" s="6">
        <v>45905</v>
      </c>
      <c r="B1365" s="11">
        <f>+MONTH(A1365)</f>
        <v>9</v>
      </c>
      <c r="C1365" s="11">
        <f>+WEEKNUM(A1365)</f>
        <v>36</v>
      </c>
      <c r="D1365" s="4" t="s">
        <v>108</v>
      </c>
      <c r="E1365" s="4" t="s">
        <v>1016</v>
      </c>
      <c r="F1365" s="4">
        <v>573148642142</v>
      </c>
      <c r="G1365" s="4">
        <v>65984</v>
      </c>
      <c r="H1365" s="8"/>
      <c r="I1365" s="4"/>
      <c r="J1365" s="4"/>
      <c r="K1365" s="4"/>
      <c r="L1365" s="8"/>
      <c r="M1365" s="7"/>
      <c r="N1365" s="7"/>
      <c r="O1365" s="7"/>
    </row>
    <row r="1366" spans="1:15" ht="12.75" x14ac:dyDescent="0.2">
      <c r="A1366" s="6">
        <v>45905</v>
      </c>
      <c r="B1366" s="11">
        <f>+MONTH(A1366)</f>
        <v>9</v>
      </c>
      <c r="C1366" s="11">
        <f>+WEEKNUM(A1366)</f>
        <v>36</v>
      </c>
      <c r="D1366" s="4" t="s">
        <v>317</v>
      </c>
      <c r="E1366" s="4" t="s">
        <v>1015</v>
      </c>
      <c r="F1366" s="4">
        <v>573155901249</v>
      </c>
      <c r="G1366" s="4">
        <v>68317</v>
      </c>
      <c r="H1366" s="8"/>
      <c r="I1366" s="4"/>
      <c r="J1366" s="4"/>
      <c r="K1366" s="4"/>
      <c r="L1366" s="8"/>
      <c r="M1366" s="7"/>
      <c r="N1366" s="7"/>
      <c r="O1366" s="7"/>
    </row>
    <row r="1367" spans="1:15" ht="12.75" x14ac:dyDescent="0.2">
      <c r="A1367" s="6">
        <v>45905</v>
      </c>
      <c r="B1367" s="11">
        <f>+MONTH(A1367)</f>
        <v>9</v>
      </c>
      <c r="C1367" s="11">
        <f>+WEEKNUM(A1367)</f>
        <v>36</v>
      </c>
      <c r="D1367" s="4" t="s">
        <v>289</v>
      </c>
      <c r="E1367" s="4" t="s">
        <v>1014</v>
      </c>
      <c r="F1367" s="4">
        <v>573005410257</v>
      </c>
      <c r="G1367" s="4">
        <v>67415</v>
      </c>
      <c r="H1367" s="8"/>
      <c r="I1367" s="4"/>
      <c r="J1367" s="4"/>
      <c r="K1367" s="4"/>
      <c r="L1367" s="8"/>
      <c r="M1367" s="7"/>
      <c r="N1367" s="7"/>
      <c r="O1367" s="7"/>
    </row>
    <row r="1368" spans="1:15" ht="409.5" x14ac:dyDescent="0.2">
      <c r="A1368" s="6">
        <v>45905</v>
      </c>
      <c r="B1368" s="11">
        <f>+MONTH(A1368)</f>
        <v>9</v>
      </c>
      <c r="C1368" s="11">
        <f>+WEEKNUM(A1368)</f>
        <v>36</v>
      </c>
      <c r="D1368" s="4" t="s">
        <v>60</v>
      </c>
      <c r="E1368" s="4" t="s">
        <v>1011</v>
      </c>
      <c r="F1368" s="4">
        <v>573017446826</v>
      </c>
      <c r="G1368" s="4">
        <v>67774</v>
      </c>
      <c r="H1368" s="8" t="s">
        <v>13</v>
      </c>
      <c r="I1368" s="4" t="s">
        <v>1012</v>
      </c>
      <c r="J1368" s="5" t="s">
        <v>1013</v>
      </c>
      <c r="K1368" s="4"/>
      <c r="L1368" s="8" t="s">
        <v>12</v>
      </c>
      <c r="M1368" s="7"/>
      <c r="N1368" s="7"/>
      <c r="O1368" s="7"/>
    </row>
    <row r="1369" spans="1:15" ht="12.75" x14ac:dyDescent="0.2">
      <c r="A1369" s="6">
        <v>45905</v>
      </c>
      <c r="B1369" s="11">
        <f>+MONTH(A1369)</f>
        <v>9</v>
      </c>
      <c r="C1369" s="11">
        <f>+WEEKNUM(A1369)</f>
        <v>36</v>
      </c>
      <c r="D1369" s="4" t="s">
        <v>45</v>
      </c>
      <c r="E1369" s="4" t="s">
        <v>167</v>
      </c>
      <c r="F1369" s="4">
        <v>573232831525</v>
      </c>
      <c r="G1369" s="4">
        <v>68077</v>
      </c>
      <c r="H1369" s="8"/>
      <c r="I1369" s="4"/>
      <c r="J1369" s="4"/>
      <c r="K1369" s="4"/>
      <c r="L1369" s="8"/>
      <c r="M1369" s="7"/>
      <c r="N1369" s="7"/>
      <c r="O1369" s="7"/>
    </row>
    <row r="1370" spans="1:15" ht="51" x14ac:dyDescent="0.2">
      <c r="A1370" s="6">
        <v>45904</v>
      </c>
      <c r="B1370" s="11">
        <f>+MONTH(A1370)</f>
        <v>9</v>
      </c>
      <c r="C1370" s="11">
        <f>+WEEKNUM(A1370)</f>
        <v>36</v>
      </c>
      <c r="D1370" s="4" t="s">
        <v>145</v>
      </c>
      <c r="E1370" s="4" t="s">
        <v>85</v>
      </c>
      <c r="F1370" s="4">
        <v>573102646945</v>
      </c>
      <c r="G1370" s="4">
        <v>67710</v>
      </c>
      <c r="H1370" s="8" t="s">
        <v>13</v>
      </c>
      <c r="I1370" s="4" t="s">
        <v>1009</v>
      </c>
      <c r="J1370" s="5" t="s">
        <v>1010</v>
      </c>
      <c r="K1370" s="4"/>
      <c r="L1370" s="8" t="s">
        <v>12</v>
      </c>
      <c r="M1370" s="7"/>
      <c r="N1370" s="7"/>
      <c r="O1370" s="7"/>
    </row>
    <row r="1371" spans="1:15" ht="12.75" x14ac:dyDescent="0.2">
      <c r="A1371" s="6">
        <v>45904</v>
      </c>
      <c r="B1371" s="11">
        <f>+MONTH(A1371)</f>
        <v>9</v>
      </c>
      <c r="C1371" s="11">
        <f>+WEEKNUM(A1371)</f>
        <v>36</v>
      </c>
      <c r="D1371" s="4" t="s">
        <v>258</v>
      </c>
      <c r="E1371" s="4" t="s">
        <v>1008</v>
      </c>
      <c r="F1371" s="4">
        <v>573505816828</v>
      </c>
      <c r="G1371" s="4">
        <v>68131</v>
      </c>
      <c r="H1371" s="8"/>
      <c r="I1371" s="4"/>
      <c r="J1371" s="4"/>
      <c r="K1371" s="4"/>
      <c r="L1371" s="8"/>
      <c r="M1371" s="7"/>
      <c r="N1371" s="7"/>
      <c r="O1371" s="7"/>
    </row>
    <row r="1372" spans="1:15" ht="12.75" x14ac:dyDescent="0.2">
      <c r="A1372" s="6">
        <v>45904</v>
      </c>
      <c r="B1372" s="11">
        <f>+MONTH(A1372)</f>
        <v>9</v>
      </c>
      <c r="C1372" s="11">
        <f>+WEEKNUM(A1372)</f>
        <v>36</v>
      </c>
      <c r="D1372" s="4" t="s">
        <v>1006</v>
      </c>
      <c r="E1372" s="4" t="s">
        <v>1007</v>
      </c>
      <c r="F1372" s="4">
        <v>573219477291</v>
      </c>
      <c r="G1372" s="4">
        <v>68130</v>
      </c>
      <c r="H1372" s="8"/>
      <c r="I1372" s="4"/>
      <c r="J1372" s="4"/>
      <c r="K1372" s="4"/>
      <c r="L1372" s="8"/>
      <c r="M1372" s="7"/>
      <c r="N1372" s="7"/>
      <c r="O1372" s="7"/>
    </row>
    <row r="1373" spans="1:15" ht="12.75" x14ac:dyDescent="0.2">
      <c r="A1373" s="6">
        <v>45904</v>
      </c>
      <c r="B1373" s="11">
        <f>+MONTH(A1373)</f>
        <v>9</v>
      </c>
      <c r="C1373" s="11">
        <f>+WEEKNUM(A1373)</f>
        <v>36</v>
      </c>
      <c r="D1373" s="4" t="s">
        <v>1005</v>
      </c>
      <c r="E1373" s="4" t="s">
        <v>148</v>
      </c>
      <c r="F1373" s="4">
        <v>573116767594</v>
      </c>
      <c r="G1373" s="4">
        <v>68270</v>
      </c>
      <c r="H1373" s="8"/>
      <c r="I1373" s="4"/>
      <c r="J1373" s="4"/>
      <c r="K1373" s="4"/>
      <c r="L1373" s="8"/>
      <c r="M1373" s="7"/>
      <c r="N1373" s="7"/>
      <c r="O1373" s="7"/>
    </row>
    <row r="1374" spans="1:15" ht="242.25" x14ac:dyDescent="0.2">
      <c r="A1374" s="6">
        <v>45904</v>
      </c>
      <c r="B1374" s="11">
        <f>+MONTH(A1374)</f>
        <v>9</v>
      </c>
      <c r="C1374" s="11">
        <f>+WEEKNUM(A1374)</f>
        <v>36</v>
      </c>
      <c r="D1374" s="4" t="s">
        <v>77</v>
      </c>
      <c r="E1374" s="4" t="s">
        <v>1004</v>
      </c>
      <c r="F1374" s="4">
        <v>573137459138</v>
      </c>
      <c r="G1374" s="4">
        <v>67421</v>
      </c>
      <c r="H1374" s="8" t="s">
        <v>22</v>
      </c>
      <c r="I1374" s="4" t="s">
        <v>3372</v>
      </c>
      <c r="J1374" s="4"/>
      <c r="K1374" s="4"/>
      <c r="L1374" s="8" t="s">
        <v>22</v>
      </c>
      <c r="M1374" s="7"/>
      <c r="N1374" s="7"/>
      <c r="O1374" s="7"/>
    </row>
    <row r="1375" spans="1:15" ht="25.5" x14ac:dyDescent="0.2">
      <c r="A1375" s="6">
        <v>45904</v>
      </c>
      <c r="B1375" s="11">
        <f>+MONTH(A1375)</f>
        <v>9</v>
      </c>
      <c r="C1375" s="11">
        <f>+WEEKNUM(A1375)</f>
        <v>36</v>
      </c>
      <c r="D1375" s="4" t="s">
        <v>1003</v>
      </c>
      <c r="E1375" s="4" t="s">
        <v>1003</v>
      </c>
      <c r="F1375" s="4">
        <v>573138073348</v>
      </c>
      <c r="G1375" s="4">
        <v>68286</v>
      </c>
      <c r="H1375" s="8"/>
      <c r="I1375" s="4"/>
      <c r="J1375" s="4"/>
      <c r="K1375" s="4"/>
      <c r="L1375" s="8"/>
      <c r="M1375" s="7"/>
      <c r="N1375" s="7"/>
      <c r="O1375" s="7"/>
    </row>
    <row r="1376" spans="1:15" ht="76.5" x14ac:dyDescent="0.2">
      <c r="A1376" s="6">
        <v>45904</v>
      </c>
      <c r="B1376" s="11">
        <f>+MONTH(A1376)</f>
        <v>9</v>
      </c>
      <c r="C1376" s="11">
        <f>+WEEKNUM(A1376)</f>
        <v>36</v>
      </c>
      <c r="D1376" s="4" t="s">
        <v>48</v>
      </c>
      <c r="E1376" s="4" t="s">
        <v>1001</v>
      </c>
      <c r="F1376" s="4">
        <v>573118299491</v>
      </c>
      <c r="G1376" s="4">
        <v>68208</v>
      </c>
      <c r="H1376" s="8" t="s">
        <v>13</v>
      </c>
      <c r="I1376" s="4" t="s">
        <v>1002</v>
      </c>
      <c r="J1376" s="4"/>
      <c r="K1376" s="4"/>
      <c r="L1376" s="8" t="s">
        <v>71</v>
      </c>
      <c r="M1376" s="7"/>
      <c r="N1376" s="7"/>
      <c r="O1376" s="7"/>
    </row>
    <row r="1377" spans="1:15" ht="63.75" x14ac:dyDescent="0.2">
      <c r="A1377" s="6">
        <v>45904</v>
      </c>
      <c r="B1377" s="11">
        <f>+MONTH(A1377)</f>
        <v>9</v>
      </c>
      <c r="C1377" s="11">
        <f>+WEEKNUM(A1377)</f>
        <v>36</v>
      </c>
      <c r="D1377" s="4" t="s">
        <v>997</v>
      </c>
      <c r="E1377" s="4" t="s">
        <v>998</v>
      </c>
      <c r="F1377" s="4">
        <v>573112100041</v>
      </c>
      <c r="G1377" s="4">
        <v>68304</v>
      </c>
      <c r="H1377" s="8" t="s">
        <v>13</v>
      </c>
      <c r="I1377" s="4" t="s">
        <v>999</v>
      </c>
      <c r="J1377" s="5" t="s">
        <v>1000</v>
      </c>
      <c r="K1377" s="4"/>
      <c r="L1377" s="8" t="s">
        <v>12</v>
      </c>
      <c r="M1377" s="7"/>
      <c r="N1377" s="7"/>
      <c r="O1377" s="7"/>
    </row>
    <row r="1378" spans="1:15" ht="51" x14ac:dyDescent="0.2">
      <c r="A1378" s="6">
        <v>45904</v>
      </c>
      <c r="B1378" s="11">
        <f>+MONTH(A1378)</f>
        <v>9</v>
      </c>
      <c r="C1378" s="11">
        <f>+WEEKNUM(A1378)</f>
        <v>36</v>
      </c>
      <c r="D1378" s="4" t="s">
        <v>993</v>
      </c>
      <c r="E1378" s="4" t="s">
        <v>994</v>
      </c>
      <c r="F1378" s="4">
        <v>573106804383</v>
      </c>
      <c r="G1378" s="4">
        <v>68182</v>
      </c>
      <c r="H1378" s="8" t="s">
        <v>13</v>
      </c>
      <c r="I1378" s="4" t="s">
        <v>995</v>
      </c>
      <c r="J1378" s="5" t="s">
        <v>996</v>
      </c>
      <c r="K1378" s="4"/>
      <c r="L1378" s="8" t="s">
        <v>12</v>
      </c>
      <c r="M1378" s="7"/>
      <c r="N1378" s="7"/>
      <c r="O1378" s="7"/>
    </row>
    <row r="1379" spans="1:15" ht="12.75" x14ac:dyDescent="0.2">
      <c r="A1379" s="6">
        <v>45904</v>
      </c>
      <c r="B1379" s="11">
        <f>+MONTH(A1379)</f>
        <v>9</v>
      </c>
      <c r="C1379" s="11">
        <f>+WEEKNUM(A1379)</f>
        <v>36</v>
      </c>
      <c r="D1379" s="4" t="s">
        <v>991</v>
      </c>
      <c r="E1379" s="4" t="s">
        <v>992</v>
      </c>
      <c r="F1379" s="4">
        <v>573102058710</v>
      </c>
      <c r="G1379" s="4">
        <v>67986</v>
      </c>
      <c r="H1379" s="8"/>
      <c r="I1379" s="4"/>
      <c r="J1379" s="4"/>
      <c r="K1379" s="4"/>
      <c r="L1379" s="8"/>
      <c r="M1379" s="7"/>
      <c r="N1379" s="7"/>
      <c r="O1379" s="7"/>
    </row>
    <row r="1380" spans="1:15" ht="25.5" x14ac:dyDescent="0.2">
      <c r="A1380" s="6">
        <v>45904</v>
      </c>
      <c r="B1380" s="11">
        <f>+MONTH(A1380)</f>
        <v>9</v>
      </c>
      <c r="C1380" s="11">
        <f>+WEEKNUM(A1380)</f>
        <v>36</v>
      </c>
      <c r="D1380" s="4" t="s">
        <v>989</v>
      </c>
      <c r="E1380" s="4" t="s">
        <v>990</v>
      </c>
      <c r="F1380" s="4">
        <v>573125978873</v>
      </c>
      <c r="G1380" s="4">
        <v>67800</v>
      </c>
      <c r="H1380" s="8"/>
      <c r="I1380" s="4"/>
      <c r="J1380" s="4"/>
      <c r="K1380" s="4"/>
      <c r="L1380" s="8"/>
      <c r="M1380" s="7"/>
      <c r="N1380" s="7"/>
      <c r="O1380" s="7"/>
    </row>
    <row r="1381" spans="1:15" ht="12.75" x14ac:dyDescent="0.2">
      <c r="A1381" s="6">
        <v>45904</v>
      </c>
      <c r="B1381" s="11">
        <f>+MONTH(A1381)</f>
        <v>9</v>
      </c>
      <c r="C1381" s="11">
        <f>+WEEKNUM(A1381)</f>
        <v>36</v>
      </c>
      <c r="D1381" s="4" t="s">
        <v>59</v>
      </c>
      <c r="E1381" s="4" t="s">
        <v>988</v>
      </c>
      <c r="F1381" s="4">
        <v>573168752115</v>
      </c>
      <c r="G1381" s="4">
        <v>67763</v>
      </c>
      <c r="H1381" s="8"/>
      <c r="I1381" s="4"/>
      <c r="J1381" s="4"/>
      <c r="K1381" s="4"/>
      <c r="L1381" s="8"/>
      <c r="M1381" s="7"/>
      <c r="N1381" s="7"/>
      <c r="O1381" s="7"/>
    </row>
    <row r="1382" spans="1:15" ht="242.25" x14ac:dyDescent="0.2">
      <c r="A1382" s="6">
        <v>45904</v>
      </c>
      <c r="B1382" s="11">
        <f>+MONTH(A1382)</f>
        <v>9</v>
      </c>
      <c r="C1382" s="11">
        <f>+WEEKNUM(A1382)</f>
        <v>36</v>
      </c>
      <c r="D1382" s="4" t="s">
        <v>985</v>
      </c>
      <c r="E1382" s="4" t="s">
        <v>986</v>
      </c>
      <c r="F1382" s="4">
        <v>573503932736</v>
      </c>
      <c r="G1382" s="4">
        <v>66564</v>
      </c>
      <c r="H1382" s="8" t="s">
        <v>13</v>
      </c>
      <c r="I1382" s="4" t="s">
        <v>3353</v>
      </c>
      <c r="J1382" s="5" t="s">
        <v>987</v>
      </c>
      <c r="K1382" s="4"/>
      <c r="L1382" s="8" t="s">
        <v>12</v>
      </c>
      <c r="M1382" s="7"/>
      <c r="N1382" s="7"/>
      <c r="O1382" s="7"/>
    </row>
    <row r="1383" spans="1:15" ht="127.5" x14ac:dyDescent="0.2">
      <c r="A1383" s="6">
        <v>45904</v>
      </c>
      <c r="B1383" s="11">
        <f>+MONTH(A1383)</f>
        <v>9</v>
      </c>
      <c r="C1383" s="11">
        <f>+WEEKNUM(A1383)</f>
        <v>36</v>
      </c>
      <c r="D1383" s="4" t="s">
        <v>140</v>
      </c>
      <c r="E1383" s="4" t="s">
        <v>181</v>
      </c>
      <c r="F1383" s="4">
        <v>573138429178</v>
      </c>
      <c r="G1383" s="4">
        <v>67978</v>
      </c>
      <c r="H1383" s="8" t="s">
        <v>13</v>
      </c>
      <c r="I1383" s="4" t="s">
        <v>3354</v>
      </c>
      <c r="J1383" s="5" t="s">
        <v>984</v>
      </c>
      <c r="K1383" s="4"/>
      <c r="L1383" s="8" t="s">
        <v>12</v>
      </c>
      <c r="M1383" s="7"/>
      <c r="N1383" s="7"/>
      <c r="O1383" s="7"/>
    </row>
    <row r="1384" spans="1:15" ht="127.5" x14ac:dyDescent="0.2">
      <c r="A1384" s="6">
        <v>45903</v>
      </c>
      <c r="B1384" s="11">
        <f>+MONTH(A1384)</f>
        <v>9</v>
      </c>
      <c r="C1384" s="11">
        <f>+WEEKNUM(A1384)</f>
        <v>36</v>
      </c>
      <c r="D1384" s="4" t="s">
        <v>981</v>
      </c>
      <c r="E1384" s="4" t="s">
        <v>982</v>
      </c>
      <c r="F1384" s="4">
        <v>573114721132</v>
      </c>
      <c r="G1384" s="4">
        <v>67840</v>
      </c>
      <c r="H1384" s="8" t="s">
        <v>13</v>
      </c>
      <c r="I1384" s="4" t="s">
        <v>983</v>
      </c>
      <c r="J1384" s="4" t="s">
        <v>14</v>
      </c>
      <c r="K1384" s="4"/>
      <c r="L1384" s="8" t="s">
        <v>12</v>
      </c>
      <c r="M1384" s="7"/>
      <c r="N1384" s="7"/>
      <c r="O1384" s="7"/>
    </row>
    <row r="1385" spans="1:15" ht="25.5" x14ac:dyDescent="0.2">
      <c r="A1385" s="6">
        <v>45903</v>
      </c>
      <c r="B1385" s="11">
        <f>+MONTH(A1385)</f>
        <v>9</v>
      </c>
      <c r="C1385" s="11">
        <f>+WEEKNUM(A1385)</f>
        <v>36</v>
      </c>
      <c r="D1385" s="4" t="s">
        <v>86</v>
      </c>
      <c r="E1385" s="4" t="s">
        <v>980</v>
      </c>
      <c r="F1385" s="4">
        <v>573146339529</v>
      </c>
      <c r="G1385" s="4">
        <v>68210</v>
      </c>
      <c r="H1385" s="8"/>
      <c r="I1385" s="4"/>
      <c r="J1385" s="4"/>
      <c r="K1385" s="4"/>
      <c r="L1385" s="8"/>
      <c r="M1385" s="7"/>
      <c r="N1385" s="7"/>
      <c r="O1385" s="7"/>
    </row>
    <row r="1386" spans="1:15" ht="12.75" x14ac:dyDescent="0.2">
      <c r="A1386" s="6">
        <v>45903</v>
      </c>
      <c r="B1386" s="11">
        <f>+MONTH(A1386)</f>
        <v>9</v>
      </c>
      <c r="C1386" s="11">
        <f>+WEEKNUM(A1386)</f>
        <v>36</v>
      </c>
      <c r="D1386" s="4" t="s">
        <v>63</v>
      </c>
      <c r="E1386" s="4" t="s">
        <v>215</v>
      </c>
      <c r="F1386" s="4">
        <v>573005688485</v>
      </c>
      <c r="G1386" s="4">
        <v>68282</v>
      </c>
      <c r="H1386" s="8"/>
      <c r="I1386" s="4"/>
      <c r="J1386" s="4"/>
      <c r="K1386" s="4"/>
      <c r="L1386" s="8"/>
      <c r="M1386" s="7"/>
      <c r="N1386" s="7"/>
      <c r="O1386" s="7"/>
    </row>
    <row r="1387" spans="1:15" ht="12.75" x14ac:dyDescent="0.2">
      <c r="A1387" s="6">
        <v>45903</v>
      </c>
      <c r="B1387" s="11">
        <f>+MONTH(A1387)</f>
        <v>9</v>
      </c>
      <c r="C1387" s="11">
        <f>+WEEKNUM(A1387)</f>
        <v>36</v>
      </c>
      <c r="D1387" s="4" t="s">
        <v>67</v>
      </c>
      <c r="E1387" s="4" t="s">
        <v>28</v>
      </c>
      <c r="F1387" s="4">
        <v>573150473439</v>
      </c>
      <c r="G1387" s="4">
        <v>68209</v>
      </c>
      <c r="H1387" s="8"/>
      <c r="I1387" s="4"/>
      <c r="J1387" s="4"/>
      <c r="K1387" s="4"/>
      <c r="L1387" s="8"/>
      <c r="M1387" s="7"/>
      <c r="N1387" s="7"/>
      <c r="O1387" s="7"/>
    </row>
    <row r="1388" spans="1:15" ht="12.75" x14ac:dyDescent="0.2">
      <c r="A1388" s="6">
        <v>45903</v>
      </c>
      <c r="B1388" s="11">
        <f>+MONTH(A1388)</f>
        <v>9</v>
      </c>
      <c r="C1388" s="11">
        <f>+WEEKNUM(A1388)</f>
        <v>36</v>
      </c>
      <c r="D1388" s="4" t="s">
        <v>978</v>
      </c>
      <c r="E1388" s="4" t="s">
        <v>979</v>
      </c>
      <c r="F1388" s="4">
        <v>573214709799</v>
      </c>
      <c r="G1388" s="4">
        <v>68133</v>
      </c>
      <c r="H1388" s="8"/>
      <c r="I1388" s="4"/>
      <c r="J1388" s="4"/>
      <c r="K1388" s="4"/>
      <c r="L1388" s="8"/>
      <c r="M1388" s="7"/>
      <c r="N1388" s="7"/>
      <c r="O1388" s="7"/>
    </row>
    <row r="1389" spans="1:15" ht="12.75" x14ac:dyDescent="0.2">
      <c r="A1389" s="6">
        <v>45903</v>
      </c>
      <c r="B1389" s="11">
        <f>+MONTH(A1389)</f>
        <v>9</v>
      </c>
      <c r="C1389" s="11">
        <f>+WEEKNUM(A1389)</f>
        <v>36</v>
      </c>
      <c r="D1389" s="4" t="s">
        <v>258</v>
      </c>
      <c r="E1389" s="4" t="s">
        <v>977</v>
      </c>
      <c r="F1389" s="4">
        <v>573207559958</v>
      </c>
      <c r="G1389" s="4">
        <v>67998</v>
      </c>
      <c r="H1389" s="8"/>
      <c r="I1389" s="4"/>
      <c r="J1389" s="4"/>
      <c r="K1389" s="4"/>
      <c r="L1389" s="8"/>
      <c r="M1389" s="7"/>
      <c r="N1389" s="7"/>
      <c r="O1389" s="7"/>
    </row>
    <row r="1390" spans="1:15" ht="12.75" x14ac:dyDescent="0.2">
      <c r="A1390" s="6">
        <v>45903</v>
      </c>
      <c r="B1390" s="11">
        <f>+MONTH(A1390)</f>
        <v>9</v>
      </c>
      <c r="C1390" s="11">
        <f>+WEEKNUM(A1390)</f>
        <v>36</v>
      </c>
      <c r="D1390" s="4" t="s">
        <v>36</v>
      </c>
      <c r="E1390" s="4" t="s">
        <v>976</v>
      </c>
      <c r="F1390" s="4">
        <v>573105541829</v>
      </c>
      <c r="G1390" s="4">
        <v>67308</v>
      </c>
      <c r="H1390" s="8"/>
      <c r="I1390" s="4"/>
      <c r="J1390" s="4"/>
      <c r="K1390" s="4"/>
      <c r="L1390" s="8"/>
      <c r="M1390" s="7"/>
      <c r="N1390" s="7"/>
      <c r="O1390" s="7"/>
    </row>
    <row r="1391" spans="1:15" ht="12.75" x14ac:dyDescent="0.2">
      <c r="A1391" s="6">
        <v>45903</v>
      </c>
      <c r="B1391" s="11">
        <f>+MONTH(A1391)</f>
        <v>9</v>
      </c>
      <c r="C1391" s="11">
        <f>+WEEKNUM(A1391)</f>
        <v>36</v>
      </c>
      <c r="D1391" s="4" t="s">
        <v>152</v>
      </c>
      <c r="E1391" s="4" t="s">
        <v>975</v>
      </c>
      <c r="F1391" s="4">
        <v>573195086573</v>
      </c>
      <c r="G1391" s="4">
        <v>67174</v>
      </c>
      <c r="H1391" s="8"/>
      <c r="I1391" s="4"/>
      <c r="J1391" s="4"/>
      <c r="K1391" s="4"/>
      <c r="L1391" s="8"/>
      <c r="M1391" s="7"/>
      <c r="N1391" s="7"/>
      <c r="O1391" s="7"/>
    </row>
    <row r="1392" spans="1:15" ht="178.5" x14ac:dyDescent="0.2">
      <c r="A1392" s="6">
        <v>45903</v>
      </c>
      <c r="B1392" s="11">
        <f>+MONTH(A1392)</f>
        <v>9</v>
      </c>
      <c r="C1392" s="11">
        <f>+WEEKNUM(A1392)</f>
        <v>36</v>
      </c>
      <c r="D1392" s="4" t="s">
        <v>973</v>
      </c>
      <c r="E1392" s="4" t="s">
        <v>974</v>
      </c>
      <c r="F1392" s="4">
        <v>573132061043</v>
      </c>
      <c r="G1392" s="4">
        <v>68263</v>
      </c>
      <c r="H1392" s="8" t="s">
        <v>22</v>
      </c>
      <c r="I1392" s="4" t="s">
        <v>3355</v>
      </c>
      <c r="J1392" s="4"/>
      <c r="K1392" s="4" t="s">
        <v>74</v>
      </c>
      <c r="L1392" s="8" t="s">
        <v>12</v>
      </c>
      <c r="M1392" s="7">
        <v>45927.467731481483</v>
      </c>
      <c r="N1392" s="7"/>
      <c r="O1392" s="7"/>
    </row>
    <row r="1393" spans="1:15" ht="12.75" x14ac:dyDescent="0.2">
      <c r="A1393" s="6">
        <v>45903</v>
      </c>
      <c r="B1393" s="11">
        <f>+MONTH(A1393)</f>
        <v>9</v>
      </c>
      <c r="C1393" s="11">
        <f>+WEEKNUM(A1393)</f>
        <v>36</v>
      </c>
      <c r="D1393" s="4" t="s">
        <v>24</v>
      </c>
      <c r="E1393" s="4" t="s">
        <v>972</v>
      </c>
      <c r="F1393" s="4">
        <v>573017529784</v>
      </c>
      <c r="G1393" s="4">
        <v>68019</v>
      </c>
      <c r="H1393" s="8"/>
      <c r="I1393" s="4"/>
      <c r="J1393" s="4"/>
      <c r="K1393" s="4"/>
      <c r="L1393" s="8"/>
      <c r="M1393" s="7"/>
      <c r="N1393" s="7"/>
      <c r="O1393" s="7"/>
    </row>
    <row r="1394" spans="1:15" ht="76.5" x14ac:dyDescent="0.2">
      <c r="A1394" s="6">
        <v>45903</v>
      </c>
      <c r="B1394" s="11">
        <f>+MONTH(A1394)</f>
        <v>9</v>
      </c>
      <c r="C1394" s="11">
        <f>+WEEKNUM(A1394)</f>
        <v>36</v>
      </c>
      <c r="D1394" s="4" t="s">
        <v>131</v>
      </c>
      <c r="E1394" s="4" t="s">
        <v>969</v>
      </c>
      <c r="F1394" s="4">
        <v>573108525880</v>
      </c>
      <c r="G1394" s="4">
        <v>67217</v>
      </c>
      <c r="H1394" s="8" t="s">
        <v>13</v>
      </c>
      <c r="I1394" s="4" t="s">
        <v>970</v>
      </c>
      <c r="J1394" s="5" t="s">
        <v>971</v>
      </c>
      <c r="K1394" s="4"/>
      <c r="L1394" s="8" t="s">
        <v>12</v>
      </c>
      <c r="M1394" s="7"/>
      <c r="N1394" s="7"/>
      <c r="O1394" s="7"/>
    </row>
    <row r="1395" spans="1:15" ht="12.75" x14ac:dyDescent="0.2">
      <c r="A1395" s="6">
        <v>45903</v>
      </c>
      <c r="B1395" s="11">
        <f>+MONTH(A1395)</f>
        <v>9</v>
      </c>
      <c r="C1395" s="11">
        <f>+WEEKNUM(A1395)</f>
        <v>36</v>
      </c>
      <c r="D1395" s="4" t="s">
        <v>967</v>
      </c>
      <c r="E1395" s="4" t="s">
        <v>968</v>
      </c>
      <c r="F1395" s="4">
        <v>573506030139</v>
      </c>
      <c r="G1395" s="4">
        <v>66368</v>
      </c>
      <c r="H1395" s="8"/>
      <c r="I1395" s="4"/>
      <c r="J1395" s="4"/>
      <c r="K1395" s="4"/>
      <c r="L1395" s="8"/>
      <c r="M1395" s="7"/>
      <c r="N1395" s="7"/>
      <c r="O1395" s="7"/>
    </row>
    <row r="1396" spans="1:15" ht="25.5" x14ac:dyDescent="0.2">
      <c r="A1396" s="6">
        <v>45903</v>
      </c>
      <c r="B1396" s="11">
        <f>+MONTH(A1396)</f>
        <v>9</v>
      </c>
      <c r="C1396" s="11">
        <f>+WEEKNUM(A1396)</f>
        <v>36</v>
      </c>
      <c r="D1396" s="4" t="s">
        <v>248</v>
      </c>
      <c r="E1396" s="4" t="s">
        <v>966</v>
      </c>
      <c r="F1396" s="4">
        <v>573209035808</v>
      </c>
      <c r="G1396" s="4">
        <v>66137</v>
      </c>
      <c r="H1396" s="8"/>
      <c r="I1396" s="4"/>
      <c r="J1396" s="4"/>
      <c r="K1396" s="4"/>
      <c r="L1396" s="8"/>
      <c r="M1396" s="7"/>
      <c r="N1396" s="7"/>
      <c r="O1396" s="7"/>
    </row>
    <row r="1397" spans="1:15" ht="25.5" x14ac:dyDescent="0.2">
      <c r="A1397" s="6">
        <v>45903</v>
      </c>
      <c r="B1397" s="11">
        <f>+MONTH(A1397)</f>
        <v>9</v>
      </c>
      <c r="C1397" s="11">
        <f>+WEEKNUM(A1397)</f>
        <v>36</v>
      </c>
      <c r="D1397" s="4" t="s">
        <v>19</v>
      </c>
      <c r="E1397" s="4" t="s">
        <v>965</v>
      </c>
      <c r="F1397" s="4">
        <v>573196337667</v>
      </c>
      <c r="G1397" s="4">
        <v>68057</v>
      </c>
      <c r="H1397" s="8"/>
      <c r="I1397" s="4"/>
      <c r="J1397" s="4"/>
      <c r="K1397" s="4"/>
      <c r="L1397" s="8"/>
      <c r="M1397" s="7"/>
      <c r="N1397" s="7"/>
      <c r="O1397" s="7"/>
    </row>
    <row r="1398" spans="1:15" ht="25.5" x14ac:dyDescent="0.2">
      <c r="A1398" s="6">
        <v>45903</v>
      </c>
      <c r="B1398" s="11">
        <f>+MONTH(A1398)</f>
        <v>9</v>
      </c>
      <c r="C1398" s="11">
        <f>+WEEKNUM(A1398)</f>
        <v>36</v>
      </c>
      <c r="D1398" s="4" t="s">
        <v>963</v>
      </c>
      <c r="E1398" s="4" t="s">
        <v>964</v>
      </c>
      <c r="F1398" s="4">
        <v>573024224874</v>
      </c>
      <c r="G1398" s="4">
        <v>67891</v>
      </c>
      <c r="H1398" s="8"/>
      <c r="I1398" s="4"/>
      <c r="J1398" s="4"/>
      <c r="K1398" s="4"/>
      <c r="L1398" s="8"/>
      <c r="M1398" s="7"/>
      <c r="N1398" s="7"/>
      <c r="O1398" s="7"/>
    </row>
    <row r="1399" spans="1:15" ht="25.5" x14ac:dyDescent="0.2">
      <c r="A1399" s="6">
        <v>45903</v>
      </c>
      <c r="B1399" s="11">
        <f>+MONTH(A1399)</f>
        <v>9</v>
      </c>
      <c r="C1399" s="11">
        <f>+WEEKNUM(A1399)</f>
        <v>36</v>
      </c>
      <c r="D1399" s="4" t="s">
        <v>961</v>
      </c>
      <c r="E1399" s="4" t="s">
        <v>962</v>
      </c>
      <c r="F1399" s="4">
        <v>573153977239</v>
      </c>
      <c r="G1399" s="4">
        <v>68148</v>
      </c>
      <c r="H1399" s="8"/>
      <c r="I1399" s="4"/>
      <c r="J1399" s="4"/>
      <c r="K1399" s="4"/>
      <c r="L1399" s="8"/>
      <c r="M1399" s="7"/>
      <c r="N1399" s="7"/>
      <c r="O1399" s="7"/>
    </row>
    <row r="1400" spans="1:15" ht="25.5" x14ac:dyDescent="0.2">
      <c r="A1400" s="6">
        <v>45902</v>
      </c>
      <c r="B1400" s="11">
        <f>+MONTH(A1400)</f>
        <v>9</v>
      </c>
      <c r="C1400" s="11">
        <f>+WEEKNUM(A1400)</f>
        <v>36</v>
      </c>
      <c r="D1400" s="4" t="s">
        <v>11</v>
      </c>
      <c r="E1400" s="4" t="s">
        <v>960</v>
      </c>
      <c r="F1400" s="4">
        <v>573102536711</v>
      </c>
      <c r="G1400" s="4">
        <v>68049</v>
      </c>
      <c r="H1400" s="8"/>
      <c r="I1400" s="4"/>
      <c r="J1400" s="4"/>
      <c r="K1400" s="4"/>
      <c r="L1400" s="8"/>
      <c r="M1400" s="7"/>
      <c r="N1400" s="7"/>
      <c r="O1400" s="7"/>
    </row>
    <row r="1401" spans="1:15" ht="12.75" x14ac:dyDescent="0.2">
      <c r="A1401" s="6">
        <v>45902</v>
      </c>
      <c r="B1401" s="11">
        <f>+MONTH(A1401)</f>
        <v>9</v>
      </c>
      <c r="C1401" s="11">
        <f>+WEEKNUM(A1401)</f>
        <v>36</v>
      </c>
      <c r="D1401" s="4" t="s">
        <v>214</v>
      </c>
      <c r="E1401" s="4" t="s">
        <v>959</v>
      </c>
      <c r="F1401" s="4">
        <v>573125794294</v>
      </c>
      <c r="G1401" s="4">
        <v>67747</v>
      </c>
      <c r="H1401" s="8"/>
      <c r="I1401" s="4"/>
      <c r="J1401" s="4"/>
      <c r="K1401" s="4"/>
      <c r="L1401" s="8"/>
      <c r="M1401" s="7"/>
      <c r="N1401" s="7"/>
      <c r="O1401" s="7"/>
    </row>
    <row r="1402" spans="1:15" ht="12.75" x14ac:dyDescent="0.2">
      <c r="A1402" s="6">
        <v>45902</v>
      </c>
      <c r="B1402" s="11">
        <f>+MONTH(A1402)</f>
        <v>9</v>
      </c>
      <c r="C1402" s="11">
        <f>+WEEKNUM(A1402)</f>
        <v>36</v>
      </c>
      <c r="D1402" s="4" t="s">
        <v>38</v>
      </c>
      <c r="E1402" s="4" t="s">
        <v>958</v>
      </c>
      <c r="F1402" s="4">
        <v>573214755422</v>
      </c>
      <c r="G1402" s="4">
        <v>68125</v>
      </c>
      <c r="H1402" s="8"/>
      <c r="I1402" s="4"/>
      <c r="J1402" s="4"/>
      <c r="K1402" s="4"/>
      <c r="L1402" s="8"/>
      <c r="M1402" s="7"/>
      <c r="N1402" s="7"/>
      <c r="O1402" s="7"/>
    </row>
    <row r="1403" spans="1:15" ht="25.5" x14ac:dyDescent="0.2">
      <c r="A1403" s="6">
        <v>45902</v>
      </c>
      <c r="B1403" s="11">
        <f>+MONTH(A1403)</f>
        <v>9</v>
      </c>
      <c r="C1403" s="11">
        <f>+WEEKNUM(A1403)</f>
        <v>36</v>
      </c>
      <c r="D1403" s="4" t="s">
        <v>956</v>
      </c>
      <c r="E1403" s="4" t="s">
        <v>957</v>
      </c>
      <c r="F1403" s="4">
        <v>573057064518</v>
      </c>
      <c r="G1403" s="4">
        <v>68137</v>
      </c>
      <c r="H1403" s="8" t="s">
        <v>13</v>
      </c>
      <c r="I1403" s="4" t="s">
        <v>3326</v>
      </c>
      <c r="J1403" s="4"/>
      <c r="K1403" s="4"/>
      <c r="L1403" s="8" t="s">
        <v>22</v>
      </c>
      <c r="M1403" s="7"/>
      <c r="N1403" s="7"/>
      <c r="O1403" s="7"/>
    </row>
    <row r="1404" spans="1:15" ht="12.75" x14ac:dyDescent="0.2">
      <c r="A1404" s="6">
        <v>45902</v>
      </c>
      <c r="B1404" s="11">
        <f>+MONTH(A1404)</f>
        <v>9</v>
      </c>
      <c r="C1404" s="11">
        <f>+WEEKNUM(A1404)</f>
        <v>36</v>
      </c>
      <c r="D1404" s="4" t="s">
        <v>35</v>
      </c>
      <c r="E1404" s="4" t="s">
        <v>955</v>
      </c>
      <c r="F1404" s="4">
        <v>573184745484</v>
      </c>
      <c r="G1404" s="4">
        <v>67673</v>
      </c>
      <c r="H1404" s="8"/>
      <c r="I1404" s="4"/>
      <c r="J1404" s="4"/>
      <c r="K1404" s="4"/>
      <c r="L1404" s="8"/>
      <c r="M1404" s="7"/>
      <c r="N1404" s="7"/>
      <c r="O1404" s="7"/>
    </row>
    <row r="1405" spans="1:15" ht="12.75" x14ac:dyDescent="0.2">
      <c r="A1405" s="6">
        <v>45902</v>
      </c>
      <c r="B1405" s="11">
        <f>+MONTH(A1405)</f>
        <v>9</v>
      </c>
      <c r="C1405" s="11">
        <f>+WEEKNUM(A1405)</f>
        <v>36</v>
      </c>
      <c r="D1405" s="4" t="s">
        <v>205</v>
      </c>
      <c r="E1405" s="4" t="s">
        <v>284</v>
      </c>
      <c r="F1405" s="4">
        <v>573184206053</v>
      </c>
      <c r="G1405" s="4">
        <v>68106</v>
      </c>
      <c r="H1405" s="8"/>
      <c r="I1405" s="4"/>
      <c r="J1405" s="4"/>
      <c r="K1405" s="4"/>
      <c r="L1405" s="8"/>
      <c r="M1405" s="7"/>
      <c r="N1405" s="7"/>
      <c r="O1405" s="7"/>
    </row>
    <row r="1406" spans="1:15" ht="12.75" x14ac:dyDescent="0.2">
      <c r="A1406" s="6">
        <v>45902</v>
      </c>
      <c r="B1406" s="11">
        <f>+MONTH(A1406)</f>
        <v>9</v>
      </c>
      <c r="C1406" s="11">
        <f>+WEEKNUM(A1406)</f>
        <v>36</v>
      </c>
      <c r="D1406" s="4" t="s">
        <v>113</v>
      </c>
      <c r="E1406" s="4" t="s">
        <v>233</v>
      </c>
      <c r="F1406" s="4">
        <v>573108262647</v>
      </c>
      <c r="G1406" s="4">
        <v>64926</v>
      </c>
      <c r="H1406" s="8"/>
      <c r="I1406" s="4"/>
      <c r="J1406" s="4"/>
      <c r="K1406" s="4"/>
      <c r="L1406" s="8"/>
      <c r="M1406" s="7"/>
      <c r="N1406" s="7"/>
      <c r="O1406" s="7"/>
    </row>
    <row r="1407" spans="1:15" ht="12.75" x14ac:dyDescent="0.2">
      <c r="A1407" s="6">
        <v>45902</v>
      </c>
      <c r="B1407" s="11">
        <f>+MONTH(A1407)</f>
        <v>9</v>
      </c>
      <c r="C1407" s="11">
        <f>+WEEKNUM(A1407)</f>
        <v>36</v>
      </c>
      <c r="D1407" s="4" t="s">
        <v>269</v>
      </c>
      <c r="E1407" s="4" t="s">
        <v>954</v>
      </c>
      <c r="F1407" s="4">
        <v>573114539960</v>
      </c>
      <c r="G1407" s="4">
        <v>67817</v>
      </c>
      <c r="H1407" s="8"/>
      <c r="I1407" s="4"/>
      <c r="J1407" s="4"/>
      <c r="K1407" s="4"/>
      <c r="L1407" s="8"/>
      <c r="M1407" s="7"/>
      <c r="N1407" s="7"/>
      <c r="O1407" s="7"/>
    </row>
    <row r="1408" spans="1:15" ht="51" x14ac:dyDescent="0.2">
      <c r="A1408" s="6">
        <v>45902</v>
      </c>
      <c r="B1408" s="11">
        <f>+MONTH(A1408)</f>
        <v>9</v>
      </c>
      <c r="C1408" s="11">
        <f>+WEEKNUM(A1408)</f>
        <v>36</v>
      </c>
      <c r="D1408" s="4" t="s">
        <v>279</v>
      </c>
      <c r="E1408" s="4" t="s">
        <v>951</v>
      </c>
      <c r="F1408" s="4">
        <v>573152538921</v>
      </c>
      <c r="G1408" s="4">
        <v>68096</v>
      </c>
      <c r="H1408" s="8" t="s">
        <v>13</v>
      </c>
      <c r="I1408" s="4" t="s">
        <v>952</v>
      </c>
      <c r="J1408" s="5" t="s">
        <v>953</v>
      </c>
      <c r="K1408" s="4"/>
      <c r="L1408" s="8" t="s">
        <v>12</v>
      </c>
      <c r="M1408" s="7"/>
      <c r="N1408" s="7"/>
      <c r="O1408" s="7"/>
    </row>
    <row r="1409" spans="1:15" ht="25.5" x14ac:dyDescent="0.2">
      <c r="A1409" s="6">
        <v>45902</v>
      </c>
      <c r="B1409" s="11">
        <f>+MONTH(A1409)</f>
        <v>9</v>
      </c>
      <c r="C1409" s="11">
        <f>+WEEKNUM(A1409)</f>
        <v>36</v>
      </c>
      <c r="D1409" s="4" t="s">
        <v>949</v>
      </c>
      <c r="E1409" s="4" t="s">
        <v>950</v>
      </c>
      <c r="F1409" s="4">
        <v>573188004430</v>
      </c>
      <c r="G1409" s="4">
        <v>67832</v>
      </c>
      <c r="H1409" s="8"/>
      <c r="I1409" s="4"/>
      <c r="J1409" s="4"/>
      <c r="K1409" s="4"/>
      <c r="L1409" s="8"/>
      <c r="M1409" s="7"/>
      <c r="N1409" s="7"/>
      <c r="O1409" s="7"/>
    </row>
    <row r="1410" spans="1:15" ht="51" x14ac:dyDescent="0.2">
      <c r="A1410" s="6">
        <v>45902</v>
      </c>
      <c r="B1410" s="11">
        <f>+MONTH(A1410)</f>
        <v>9</v>
      </c>
      <c r="C1410" s="11">
        <f>+WEEKNUM(A1410)</f>
        <v>36</v>
      </c>
      <c r="D1410" s="4" t="s">
        <v>946</v>
      </c>
      <c r="E1410" s="4" t="s">
        <v>947</v>
      </c>
      <c r="F1410" s="4">
        <v>573102176772</v>
      </c>
      <c r="G1410" s="4">
        <v>66454</v>
      </c>
      <c r="H1410" s="8" t="s">
        <v>13</v>
      </c>
      <c r="I1410" s="4" t="s">
        <v>948</v>
      </c>
      <c r="J1410" s="4" t="s">
        <v>14</v>
      </c>
      <c r="K1410" s="4"/>
      <c r="L1410" s="8" t="s">
        <v>12</v>
      </c>
      <c r="M1410" s="7"/>
      <c r="N1410" s="7"/>
      <c r="O1410" s="7"/>
    </row>
    <row r="1411" spans="1:15" ht="165.75" x14ac:dyDescent="0.2">
      <c r="A1411" s="6">
        <v>45902</v>
      </c>
      <c r="B1411" s="11">
        <f>+MONTH(A1411)</f>
        <v>9</v>
      </c>
      <c r="C1411" s="11">
        <f>+WEEKNUM(A1411)</f>
        <v>36</v>
      </c>
      <c r="D1411" s="4" t="s">
        <v>943</v>
      </c>
      <c r="E1411" s="4" t="s">
        <v>944</v>
      </c>
      <c r="F1411" s="4">
        <v>573102448171</v>
      </c>
      <c r="G1411" s="4">
        <v>67008</v>
      </c>
      <c r="H1411" s="8" t="s">
        <v>13</v>
      </c>
      <c r="I1411" s="4" t="s">
        <v>3356</v>
      </c>
      <c r="J1411" s="5" t="s">
        <v>945</v>
      </c>
      <c r="K1411" s="4" t="s">
        <v>90</v>
      </c>
      <c r="L1411" s="8" t="s">
        <v>12</v>
      </c>
      <c r="M1411" s="7">
        <v>45911.421585648146</v>
      </c>
      <c r="N1411" s="7"/>
      <c r="O1411" s="7"/>
    </row>
    <row r="1412" spans="1:15" ht="38.25" x14ac:dyDescent="0.2">
      <c r="A1412" s="6">
        <v>45902</v>
      </c>
      <c r="B1412" s="11">
        <f>+MONTH(A1412)</f>
        <v>9</v>
      </c>
      <c r="C1412" s="11">
        <f>+WEEKNUM(A1412)</f>
        <v>36</v>
      </c>
      <c r="D1412" s="4" t="s">
        <v>104</v>
      </c>
      <c r="E1412" s="4" t="s">
        <v>940</v>
      </c>
      <c r="F1412" s="4">
        <v>573015613999</v>
      </c>
      <c r="G1412" s="4">
        <v>68143</v>
      </c>
      <c r="H1412" s="8" t="s">
        <v>13</v>
      </c>
      <c r="I1412" s="4" t="s">
        <v>941</v>
      </c>
      <c r="J1412" s="5" t="s">
        <v>942</v>
      </c>
      <c r="K1412" s="4"/>
      <c r="L1412" s="8" t="s">
        <v>12</v>
      </c>
      <c r="M1412" s="7"/>
      <c r="N1412" s="7"/>
      <c r="O1412" s="7"/>
    </row>
    <row r="1413" spans="1:15" ht="216.75" x14ac:dyDescent="0.2">
      <c r="A1413" s="6">
        <v>45902</v>
      </c>
      <c r="B1413" s="11">
        <f>+MONTH(A1413)</f>
        <v>9</v>
      </c>
      <c r="C1413" s="11">
        <f>+WEEKNUM(A1413)</f>
        <v>36</v>
      </c>
      <c r="D1413" s="4" t="s">
        <v>236</v>
      </c>
      <c r="E1413" s="4" t="s">
        <v>54</v>
      </c>
      <c r="F1413" s="4">
        <v>573188010417</v>
      </c>
      <c r="G1413" s="4">
        <v>67634</v>
      </c>
      <c r="H1413" s="8" t="s">
        <v>13</v>
      </c>
      <c r="I1413" s="4" t="s">
        <v>939</v>
      </c>
      <c r="J1413" s="4" t="s">
        <v>14</v>
      </c>
      <c r="K1413" s="4"/>
      <c r="L1413" s="8" t="s">
        <v>12</v>
      </c>
      <c r="M1413" s="7"/>
      <c r="N1413" s="7"/>
      <c r="O1413" s="7"/>
    </row>
    <row r="1414" spans="1:15" ht="12.75" x14ac:dyDescent="0.2">
      <c r="A1414" s="6">
        <v>45902</v>
      </c>
      <c r="B1414" s="11">
        <f>+MONTH(A1414)</f>
        <v>9</v>
      </c>
      <c r="C1414" s="11">
        <f>+WEEKNUM(A1414)</f>
        <v>36</v>
      </c>
      <c r="D1414" s="4" t="s">
        <v>128</v>
      </c>
      <c r="E1414" s="4" t="s">
        <v>938</v>
      </c>
      <c r="F1414" s="4">
        <v>573245323240</v>
      </c>
      <c r="G1414" s="4">
        <v>66162</v>
      </c>
      <c r="H1414" s="8" t="s">
        <v>13</v>
      </c>
      <c r="I1414" s="4" t="s">
        <v>3329</v>
      </c>
      <c r="J1414" s="4" t="s">
        <v>14</v>
      </c>
      <c r="K1414" s="4"/>
      <c r="L1414" s="8" t="s">
        <v>12</v>
      </c>
      <c r="M1414" s="7"/>
      <c r="N1414" s="7"/>
      <c r="O1414" s="7"/>
    </row>
    <row r="1415" spans="1:15" ht="12.75" x14ac:dyDescent="0.2">
      <c r="A1415" s="6">
        <v>45902</v>
      </c>
      <c r="B1415" s="11">
        <f>+MONTH(A1415)</f>
        <v>9</v>
      </c>
      <c r="C1415" s="11">
        <f>+WEEKNUM(A1415)</f>
        <v>36</v>
      </c>
      <c r="D1415" s="4" t="s">
        <v>199</v>
      </c>
      <c r="E1415" s="4" t="s">
        <v>239</v>
      </c>
      <c r="F1415" s="4">
        <v>573118422410</v>
      </c>
      <c r="G1415" s="4">
        <v>64476</v>
      </c>
      <c r="H1415" s="8" t="s">
        <v>13</v>
      </c>
      <c r="I1415" s="4" t="s">
        <v>3335</v>
      </c>
      <c r="J1415" s="4" t="s">
        <v>23</v>
      </c>
      <c r="K1415" s="4"/>
      <c r="L1415" s="8" t="s">
        <v>12</v>
      </c>
      <c r="M1415" s="7"/>
      <c r="N1415" s="7"/>
      <c r="O1415" s="7"/>
    </row>
    <row r="1416" spans="1:15" ht="12.75" x14ac:dyDescent="0.2">
      <c r="A1416" s="6">
        <v>45902</v>
      </c>
      <c r="B1416" s="11">
        <f>+MONTH(A1416)</f>
        <v>9</v>
      </c>
      <c r="C1416" s="11">
        <f>+WEEKNUM(A1416)</f>
        <v>36</v>
      </c>
      <c r="D1416" s="4" t="s">
        <v>936</v>
      </c>
      <c r="E1416" s="4" t="s">
        <v>937</v>
      </c>
      <c r="F1416" s="4">
        <v>573142840294</v>
      </c>
      <c r="G1416" s="4">
        <v>67854</v>
      </c>
      <c r="H1416" s="8"/>
      <c r="I1416" s="4"/>
      <c r="J1416" s="4"/>
      <c r="K1416" s="4"/>
      <c r="L1416" s="8"/>
      <c r="M1416" s="7"/>
      <c r="N1416" s="7"/>
      <c r="O1416" s="7"/>
    </row>
    <row r="1417" spans="1:15" ht="12.75" x14ac:dyDescent="0.2">
      <c r="A1417" s="6">
        <v>45901</v>
      </c>
      <c r="B1417" s="11">
        <f>+MONTH(A1417)</f>
        <v>9</v>
      </c>
      <c r="C1417" s="11">
        <f>+WEEKNUM(A1417)</f>
        <v>36</v>
      </c>
      <c r="D1417" s="4" t="s">
        <v>177</v>
      </c>
      <c r="E1417" s="4" t="s">
        <v>935</v>
      </c>
      <c r="F1417" s="4">
        <v>573018839995</v>
      </c>
      <c r="G1417" s="4">
        <v>67621</v>
      </c>
      <c r="H1417" s="8"/>
      <c r="I1417" s="4"/>
      <c r="J1417" s="4"/>
      <c r="K1417" s="4"/>
      <c r="L1417" s="8"/>
      <c r="M1417" s="7"/>
      <c r="N1417" s="7"/>
      <c r="O1417" s="7"/>
    </row>
    <row r="1418" spans="1:15" ht="12.75" x14ac:dyDescent="0.2">
      <c r="A1418" s="6">
        <v>45901</v>
      </c>
      <c r="B1418" s="11">
        <f>+MONTH(A1418)</f>
        <v>9</v>
      </c>
      <c r="C1418" s="11">
        <f>+WEEKNUM(A1418)</f>
        <v>36</v>
      </c>
      <c r="D1418" s="4" t="s">
        <v>15</v>
      </c>
      <c r="E1418" s="4" t="s">
        <v>934</v>
      </c>
      <c r="F1418" s="4">
        <v>573008853635</v>
      </c>
      <c r="G1418" s="4">
        <v>68069</v>
      </c>
      <c r="H1418" s="8"/>
      <c r="I1418" s="4"/>
      <c r="J1418" s="4"/>
      <c r="K1418" s="4"/>
      <c r="L1418" s="8"/>
      <c r="M1418" s="7"/>
      <c r="N1418" s="7"/>
      <c r="O1418" s="7"/>
    </row>
    <row r="1419" spans="1:15" ht="25.5" x14ac:dyDescent="0.2">
      <c r="A1419" s="6">
        <v>45901</v>
      </c>
      <c r="B1419" s="11">
        <f>+MONTH(A1419)</f>
        <v>9</v>
      </c>
      <c r="C1419" s="11">
        <f>+WEEKNUM(A1419)</f>
        <v>36</v>
      </c>
      <c r="D1419" s="4" t="s">
        <v>106</v>
      </c>
      <c r="E1419" s="4" t="s">
        <v>933</v>
      </c>
      <c r="F1419" s="4">
        <v>573108261135</v>
      </c>
      <c r="G1419" s="4">
        <v>67910</v>
      </c>
      <c r="H1419" s="8" t="s">
        <v>13</v>
      </c>
      <c r="I1419" s="4"/>
      <c r="J1419" s="4"/>
      <c r="K1419" s="4"/>
      <c r="L1419" s="8" t="s">
        <v>12</v>
      </c>
      <c r="M1419" s="7"/>
      <c r="N1419" s="7"/>
      <c r="O1419" s="7"/>
    </row>
    <row r="1420" spans="1:15" ht="12.75" x14ac:dyDescent="0.2">
      <c r="A1420" s="6">
        <v>45901</v>
      </c>
      <c r="B1420" s="11">
        <f>+MONTH(A1420)</f>
        <v>9</v>
      </c>
      <c r="C1420" s="11">
        <f>+WEEKNUM(A1420)</f>
        <v>36</v>
      </c>
      <c r="D1420" s="4" t="s">
        <v>932</v>
      </c>
      <c r="E1420" s="4" t="s">
        <v>407</v>
      </c>
      <c r="F1420" s="4">
        <v>573102560065</v>
      </c>
      <c r="G1420" s="4">
        <v>67914</v>
      </c>
      <c r="H1420" s="8" t="s">
        <v>13</v>
      </c>
      <c r="I1420" s="4"/>
      <c r="J1420" s="4"/>
      <c r="K1420" s="4"/>
      <c r="L1420" s="8" t="s">
        <v>12</v>
      </c>
      <c r="M1420" s="7"/>
      <c r="N1420" s="7"/>
      <c r="O1420" s="7"/>
    </row>
    <row r="1421" spans="1:15" ht="25.5" x14ac:dyDescent="0.2">
      <c r="A1421" s="6">
        <v>45901</v>
      </c>
      <c r="B1421" s="11">
        <f>+MONTH(A1421)</f>
        <v>9</v>
      </c>
      <c r="C1421" s="11">
        <f>+WEEKNUM(A1421)</f>
        <v>36</v>
      </c>
      <c r="D1421" s="4" t="s">
        <v>930</v>
      </c>
      <c r="E1421" s="4" t="s">
        <v>931</v>
      </c>
      <c r="F1421" s="4">
        <v>573112879973</v>
      </c>
      <c r="G1421" s="4">
        <v>67873</v>
      </c>
      <c r="H1421" s="8"/>
      <c r="I1421" s="4"/>
      <c r="J1421" s="4"/>
      <c r="K1421" s="4"/>
      <c r="L1421" s="8"/>
      <c r="M1421" s="7"/>
      <c r="N1421" s="7"/>
      <c r="O1421" s="7"/>
    </row>
    <row r="1422" spans="1:15" ht="89.25" x14ac:dyDescent="0.2">
      <c r="A1422" s="6">
        <v>45901</v>
      </c>
      <c r="B1422" s="11">
        <f>+MONTH(A1422)</f>
        <v>9</v>
      </c>
      <c r="C1422" s="11">
        <f>+WEEKNUM(A1422)</f>
        <v>36</v>
      </c>
      <c r="D1422" s="4" t="s">
        <v>288</v>
      </c>
      <c r="E1422" s="4" t="s">
        <v>197</v>
      </c>
      <c r="F1422" s="4">
        <v>573143331038</v>
      </c>
      <c r="G1422" s="4">
        <v>67893</v>
      </c>
      <c r="H1422" s="8" t="s">
        <v>13</v>
      </c>
      <c r="I1422" s="4" t="s">
        <v>928</v>
      </c>
      <c r="J1422" s="5" t="s">
        <v>929</v>
      </c>
      <c r="K1422" s="4"/>
      <c r="L1422" s="8" t="s">
        <v>12</v>
      </c>
      <c r="M1422" s="7"/>
      <c r="N1422" s="7"/>
      <c r="O1422" s="7"/>
    </row>
    <row r="1423" spans="1:15" ht="102" x14ac:dyDescent="0.2">
      <c r="A1423" s="6">
        <v>45901</v>
      </c>
      <c r="B1423" s="11">
        <f>+MONTH(A1423)</f>
        <v>9</v>
      </c>
      <c r="C1423" s="11">
        <f>+WEEKNUM(A1423)</f>
        <v>36</v>
      </c>
      <c r="D1423" s="4" t="s">
        <v>925</v>
      </c>
      <c r="E1423" s="4" t="s">
        <v>926</v>
      </c>
      <c r="F1423" s="4">
        <v>573228869493</v>
      </c>
      <c r="G1423" s="4">
        <v>67829</v>
      </c>
      <c r="H1423" s="8" t="s">
        <v>13</v>
      </c>
      <c r="I1423" s="4" t="s">
        <v>3336</v>
      </c>
      <c r="J1423" s="5" t="s">
        <v>927</v>
      </c>
      <c r="K1423" s="4"/>
      <c r="L1423" s="8" t="s">
        <v>12</v>
      </c>
      <c r="M1423" s="7"/>
      <c r="N1423" s="7"/>
      <c r="O1423" s="7"/>
    </row>
    <row r="1424" spans="1:15" ht="25.5" x14ac:dyDescent="0.2">
      <c r="A1424" s="6">
        <v>45901</v>
      </c>
      <c r="B1424" s="11">
        <f>+MONTH(A1424)</f>
        <v>9</v>
      </c>
      <c r="C1424" s="11">
        <f>+WEEKNUM(A1424)</f>
        <v>36</v>
      </c>
      <c r="D1424" s="4" t="s">
        <v>162</v>
      </c>
      <c r="E1424" s="4" t="s">
        <v>924</v>
      </c>
      <c r="F1424" s="4">
        <v>573005269705</v>
      </c>
      <c r="G1424" s="4">
        <v>68060</v>
      </c>
      <c r="H1424" s="8"/>
      <c r="I1424" s="4"/>
      <c r="J1424" s="4"/>
      <c r="K1424" s="4"/>
      <c r="L1424" s="8"/>
      <c r="M1424" s="7"/>
      <c r="N1424" s="7"/>
      <c r="O1424" s="7"/>
    </row>
    <row r="1425" spans="1:15" ht="114.75" x14ac:dyDescent="0.2">
      <c r="A1425" s="6">
        <v>45901</v>
      </c>
      <c r="B1425" s="11">
        <f>+MONTH(A1425)</f>
        <v>9</v>
      </c>
      <c r="C1425" s="11">
        <f>+WEEKNUM(A1425)</f>
        <v>36</v>
      </c>
      <c r="D1425" s="4" t="s">
        <v>183</v>
      </c>
      <c r="E1425" s="4" t="s">
        <v>922</v>
      </c>
      <c r="F1425" s="4">
        <v>573057126515</v>
      </c>
      <c r="G1425" s="4">
        <v>68022</v>
      </c>
      <c r="H1425" s="8" t="s">
        <v>13</v>
      </c>
      <c r="I1425" s="4" t="s">
        <v>923</v>
      </c>
      <c r="J1425" s="4" t="s">
        <v>14</v>
      </c>
      <c r="K1425" s="4"/>
      <c r="L1425" s="8" t="s">
        <v>12</v>
      </c>
      <c r="M1425" s="7"/>
      <c r="N1425" s="7"/>
      <c r="O1425" s="7"/>
    </row>
    <row r="1426" spans="1:15" ht="25.5" x14ac:dyDescent="0.2">
      <c r="A1426" s="6">
        <v>45899</v>
      </c>
      <c r="B1426" s="11">
        <f>+MONTH(A1426)</f>
        <v>8</v>
      </c>
      <c r="C1426" s="11">
        <f>+WEEKNUM(A1426)</f>
        <v>35</v>
      </c>
      <c r="D1426" s="4" t="s">
        <v>52</v>
      </c>
      <c r="E1426" s="4" t="s">
        <v>921</v>
      </c>
      <c r="F1426" s="4">
        <v>573143519399</v>
      </c>
      <c r="G1426" s="4">
        <v>66034</v>
      </c>
      <c r="H1426" s="8"/>
      <c r="I1426" s="4"/>
      <c r="J1426" s="4"/>
      <c r="K1426" s="4"/>
      <c r="L1426" s="8"/>
      <c r="M1426" s="7"/>
      <c r="N1426" s="7"/>
      <c r="O1426" s="7"/>
    </row>
    <row r="1427" spans="1:15" ht="38.25" x14ac:dyDescent="0.2">
      <c r="A1427" s="6">
        <v>45899</v>
      </c>
      <c r="B1427" s="11">
        <f>+MONTH(A1427)</f>
        <v>8</v>
      </c>
      <c r="C1427" s="11">
        <f>+WEEKNUM(A1427)</f>
        <v>35</v>
      </c>
      <c r="D1427" s="4" t="s">
        <v>918</v>
      </c>
      <c r="E1427" s="4" t="s">
        <v>919</v>
      </c>
      <c r="F1427" s="4">
        <v>573102548992</v>
      </c>
      <c r="G1427" s="4">
        <v>67933</v>
      </c>
      <c r="H1427" s="8" t="s">
        <v>13</v>
      </c>
      <c r="I1427" s="4" t="s">
        <v>3357</v>
      </c>
      <c r="J1427" s="5" t="s">
        <v>920</v>
      </c>
      <c r="K1427" s="4"/>
      <c r="L1427" s="8" t="s">
        <v>12</v>
      </c>
      <c r="M1427" s="7"/>
      <c r="N1427" s="7"/>
      <c r="O1427" s="7"/>
    </row>
    <row r="1428" spans="1:15" ht="89.25" x14ac:dyDescent="0.2">
      <c r="A1428" s="6">
        <v>45899</v>
      </c>
      <c r="B1428" s="11">
        <f>+MONTH(A1428)</f>
        <v>8</v>
      </c>
      <c r="C1428" s="11">
        <f>+WEEKNUM(A1428)</f>
        <v>35</v>
      </c>
      <c r="D1428" s="4" t="s">
        <v>914</v>
      </c>
      <c r="E1428" s="4" t="s">
        <v>915</v>
      </c>
      <c r="F1428" s="4">
        <v>573197211249</v>
      </c>
      <c r="G1428" s="4">
        <v>67251</v>
      </c>
      <c r="H1428" s="8" t="s">
        <v>13</v>
      </c>
      <c r="I1428" s="4" t="s">
        <v>916</v>
      </c>
      <c r="J1428" s="5" t="s">
        <v>917</v>
      </c>
      <c r="K1428" s="4"/>
      <c r="L1428" s="8" t="s">
        <v>12</v>
      </c>
      <c r="M1428" s="7"/>
      <c r="N1428" s="7"/>
      <c r="O1428" s="7"/>
    </row>
    <row r="1429" spans="1:15" ht="12.75" x14ac:dyDescent="0.2">
      <c r="A1429" s="6">
        <v>45899</v>
      </c>
      <c r="B1429" s="11">
        <f>+MONTH(A1429)</f>
        <v>8</v>
      </c>
      <c r="C1429" s="11">
        <f>+WEEKNUM(A1429)</f>
        <v>35</v>
      </c>
      <c r="D1429" s="4" t="s">
        <v>912</v>
      </c>
      <c r="E1429" s="4" t="s">
        <v>913</v>
      </c>
      <c r="F1429" s="4">
        <v>573208211353</v>
      </c>
      <c r="G1429" s="4">
        <v>67666</v>
      </c>
      <c r="H1429" s="8"/>
      <c r="I1429" s="4"/>
      <c r="J1429" s="4"/>
      <c r="K1429" s="4"/>
      <c r="L1429" s="8"/>
      <c r="M1429" s="7"/>
      <c r="N1429" s="7"/>
      <c r="O1429" s="7"/>
    </row>
    <row r="1430" spans="1:15" ht="38.25" x14ac:dyDescent="0.2">
      <c r="A1430" s="6">
        <v>45899</v>
      </c>
      <c r="B1430" s="11">
        <f>+MONTH(A1430)</f>
        <v>8</v>
      </c>
      <c r="C1430" s="11">
        <f>+WEEKNUM(A1430)</f>
        <v>35</v>
      </c>
      <c r="D1430" s="4" t="s">
        <v>20</v>
      </c>
      <c r="E1430" s="4" t="s">
        <v>911</v>
      </c>
      <c r="F1430" s="4">
        <v>573102094828</v>
      </c>
      <c r="G1430" s="4">
        <v>67955</v>
      </c>
      <c r="H1430" s="8" t="s">
        <v>44</v>
      </c>
      <c r="I1430" s="4" t="s">
        <v>3324</v>
      </c>
      <c r="J1430" s="4"/>
      <c r="K1430" s="4"/>
      <c r="L1430" s="8" t="s">
        <v>22</v>
      </c>
      <c r="M1430" s="7"/>
      <c r="N1430" s="7"/>
      <c r="O1430" s="7"/>
    </row>
    <row r="1431" spans="1:15" ht="12.75" x14ac:dyDescent="0.2">
      <c r="A1431" s="6">
        <v>45899</v>
      </c>
      <c r="B1431" s="11">
        <f>+MONTH(A1431)</f>
        <v>8</v>
      </c>
      <c r="C1431" s="11">
        <f>+WEEKNUM(A1431)</f>
        <v>35</v>
      </c>
      <c r="D1431" s="4" t="s">
        <v>305</v>
      </c>
      <c r="E1431" s="4" t="s">
        <v>910</v>
      </c>
      <c r="F1431" s="4">
        <v>573045662800</v>
      </c>
      <c r="G1431" s="4">
        <v>67403</v>
      </c>
      <c r="H1431" s="8"/>
      <c r="I1431" s="4"/>
      <c r="J1431" s="4"/>
      <c r="K1431" s="4"/>
      <c r="L1431" s="8"/>
      <c r="M1431" s="7"/>
      <c r="N1431" s="7"/>
      <c r="O1431" s="7"/>
    </row>
    <row r="1432" spans="1:15" ht="12.75" x14ac:dyDescent="0.2">
      <c r="A1432" s="6">
        <v>45899</v>
      </c>
      <c r="B1432" s="11">
        <f>+MONTH(A1432)</f>
        <v>8</v>
      </c>
      <c r="C1432" s="11">
        <f>+WEEKNUM(A1432)</f>
        <v>35</v>
      </c>
      <c r="D1432" s="4" t="s">
        <v>33</v>
      </c>
      <c r="E1432" s="4" t="s">
        <v>909</v>
      </c>
      <c r="F1432" s="4">
        <v>573112151885</v>
      </c>
      <c r="G1432" s="4">
        <v>67507</v>
      </c>
      <c r="H1432" s="8"/>
      <c r="I1432" s="4"/>
      <c r="J1432" s="4"/>
      <c r="K1432" s="4"/>
      <c r="L1432" s="8"/>
      <c r="M1432" s="7"/>
      <c r="N1432" s="7"/>
      <c r="O1432" s="7"/>
    </row>
    <row r="1433" spans="1:15" ht="12.75" x14ac:dyDescent="0.2">
      <c r="A1433" s="6">
        <v>45899</v>
      </c>
      <c r="B1433" s="11">
        <f>+MONTH(A1433)</f>
        <v>8</v>
      </c>
      <c r="C1433" s="11">
        <f>+WEEKNUM(A1433)</f>
        <v>35</v>
      </c>
      <c r="D1433" s="4" t="s">
        <v>907</v>
      </c>
      <c r="E1433" s="4" t="s">
        <v>908</v>
      </c>
      <c r="F1433" s="4">
        <v>573173284138</v>
      </c>
      <c r="G1433" s="4">
        <v>67879</v>
      </c>
      <c r="H1433" s="8"/>
      <c r="I1433" s="4"/>
      <c r="J1433" s="4"/>
      <c r="K1433" s="4"/>
      <c r="L1433" s="8"/>
      <c r="M1433" s="7"/>
      <c r="N1433" s="7"/>
      <c r="O1433" s="7"/>
    </row>
    <row r="1434" spans="1:15" ht="12.75" x14ac:dyDescent="0.2">
      <c r="A1434" s="6">
        <v>45899</v>
      </c>
      <c r="B1434" s="11">
        <f>+MONTH(A1434)</f>
        <v>8</v>
      </c>
      <c r="C1434" s="11">
        <f>+WEEKNUM(A1434)</f>
        <v>35</v>
      </c>
      <c r="D1434" s="4" t="s">
        <v>905</v>
      </c>
      <c r="E1434" s="4" t="s">
        <v>906</v>
      </c>
      <c r="F1434" s="4">
        <v>573193197689</v>
      </c>
      <c r="G1434" s="4">
        <v>67823</v>
      </c>
      <c r="H1434" s="8"/>
      <c r="I1434" s="4"/>
      <c r="J1434" s="4"/>
      <c r="K1434" s="4"/>
      <c r="L1434" s="8"/>
      <c r="M1434" s="7"/>
      <c r="N1434" s="7"/>
      <c r="O1434" s="7"/>
    </row>
    <row r="1435" spans="1:15" ht="12.75" x14ac:dyDescent="0.2">
      <c r="A1435" s="6">
        <v>45899</v>
      </c>
      <c r="B1435" s="11">
        <f>+MONTH(A1435)</f>
        <v>8</v>
      </c>
      <c r="C1435" s="11">
        <f>+WEEKNUM(A1435)</f>
        <v>35</v>
      </c>
      <c r="D1435" s="4" t="s">
        <v>207</v>
      </c>
      <c r="E1435" s="4" t="s">
        <v>904</v>
      </c>
      <c r="F1435" s="4">
        <v>573187955443</v>
      </c>
      <c r="G1435" s="4">
        <v>67791</v>
      </c>
      <c r="H1435" s="8"/>
      <c r="I1435" s="4"/>
      <c r="J1435" s="4"/>
      <c r="K1435" s="4"/>
      <c r="L1435" s="8"/>
      <c r="M1435" s="7"/>
      <c r="N1435" s="7"/>
      <c r="O1435" s="7"/>
    </row>
    <row r="1436" spans="1:15" ht="12.75" x14ac:dyDescent="0.2">
      <c r="A1436" s="6">
        <v>45899</v>
      </c>
      <c r="B1436" s="11">
        <f>+MONTH(A1436)</f>
        <v>8</v>
      </c>
      <c r="C1436" s="11">
        <f>+WEEKNUM(A1436)</f>
        <v>35</v>
      </c>
      <c r="D1436" s="4" t="s">
        <v>126</v>
      </c>
      <c r="E1436" s="4" t="s">
        <v>903</v>
      </c>
      <c r="F1436" s="4">
        <v>573122337892</v>
      </c>
      <c r="G1436" s="4">
        <v>67608</v>
      </c>
      <c r="H1436" s="8"/>
      <c r="I1436" s="4"/>
      <c r="J1436" s="4"/>
      <c r="K1436" s="4"/>
      <c r="L1436" s="8"/>
      <c r="M1436" s="7"/>
      <c r="N1436" s="7"/>
      <c r="O1436" s="7"/>
    </row>
    <row r="1437" spans="1:15" ht="25.5" x14ac:dyDescent="0.2">
      <c r="A1437" s="6">
        <v>45899</v>
      </c>
      <c r="B1437" s="11">
        <f>+MONTH(A1437)</f>
        <v>8</v>
      </c>
      <c r="C1437" s="11">
        <f>+WEEKNUM(A1437)</f>
        <v>35</v>
      </c>
      <c r="D1437" s="4" t="s">
        <v>45</v>
      </c>
      <c r="E1437" s="4" t="s">
        <v>902</v>
      </c>
      <c r="F1437" s="4">
        <v>573122557261</v>
      </c>
      <c r="G1437" s="4">
        <v>67386</v>
      </c>
      <c r="H1437" s="8"/>
      <c r="I1437" s="4"/>
      <c r="J1437" s="4"/>
      <c r="K1437" s="4"/>
      <c r="L1437" s="8"/>
      <c r="M1437" s="7"/>
      <c r="N1437" s="7"/>
      <c r="O1437" s="7"/>
    </row>
    <row r="1438" spans="1:15" ht="76.5" x14ac:dyDescent="0.2">
      <c r="A1438" s="6">
        <v>45899</v>
      </c>
      <c r="B1438" s="11">
        <f>+MONTH(A1438)</f>
        <v>8</v>
      </c>
      <c r="C1438" s="11">
        <f>+WEEKNUM(A1438)</f>
        <v>35</v>
      </c>
      <c r="D1438" s="4" t="s">
        <v>92</v>
      </c>
      <c r="E1438" s="4" t="s">
        <v>899</v>
      </c>
      <c r="F1438" s="4">
        <v>573218249819</v>
      </c>
      <c r="G1438" s="4">
        <v>67274</v>
      </c>
      <c r="H1438" s="8" t="s">
        <v>13</v>
      </c>
      <c r="I1438" s="4" t="s">
        <v>900</v>
      </c>
      <c r="J1438" s="5" t="s">
        <v>901</v>
      </c>
      <c r="K1438" s="4"/>
      <c r="L1438" s="8" t="s">
        <v>12</v>
      </c>
      <c r="M1438" s="7"/>
      <c r="N1438" s="7"/>
      <c r="O1438" s="7"/>
    </row>
    <row r="1439" spans="1:15" ht="25.5" x14ac:dyDescent="0.2">
      <c r="A1439" s="6">
        <v>45898</v>
      </c>
      <c r="B1439" s="11">
        <f>+MONTH(A1439)</f>
        <v>8</v>
      </c>
      <c r="C1439" s="11">
        <f>+WEEKNUM(A1439)</f>
        <v>35</v>
      </c>
      <c r="D1439" s="4" t="s">
        <v>159</v>
      </c>
      <c r="E1439" s="4" t="s">
        <v>898</v>
      </c>
      <c r="F1439" s="4">
        <v>573102610673</v>
      </c>
      <c r="G1439" s="4">
        <v>67572</v>
      </c>
      <c r="H1439" s="8"/>
      <c r="I1439" s="4"/>
      <c r="J1439" s="4"/>
      <c r="K1439" s="4"/>
      <c r="L1439" s="8"/>
      <c r="M1439" s="7"/>
      <c r="N1439" s="7"/>
      <c r="O1439" s="7"/>
    </row>
    <row r="1440" spans="1:15" ht="12.75" x14ac:dyDescent="0.2">
      <c r="A1440" s="6">
        <v>45898</v>
      </c>
      <c r="B1440" s="11">
        <f>+MONTH(A1440)</f>
        <v>8</v>
      </c>
      <c r="C1440" s="11">
        <f>+WEEKNUM(A1440)</f>
        <v>35</v>
      </c>
      <c r="D1440" s="4" t="s">
        <v>897</v>
      </c>
      <c r="E1440" s="4" t="s">
        <v>897</v>
      </c>
      <c r="F1440" s="4">
        <v>573042567670</v>
      </c>
      <c r="G1440" s="4">
        <v>67495</v>
      </c>
      <c r="H1440" s="8"/>
      <c r="I1440" s="4"/>
      <c r="J1440" s="4"/>
      <c r="K1440" s="4"/>
      <c r="L1440" s="8"/>
      <c r="M1440" s="7"/>
      <c r="N1440" s="7"/>
      <c r="O1440" s="7"/>
    </row>
    <row r="1441" spans="1:15" ht="12.75" x14ac:dyDescent="0.2">
      <c r="A1441" s="6">
        <v>45898</v>
      </c>
      <c r="B1441" s="11">
        <f>+MONTH(A1441)</f>
        <v>8</v>
      </c>
      <c r="C1441" s="11">
        <f>+WEEKNUM(A1441)</f>
        <v>35</v>
      </c>
      <c r="D1441" s="4" t="s">
        <v>36</v>
      </c>
      <c r="E1441" s="4" t="s">
        <v>896</v>
      </c>
      <c r="F1441" s="4">
        <v>573167933773</v>
      </c>
      <c r="G1441" s="4">
        <v>67892</v>
      </c>
      <c r="H1441" s="8" t="s">
        <v>13</v>
      </c>
      <c r="I1441" s="4" t="s">
        <v>3329</v>
      </c>
      <c r="J1441" s="4" t="s">
        <v>14</v>
      </c>
      <c r="K1441" s="4"/>
      <c r="L1441" s="8" t="s">
        <v>12</v>
      </c>
      <c r="M1441" s="7"/>
      <c r="N1441" s="7"/>
      <c r="O1441" s="7"/>
    </row>
    <row r="1442" spans="1:15" ht="12.75" x14ac:dyDescent="0.2">
      <c r="A1442" s="6">
        <v>45898</v>
      </c>
      <c r="B1442" s="11">
        <f>+MONTH(A1442)</f>
        <v>8</v>
      </c>
      <c r="C1442" s="11">
        <f>+WEEKNUM(A1442)</f>
        <v>35</v>
      </c>
      <c r="D1442" s="4" t="s">
        <v>894</v>
      </c>
      <c r="E1442" s="4" t="s">
        <v>895</v>
      </c>
      <c r="F1442" s="4">
        <v>573128820740</v>
      </c>
      <c r="G1442" s="4">
        <v>67896</v>
      </c>
      <c r="H1442" s="8"/>
      <c r="I1442" s="4"/>
      <c r="J1442" s="4"/>
      <c r="K1442" s="4"/>
      <c r="L1442" s="8"/>
      <c r="M1442" s="7"/>
      <c r="N1442" s="7"/>
      <c r="O1442" s="7"/>
    </row>
    <row r="1443" spans="1:15" ht="12.75" x14ac:dyDescent="0.2">
      <c r="A1443" s="6">
        <v>45898</v>
      </c>
      <c r="B1443" s="11">
        <f>+MONTH(A1443)</f>
        <v>8</v>
      </c>
      <c r="C1443" s="11">
        <f>+WEEKNUM(A1443)</f>
        <v>35</v>
      </c>
      <c r="D1443" s="4" t="s">
        <v>21</v>
      </c>
      <c r="E1443" s="4" t="s">
        <v>893</v>
      </c>
      <c r="F1443" s="4">
        <v>573017976848</v>
      </c>
      <c r="G1443" s="4">
        <v>67780</v>
      </c>
      <c r="H1443" s="8"/>
      <c r="I1443" s="4"/>
      <c r="J1443" s="4"/>
      <c r="K1443" s="4"/>
      <c r="L1443" s="8"/>
      <c r="M1443" s="7"/>
      <c r="N1443" s="7"/>
      <c r="O1443" s="7"/>
    </row>
    <row r="1444" spans="1:15" ht="12.75" x14ac:dyDescent="0.2">
      <c r="A1444" s="6">
        <v>45898</v>
      </c>
      <c r="B1444" s="11">
        <f>+MONTH(A1444)</f>
        <v>8</v>
      </c>
      <c r="C1444" s="11">
        <f>+WEEKNUM(A1444)</f>
        <v>35</v>
      </c>
      <c r="D1444" s="4" t="s">
        <v>892</v>
      </c>
      <c r="E1444" s="4" t="s">
        <v>892</v>
      </c>
      <c r="F1444" s="4">
        <v>573202755083</v>
      </c>
      <c r="G1444" s="4">
        <v>67805</v>
      </c>
      <c r="H1444" s="8"/>
      <c r="I1444" s="4"/>
      <c r="J1444" s="4"/>
      <c r="K1444" s="4"/>
      <c r="L1444" s="8"/>
      <c r="M1444" s="7"/>
      <c r="N1444" s="7"/>
      <c r="O1444" s="7"/>
    </row>
    <row r="1445" spans="1:15" ht="38.25" x14ac:dyDescent="0.2">
      <c r="A1445" s="6">
        <v>45898</v>
      </c>
      <c r="B1445" s="11">
        <f>+MONTH(A1445)</f>
        <v>8</v>
      </c>
      <c r="C1445" s="11">
        <f>+WEEKNUM(A1445)</f>
        <v>35</v>
      </c>
      <c r="D1445" s="4" t="s">
        <v>889</v>
      </c>
      <c r="E1445" s="4" t="s">
        <v>890</v>
      </c>
      <c r="F1445" s="4">
        <v>573174309522</v>
      </c>
      <c r="G1445" s="4">
        <v>67300</v>
      </c>
      <c r="H1445" s="8" t="s">
        <v>13</v>
      </c>
      <c r="I1445" s="4" t="s">
        <v>891</v>
      </c>
      <c r="J1445" s="4" t="s">
        <v>23</v>
      </c>
      <c r="K1445" s="4"/>
      <c r="L1445" s="8" t="s">
        <v>12</v>
      </c>
      <c r="M1445" s="7"/>
      <c r="N1445" s="7"/>
      <c r="O1445" s="7"/>
    </row>
    <row r="1446" spans="1:15" ht="12.75" x14ac:dyDescent="0.2">
      <c r="A1446" s="6">
        <v>45898</v>
      </c>
      <c r="B1446" s="11">
        <f>+MONTH(A1446)</f>
        <v>8</v>
      </c>
      <c r="C1446" s="11">
        <f>+WEEKNUM(A1446)</f>
        <v>35</v>
      </c>
      <c r="D1446" s="4" t="s">
        <v>887</v>
      </c>
      <c r="E1446" s="4" t="s">
        <v>888</v>
      </c>
      <c r="F1446" s="4">
        <v>573105654072</v>
      </c>
      <c r="G1446" s="4">
        <v>67682</v>
      </c>
      <c r="H1446" s="8"/>
      <c r="I1446" s="4"/>
      <c r="J1446" s="4"/>
      <c r="K1446" s="4"/>
      <c r="L1446" s="8"/>
      <c r="M1446" s="7"/>
      <c r="N1446" s="7"/>
      <c r="O1446" s="7"/>
    </row>
    <row r="1447" spans="1:15" ht="12.75" x14ac:dyDescent="0.2">
      <c r="A1447" s="6">
        <v>45898</v>
      </c>
      <c r="B1447" s="11">
        <f>+MONTH(A1447)</f>
        <v>8</v>
      </c>
      <c r="C1447" s="11">
        <f>+WEEKNUM(A1447)</f>
        <v>35</v>
      </c>
      <c r="D1447" s="4" t="s">
        <v>885</v>
      </c>
      <c r="E1447" s="4" t="s">
        <v>886</v>
      </c>
      <c r="F1447" s="4">
        <v>573159288942</v>
      </c>
      <c r="G1447" s="4">
        <v>67770</v>
      </c>
      <c r="H1447" s="8"/>
      <c r="I1447" s="4"/>
      <c r="J1447" s="4"/>
      <c r="K1447" s="4"/>
      <c r="L1447" s="8"/>
      <c r="M1447" s="7"/>
      <c r="N1447" s="7"/>
      <c r="O1447" s="7"/>
    </row>
    <row r="1448" spans="1:15" ht="25.5" x14ac:dyDescent="0.2">
      <c r="A1448" s="6">
        <v>45897</v>
      </c>
      <c r="B1448" s="11">
        <f>+MONTH(A1448)</f>
        <v>8</v>
      </c>
      <c r="C1448" s="11">
        <f>+WEEKNUM(A1448)</f>
        <v>35</v>
      </c>
      <c r="D1448" s="4" t="s">
        <v>883</v>
      </c>
      <c r="E1448" s="4" t="s">
        <v>884</v>
      </c>
      <c r="F1448" s="4">
        <v>573107511702</v>
      </c>
      <c r="G1448" s="4">
        <v>67376</v>
      </c>
      <c r="H1448" s="8"/>
      <c r="I1448" s="4"/>
      <c r="J1448" s="4"/>
      <c r="K1448" s="4"/>
      <c r="L1448" s="8"/>
      <c r="M1448" s="7"/>
      <c r="N1448" s="7"/>
      <c r="O1448" s="7"/>
    </row>
    <row r="1449" spans="1:15" ht="25.5" x14ac:dyDescent="0.2">
      <c r="A1449" s="6">
        <v>45897</v>
      </c>
      <c r="B1449" s="11">
        <f>+MONTH(A1449)</f>
        <v>8</v>
      </c>
      <c r="C1449" s="11">
        <f>+WEEKNUM(A1449)</f>
        <v>35</v>
      </c>
      <c r="D1449" s="4" t="s">
        <v>32</v>
      </c>
      <c r="E1449" s="4" t="s">
        <v>882</v>
      </c>
      <c r="F1449" s="4">
        <v>573204882555</v>
      </c>
      <c r="G1449" s="4">
        <v>67401</v>
      </c>
      <c r="H1449" s="8"/>
      <c r="I1449" s="4"/>
      <c r="J1449" s="4"/>
      <c r="K1449" s="4"/>
      <c r="L1449" s="8"/>
      <c r="M1449" s="7"/>
      <c r="N1449" s="7"/>
      <c r="O1449" s="7"/>
    </row>
    <row r="1450" spans="1:15" ht="140.25" x14ac:dyDescent="0.2">
      <c r="A1450" s="6">
        <v>45897</v>
      </c>
      <c r="B1450" s="11">
        <f>+MONTH(A1450)</f>
        <v>8</v>
      </c>
      <c r="C1450" s="11">
        <f>+WEEKNUM(A1450)</f>
        <v>35</v>
      </c>
      <c r="D1450" s="4" t="s">
        <v>108</v>
      </c>
      <c r="E1450" s="4" t="s">
        <v>880</v>
      </c>
      <c r="F1450" s="4">
        <v>573045302126</v>
      </c>
      <c r="G1450" s="4">
        <v>67375</v>
      </c>
      <c r="H1450" s="8" t="s">
        <v>13</v>
      </c>
      <c r="I1450" s="4" t="s">
        <v>3358</v>
      </c>
      <c r="J1450" s="5" t="s">
        <v>881</v>
      </c>
      <c r="K1450" s="4"/>
      <c r="L1450" s="8" t="s">
        <v>12</v>
      </c>
      <c r="M1450" s="7"/>
      <c r="N1450" s="7"/>
      <c r="O1450" s="7"/>
    </row>
    <row r="1451" spans="1:15" ht="178.5" x14ac:dyDescent="0.2">
      <c r="A1451" s="6">
        <v>45897</v>
      </c>
      <c r="B1451" s="11">
        <f>+MONTH(A1451)</f>
        <v>8</v>
      </c>
      <c r="C1451" s="11">
        <f>+WEEKNUM(A1451)</f>
        <v>35</v>
      </c>
      <c r="D1451" s="4" t="s">
        <v>26</v>
      </c>
      <c r="E1451" s="4" t="s">
        <v>878</v>
      </c>
      <c r="F1451" s="4">
        <v>573103714720</v>
      </c>
      <c r="G1451" s="4">
        <v>67758</v>
      </c>
      <c r="H1451" s="8" t="s">
        <v>13</v>
      </c>
      <c r="I1451" s="4" t="s">
        <v>879</v>
      </c>
      <c r="J1451" s="4" t="s">
        <v>14</v>
      </c>
      <c r="K1451" s="4"/>
      <c r="L1451" s="8" t="s">
        <v>12</v>
      </c>
      <c r="M1451" s="7"/>
      <c r="N1451" s="7"/>
      <c r="O1451" s="7"/>
    </row>
    <row r="1452" spans="1:15" ht="12.75" x14ac:dyDescent="0.2">
      <c r="A1452" s="6">
        <v>45897</v>
      </c>
      <c r="B1452" s="11">
        <f>+MONTH(A1452)</f>
        <v>8</v>
      </c>
      <c r="C1452" s="11">
        <f>+WEEKNUM(A1452)</f>
        <v>35</v>
      </c>
      <c r="D1452" s="4" t="s">
        <v>876</v>
      </c>
      <c r="E1452" s="4" t="s">
        <v>877</v>
      </c>
      <c r="F1452" s="4">
        <v>573504513870</v>
      </c>
      <c r="G1452" s="4">
        <v>62179</v>
      </c>
      <c r="H1452" s="8"/>
      <c r="I1452" s="4"/>
      <c r="J1452" s="4"/>
      <c r="K1452" s="4"/>
      <c r="L1452" s="8"/>
      <c r="M1452" s="7"/>
      <c r="N1452" s="7"/>
      <c r="O1452" s="7"/>
    </row>
    <row r="1453" spans="1:15" ht="25.5" x14ac:dyDescent="0.2">
      <c r="A1453" s="6">
        <v>45897</v>
      </c>
      <c r="B1453" s="11">
        <f>+MONTH(A1453)</f>
        <v>8</v>
      </c>
      <c r="C1453" s="11">
        <f>+WEEKNUM(A1453)</f>
        <v>35</v>
      </c>
      <c r="D1453" s="4" t="s">
        <v>874</v>
      </c>
      <c r="E1453" s="4" t="s">
        <v>875</v>
      </c>
      <c r="F1453" s="4">
        <v>573014500566</v>
      </c>
      <c r="G1453" s="4">
        <v>67173</v>
      </c>
      <c r="H1453" s="8"/>
      <c r="I1453" s="4"/>
      <c r="J1453" s="4"/>
      <c r="K1453" s="4"/>
      <c r="L1453" s="8"/>
      <c r="M1453" s="7"/>
      <c r="N1453" s="7"/>
      <c r="O1453" s="7"/>
    </row>
    <row r="1454" spans="1:15" ht="12.75" x14ac:dyDescent="0.2">
      <c r="A1454" s="6">
        <v>45897</v>
      </c>
      <c r="B1454" s="11">
        <f>+MONTH(A1454)</f>
        <v>8</v>
      </c>
      <c r="C1454" s="11">
        <f>+WEEKNUM(A1454)</f>
        <v>35</v>
      </c>
      <c r="D1454" s="4" t="s">
        <v>35</v>
      </c>
      <c r="E1454" s="4" t="s">
        <v>873</v>
      </c>
      <c r="F1454" s="4">
        <v>573185021989</v>
      </c>
      <c r="G1454" s="4">
        <v>67773</v>
      </c>
      <c r="H1454" s="8"/>
      <c r="I1454" s="4"/>
      <c r="J1454" s="4"/>
      <c r="K1454" s="4"/>
      <c r="L1454" s="8"/>
      <c r="M1454" s="7"/>
      <c r="N1454" s="7"/>
      <c r="O1454" s="7"/>
    </row>
    <row r="1455" spans="1:15" ht="114.75" x14ac:dyDescent="0.2">
      <c r="A1455" s="6">
        <v>45897</v>
      </c>
      <c r="B1455" s="11">
        <f>+MONTH(A1455)</f>
        <v>8</v>
      </c>
      <c r="C1455" s="11">
        <f>+WEEKNUM(A1455)</f>
        <v>35</v>
      </c>
      <c r="D1455" s="4" t="s">
        <v>145</v>
      </c>
      <c r="E1455" s="4" t="s">
        <v>870</v>
      </c>
      <c r="F1455" s="4">
        <v>573003034203</v>
      </c>
      <c r="G1455" s="4">
        <v>67227</v>
      </c>
      <c r="H1455" s="8" t="s">
        <v>13</v>
      </c>
      <c r="I1455" s="4" t="s">
        <v>871</v>
      </c>
      <c r="J1455" s="5" t="s">
        <v>872</v>
      </c>
      <c r="K1455" s="4"/>
      <c r="L1455" s="8" t="s">
        <v>12</v>
      </c>
      <c r="M1455" s="7"/>
      <c r="N1455" s="7"/>
      <c r="O1455" s="7"/>
    </row>
    <row r="1456" spans="1:15" ht="12.75" x14ac:dyDescent="0.2">
      <c r="A1456" s="6">
        <v>45897</v>
      </c>
      <c r="B1456" s="11">
        <f>+MONTH(A1456)</f>
        <v>8</v>
      </c>
      <c r="C1456" s="11">
        <f>+WEEKNUM(A1456)</f>
        <v>35</v>
      </c>
      <c r="D1456" s="4" t="s">
        <v>868</v>
      </c>
      <c r="E1456" s="4" t="s">
        <v>869</v>
      </c>
      <c r="F1456" s="4">
        <v>573127428748</v>
      </c>
      <c r="G1456" s="4">
        <v>67739</v>
      </c>
      <c r="H1456" s="8" t="s">
        <v>13</v>
      </c>
      <c r="I1456" s="4"/>
      <c r="J1456" s="4"/>
      <c r="K1456" s="4"/>
      <c r="L1456" s="8" t="s">
        <v>12</v>
      </c>
      <c r="M1456" s="7"/>
      <c r="N1456" s="7"/>
      <c r="O1456" s="7"/>
    </row>
    <row r="1457" spans="1:15" ht="153" x14ac:dyDescent="0.2">
      <c r="A1457" s="6">
        <v>45897</v>
      </c>
      <c r="B1457" s="11">
        <f>+MONTH(A1457)</f>
        <v>8</v>
      </c>
      <c r="C1457" s="11">
        <f>+WEEKNUM(A1457)</f>
        <v>35</v>
      </c>
      <c r="D1457" s="4" t="s">
        <v>121</v>
      </c>
      <c r="E1457" s="4" t="s">
        <v>865</v>
      </c>
      <c r="F1457" s="4">
        <v>573017584002</v>
      </c>
      <c r="G1457" s="4">
        <v>66735</v>
      </c>
      <c r="H1457" s="8" t="s">
        <v>13</v>
      </c>
      <c r="I1457" s="4" t="s">
        <v>866</v>
      </c>
      <c r="J1457" s="5" t="s">
        <v>867</v>
      </c>
      <c r="K1457" s="4"/>
      <c r="L1457" s="8" t="s">
        <v>12</v>
      </c>
      <c r="M1457" s="7"/>
      <c r="N1457" s="7"/>
      <c r="O1457" s="7"/>
    </row>
    <row r="1458" spans="1:15" ht="25.5" x14ac:dyDescent="0.2">
      <c r="A1458" s="6">
        <v>45897</v>
      </c>
      <c r="B1458" s="11">
        <f>+MONTH(A1458)</f>
        <v>8</v>
      </c>
      <c r="C1458" s="11">
        <f>+WEEKNUM(A1458)</f>
        <v>35</v>
      </c>
      <c r="D1458" s="4" t="s">
        <v>265</v>
      </c>
      <c r="E1458" s="4" t="s">
        <v>864</v>
      </c>
      <c r="F1458" s="4">
        <v>573124429316</v>
      </c>
      <c r="G1458" s="4">
        <v>67562</v>
      </c>
      <c r="H1458" s="8"/>
      <c r="I1458" s="4"/>
      <c r="J1458" s="4"/>
      <c r="K1458" s="4"/>
      <c r="L1458" s="8"/>
      <c r="M1458" s="7"/>
      <c r="N1458" s="7"/>
      <c r="O1458" s="7"/>
    </row>
    <row r="1459" spans="1:15" ht="12.75" x14ac:dyDescent="0.2">
      <c r="A1459" s="6">
        <v>45897</v>
      </c>
      <c r="B1459" s="11">
        <f>+MONTH(A1459)</f>
        <v>8</v>
      </c>
      <c r="C1459" s="11">
        <f>+WEEKNUM(A1459)</f>
        <v>35</v>
      </c>
      <c r="D1459" s="4" t="s">
        <v>48</v>
      </c>
      <c r="E1459" s="4" t="s">
        <v>863</v>
      </c>
      <c r="F1459" s="4">
        <v>573115003291</v>
      </c>
      <c r="G1459" s="4">
        <v>67697</v>
      </c>
      <c r="H1459" s="8"/>
      <c r="I1459" s="4"/>
      <c r="J1459" s="4"/>
      <c r="K1459" s="4"/>
      <c r="L1459" s="8"/>
      <c r="M1459" s="7"/>
      <c r="N1459" s="7"/>
      <c r="O1459" s="7"/>
    </row>
    <row r="1460" spans="1:15" ht="12.75" x14ac:dyDescent="0.2">
      <c r="A1460" s="6">
        <v>45897</v>
      </c>
      <c r="B1460" s="11">
        <f>+MONTH(A1460)</f>
        <v>8</v>
      </c>
      <c r="C1460" s="11">
        <f>+WEEKNUM(A1460)</f>
        <v>35</v>
      </c>
      <c r="D1460" s="4" t="s">
        <v>861</v>
      </c>
      <c r="E1460" s="4" t="s">
        <v>862</v>
      </c>
      <c r="F1460" s="4">
        <v>573006546027</v>
      </c>
      <c r="G1460" s="4">
        <v>67101</v>
      </c>
      <c r="H1460" s="8"/>
      <c r="I1460" s="4"/>
      <c r="J1460" s="4"/>
      <c r="K1460" s="4"/>
      <c r="L1460" s="8"/>
      <c r="M1460" s="7"/>
      <c r="N1460" s="7"/>
      <c r="O1460" s="7"/>
    </row>
    <row r="1461" spans="1:15" ht="12.75" x14ac:dyDescent="0.2">
      <c r="A1461" s="6">
        <v>45897</v>
      </c>
      <c r="B1461" s="11">
        <f>+MONTH(A1461)</f>
        <v>8</v>
      </c>
      <c r="C1461" s="11">
        <f>+WEEKNUM(A1461)</f>
        <v>35</v>
      </c>
      <c r="D1461" s="4" t="s">
        <v>859</v>
      </c>
      <c r="E1461" s="4" t="s">
        <v>860</v>
      </c>
      <c r="F1461" s="4">
        <v>573017788580</v>
      </c>
      <c r="G1461" s="4">
        <v>67497</v>
      </c>
      <c r="H1461" s="8"/>
      <c r="I1461" s="4"/>
      <c r="J1461" s="4"/>
      <c r="K1461" s="4"/>
      <c r="L1461" s="8"/>
      <c r="M1461" s="7"/>
      <c r="N1461" s="7"/>
      <c r="O1461" s="7"/>
    </row>
    <row r="1462" spans="1:15" ht="25.5" x14ac:dyDescent="0.2">
      <c r="A1462" s="6">
        <v>45897</v>
      </c>
      <c r="B1462" s="11">
        <f>+MONTH(A1462)</f>
        <v>8</v>
      </c>
      <c r="C1462" s="11">
        <f>+WEEKNUM(A1462)</f>
        <v>35</v>
      </c>
      <c r="D1462" s="4" t="s">
        <v>857</v>
      </c>
      <c r="E1462" s="4" t="s">
        <v>858</v>
      </c>
      <c r="F1462" s="4">
        <v>573209182472</v>
      </c>
      <c r="G1462" s="4">
        <v>67585</v>
      </c>
      <c r="H1462" s="8"/>
      <c r="I1462" s="4"/>
      <c r="J1462" s="4"/>
      <c r="K1462" s="4"/>
      <c r="L1462" s="8"/>
      <c r="M1462" s="7"/>
      <c r="N1462" s="7"/>
      <c r="O1462" s="7"/>
    </row>
    <row r="1463" spans="1:15" ht="25.5" x14ac:dyDescent="0.2">
      <c r="A1463" s="6">
        <v>45897</v>
      </c>
      <c r="B1463" s="11">
        <f>+MONTH(A1463)</f>
        <v>8</v>
      </c>
      <c r="C1463" s="11">
        <f>+WEEKNUM(A1463)</f>
        <v>35</v>
      </c>
      <c r="D1463" s="4" t="s">
        <v>15</v>
      </c>
      <c r="E1463" s="4" t="s">
        <v>856</v>
      </c>
      <c r="F1463" s="4">
        <v>573124681023</v>
      </c>
      <c r="G1463" s="4">
        <v>67765</v>
      </c>
      <c r="H1463" s="8"/>
      <c r="I1463" s="4"/>
      <c r="J1463" s="4"/>
      <c r="K1463" s="4"/>
      <c r="L1463" s="8"/>
      <c r="M1463" s="7"/>
      <c r="N1463" s="7"/>
      <c r="O1463" s="7"/>
    </row>
    <row r="1464" spans="1:15" ht="25.5" x14ac:dyDescent="0.2">
      <c r="A1464" s="6">
        <v>45897</v>
      </c>
      <c r="B1464" s="11">
        <f>+MONTH(A1464)</f>
        <v>8</v>
      </c>
      <c r="C1464" s="11">
        <f>+WEEKNUM(A1464)</f>
        <v>35</v>
      </c>
      <c r="D1464" s="4" t="s">
        <v>89</v>
      </c>
      <c r="E1464" s="4" t="s">
        <v>855</v>
      </c>
      <c r="F1464" s="4">
        <v>573184074413</v>
      </c>
      <c r="G1464" s="4">
        <v>67618</v>
      </c>
      <c r="H1464" s="8"/>
      <c r="I1464" s="4"/>
      <c r="J1464" s="4"/>
      <c r="K1464" s="4"/>
      <c r="L1464" s="8"/>
      <c r="M1464" s="7"/>
      <c r="N1464" s="7"/>
      <c r="O1464" s="7"/>
    </row>
    <row r="1465" spans="1:15" ht="102" x14ac:dyDescent="0.2">
      <c r="A1465" s="6">
        <v>45897</v>
      </c>
      <c r="B1465" s="11">
        <f>+MONTH(A1465)</f>
        <v>8</v>
      </c>
      <c r="C1465" s="11">
        <f>+WEEKNUM(A1465)</f>
        <v>35</v>
      </c>
      <c r="D1465" s="4" t="s">
        <v>152</v>
      </c>
      <c r="E1465" s="4" t="s">
        <v>853</v>
      </c>
      <c r="F1465" s="4">
        <v>573112132274</v>
      </c>
      <c r="G1465" s="4">
        <v>67645</v>
      </c>
      <c r="H1465" s="8" t="s">
        <v>13</v>
      </c>
      <c r="I1465" s="4" t="s">
        <v>854</v>
      </c>
      <c r="J1465" s="4" t="s">
        <v>14</v>
      </c>
      <c r="K1465" s="4"/>
      <c r="L1465" s="8" t="s">
        <v>12</v>
      </c>
      <c r="M1465" s="7"/>
      <c r="N1465" s="7"/>
      <c r="O1465" s="7"/>
    </row>
    <row r="1466" spans="1:15" ht="165.75" x14ac:dyDescent="0.2">
      <c r="A1466" s="6">
        <v>45897</v>
      </c>
      <c r="B1466" s="11">
        <f>+MONTH(A1466)</f>
        <v>8</v>
      </c>
      <c r="C1466" s="11">
        <f>+WEEKNUM(A1466)</f>
        <v>35</v>
      </c>
      <c r="D1466" s="4" t="s">
        <v>171</v>
      </c>
      <c r="E1466" s="4" t="s">
        <v>850</v>
      </c>
      <c r="F1466" s="4">
        <v>573002120213</v>
      </c>
      <c r="G1466" s="4">
        <v>67676</v>
      </c>
      <c r="H1466" s="8" t="s">
        <v>13</v>
      </c>
      <c r="I1466" s="4" t="s">
        <v>851</v>
      </c>
      <c r="J1466" s="5" t="s">
        <v>852</v>
      </c>
      <c r="K1466" s="4"/>
      <c r="L1466" s="8" t="s">
        <v>12</v>
      </c>
      <c r="M1466" s="7"/>
      <c r="N1466" s="7"/>
      <c r="O1466" s="7"/>
    </row>
    <row r="1467" spans="1:15" ht="331.5" x14ac:dyDescent="0.2">
      <c r="A1467" s="6">
        <v>45896</v>
      </c>
      <c r="B1467" s="11">
        <f>+MONTH(A1467)</f>
        <v>8</v>
      </c>
      <c r="C1467" s="11">
        <f>+WEEKNUM(A1467)</f>
        <v>35</v>
      </c>
      <c r="D1467" s="4" t="s">
        <v>72</v>
      </c>
      <c r="E1467" s="4" t="s">
        <v>847</v>
      </c>
      <c r="F1467" s="4">
        <v>573106951155</v>
      </c>
      <c r="G1467" s="4">
        <v>66777</v>
      </c>
      <c r="H1467" s="8" t="s">
        <v>13</v>
      </c>
      <c r="I1467" s="4" t="s">
        <v>848</v>
      </c>
      <c r="J1467" s="5" t="s">
        <v>849</v>
      </c>
      <c r="K1467" s="4"/>
      <c r="L1467" s="8" t="s">
        <v>12</v>
      </c>
      <c r="M1467" s="7"/>
      <c r="N1467" s="7"/>
      <c r="O1467" s="7"/>
    </row>
    <row r="1468" spans="1:15" ht="12.75" x14ac:dyDescent="0.2">
      <c r="A1468" s="6">
        <v>45896</v>
      </c>
      <c r="B1468" s="11">
        <f>+MONTH(A1468)</f>
        <v>8</v>
      </c>
      <c r="C1468" s="11">
        <f>+WEEKNUM(A1468)</f>
        <v>35</v>
      </c>
      <c r="D1468" s="4" t="s">
        <v>845</v>
      </c>
      <c r="E1468" s="4" t="s">
        <v>846</v>
      </c>
      <c r="F1468" s="4">
        <v>573174531257</v>
      </c>
      <c r="G1468" s="4">
        <v>66803</v>
      </c>
      <c r="H1468" s="8"/>
      <c r="I1468" s="4"/>
      <c r="J1468" s="4"/>
      <c r="K1468" s="4"/>
      <c r="L1468" s="8"/>
      <c r="M1468" s="7"/>
      <c r="N1468" s="7"/>
      <c r="O1468" s="7"/>
    </row>
    <row r="1469" spans="1:15" ht="102" x14ac:dyDescent="0.2">
      <c r="A1469" s="6">
        <v>45896</v>
      </c>
      <c r="B1469" s="11">
        <f>+MONTH(A1469)</f>
        <v>8</v>
      </c>
      <c r="C1469" s="11">
        <f>+WEEKNUM(A1469)</f>
        <v>35</v>
      </c>
      <c r="D1469" s="4" t="s">
        <v>47</v>
      </c>
      <c r="E1469" s="4" t="s">
        <v>842</v>
      </c>
      <c r="F1469" s="4">
        <v>573204180071</v>
      </c>
      <c r="G1469" s="4">
        <v>67689</v>
      </c>
      <c r="H1469" s="8" t="s">
        <v>13</v>
      </c>
      <c r="I1469" s="4" t="s">
        <v>843</v>
      </c>
      <c r="J1469" s="5" t="s">
        <v>844</v>
      </c>
      <c r="K1469" s="4"/>
      <c r="L1469" s="8" t="s">
        <v>12</v>
      </c>
      <c r="M1469" s="7"/>
      <c r="N1469" s="7"/>
      <c r="O1469" s="7"/>
    </row>
    <row r="1470" spans="1:15" ht="12.75" x14ac:dyDescent="0.2">
      <c r="A1470" s="6">
        <v>45896</v>
      </c>
      <c r="B1470" s="11">
        <f>+MONTH(A1470)</f>
        <v>8</v>
      </c>
      <c r="C1470" s="11">
        <f>+WEEKNUM(A1470)</f>
        <v>35</v>
      </c>
      <c r="D1470" s="4" t="s">
        <v>131</v>
      </c>
      <c r="E1470" s="4" t="s">
        <v>483</v>
      </c>
      <c r="F1470" s="4">
        <v>573133722222</v>
      </c>
      <c r="G1470" s="4">
        <v>67675</v>
      </c>
      <c r="H1470" s="8"/>
      <c r="I1470" s="4"/>
      <c r="J1470" s="4"/>
      <c r="K1470" s="4"/>
      <c r="L1470" s="8"/>
      <c r="M1470" s="7"/>
      <c r="N1470" s="7"/>
      <c r="O1470" s="7"/>
    </row>
    <row r="1471" spans="1:15" ht="25.5" x14ac:dyDescent="0.2">
      <c r="A1471" s="6">
        <v>45896</v>
      </c>
      <c r="B1471" s="11">
        <f>+MONTH(A1471)</f>
        <v>8</v>
      </c>
      <c r="C1471" s="11">
        <f>+WEEKNUM(A1471)</f>
        <v>35</v>
      </c>
      <c r="D1471" s="4" t="s">
        <v>840</v>
      </c>
      <c r="E1471" s="4" t="s">
        <v>841</v>
      </c>
      <c r="F1471" s="4">
        <v>573123154797</v>
      </c>
      <c r="G1471" s="4">
        <v>67658</v>
      </c>
      <c r="H1471" s="8"/>
      <c r="I1471" s="4"/>
      <c r="J1471" s="4"/>
      <c r="K1471" s="4"/>
      <c r="L1471" s="8"/>
      <c r="M1471" s="7"/>
      <c r="N1471" s="7"/>
      <c r="O1471" s="7"/>
    </row>
    <row r="1472" spans="1:15" ht="25.5" x14ac:dyDescent="0.2">
      <c r="A1472" s="6">
        <v>45896</v>
      </c>
      <c r="B1472" s="11">
        <f>+MONTH(A1472)</f>
        <v>8</v>
      </c>
      <c r="C1472" s="11">
        <f>+WEEKNUM(A1472)</f>
        <v>35</v>
      </c>
      <c r="D1472" s="4" t="s">
        <v>256</v>
      </c>
      <c r="E1472" s="4" t="s">
        <v>838</v>
      </c>
      <c r="F1472" s="4">
        <v>573202134712</v>
      </c>
      <c r="G1472" s="4">
        <v>67714</v>
      </c>
      <c r="H1472" s="8" t="s">
        <v>13</v>
      </c>
      <c r="I1472" s="4" t="s">
        <v>839</v>
      </c>
      <c r="J1472" s="4" t="s">
        <v>23</v>
      </c>
      <c r="K1472" s="4"/>
      <c r="L1472" s="8" t="s">
        <v>12</v>
      </c>
      <c r="M1472" s="7"/>
      <c r="N1472" s="7"/>
      <c r="O1472" s="7"/>
    </row>
    <row r="1473" spans="1:15" ht="12.75" x14ac:dyDescent="0.2">
      <c r="A1473" s="6">
        <v>45896</v>
      </c>
      <c r="B1473" s="11">
        <f>+MONTH(A1473)</f>
        <v>8</v>
      </c>
      <c r="C1473" s="11">
        <f>+WEEKNUM(A1473)</f>
        <v>35</v>
      </c>
      <c r="D1473" s="4" t="s">
        <v>179</v>
      </c>
      <c r="E1473" s="4" t="s">
        <v>837</v>
      </c>
      <c r="F1473" s="4">
        <v>573123816936</v>
      </c>
      <c r="G1473" s="4">
        <v>67563</v>
      </c>
      <c r="H1473" s="8"/>
      <c r="I1473" s="4"/>
      <c r="J1473" s="4"/>
      <c r="K1473" s="4"/>
      <c r="L1473" s="8"/>
      <c r="M1473" s="7"/>
      <c r="N1473" s="7"/>
      <c r="O1473" s="7"/>
    </row>
    <row r="1474" spans="1:15" ht="165.75" x14ac:dyDescent="0.2">
      <c r="A1474" s="6">
        <v>45895</v>
      </c>
      <c r="B1474" s="11">
        <f>+MONTH(A1474)</f>
        <v>8</v>
      </c>
      <c r="C1474" s="11">
        <f>+WEEKNUM(A1474)</f>
        <v>35</v>
      </c>
      <c r="D1474" s="4" t="s">
        <v>75</v>
      </c>
      <c r="E1474" s="4" t="s">
        <v>836</v>
      </c>
      <c r="F1474" s="4">
        <v>573143419169</v>
      </c>
      <c r="G1474" s="4">
        <v>67547</v>
      </c>
      <c r="H1474" s="8" t="s">
        <v>22</v>
      </c>
      <c r="I1474" s="4" t="s">
        <v>3337</v>
      </c>
      <c r="J1474" s="4"/>
      <c r="K1474" s="4"/>
      <c r="L1474" s="8" t="s">
        <v>12</v>
      </c>
      <c r="M1474" s="7"/>
      <c r="N1474" s="7"/>
      <c r="O1474" s="7"/>
    </row>
    <row r="1475" spans="1:15" ht="12.75" x14ac:dyDescent="0.2">
      <c r="A1475" s="6">
        <v>45895</v>
      </c>
      <c r="B1475" s="11">
        <f>+MONTH(A1475)</f>
        <v>8</v>
      </c>
      <c r="C1475" s="11">
        <f>+WEEKNUM(A1475)</f>
        <v>35</v>
      </c>
      <c r="D1475" s="4" t="s">
        <v>35</v>
      </c>
      <c r="E1475" s="4" t="s">
        <v>835</v>
      </c>
      <c r="F1475" s="4">
        <v>573142938684</v>
      </c>
      <c r="G1475" s="4">
        <v>67361</v>
      </c>
      <c r="H1475" s="8"/>
      <c r="I1475" s="4"/>
      <c r="J1475" s="4"/>
      <c r="K1475" s="4"/>
      <c r="L1475" s="8"/>
      <c r="M1475" s="7"/>
      <c r="N1475" s="7"/>
      <c r="O1475" s="7"/>
    </row>
    <row r="1476" spans="1:15" ht="12.75" x14ac:dyDescent="0.2">
      <c r="A1476" s="6">
        <v>45895</v>
      </c>
      <c r="B1476" s="11">
        <f>+MONTH(A1476)</f>
        <v>8</v>
      </c>
      <c r="C1476" s="11">
        <f>+WEEKNUM(A1476)</f>
        <v>35</v>
      </c>
      <c r="D1476" s="4" t="s">
        <v>152</v>
      </c>
      <c r="E1476" s="4" t="s">
        <v>54</v>
      </c>
      <c r="F1476" s="4">
        <v>573044511125</v>
      </c>
      <c r="G1476" s="4">
        <v>67545</v>
      </c>
      <c r="H1476" s="8"/>
      <c r="I1476" s="4"/>
      <c r="J1476" s="4"/>
      <c r="K1476" s="4"/>
      <c r="L1476" s="8"/>
      <c r="M1476" s="7"/>
      <c r="N1476" s="7"/>
      <c r="O1476" s="7"/>
    </row>
    <row r="1477" spans="1:15" ht="76.5" x14ac:dyDescent="0.2">
      <c r="A1477" s="6">
        <v>45895</v>
      </c>
      <c r="B1477" s="11">
        <f>+MONTH(A1477)</f>
        <v>8</v>
      </c>
      <c r="C1477" s="11">
        <f>+WEEKNUM(A1477)</f>
        <v>35</v>
      </c>
      <c r="D1477" s="4" t="s">
        <v>141</v>
      </c>
      <c r="E1477" s="4" t="s">
        <v>833</v>
      </c>
      <c r="F1477" s="4">
        <v>573214615586</v>
      </c>
      <c r="G1477" s="4">
        <v>67627</v>
      </c>
      <c r="H1477" s="8" t="s">
        <v>13</v>
      </c>
      <c r="I1477" s="4" t="s">
        <v>834</v>
      </c>
      <c r="J1477" s="4" t="s">
        <v>23</v>
      </c>
      <c r="K1477" s="4"/>
      <c r="L1477" s="8" t="s">
        <v>12</v>
      </c>
      <c r="M1477" s="7"/>
      <c r="N1477" s="7"/>
      <c r="O1477" s="7"/>
    </row>
    <row r="1478" spans="1:15" ht="12.75" x14ac:dyDescent="0.2">
      <c r="A1478" s="6">
        <v>45895</v>
      </c>
      <c r="B1478" s="11">
        <f>+MONTH(A1478)</f>
        <v>8</v>
      </c>
      <c r="C1478" s="11">
        <f>+WEEKNUM(A1478)</f>
        <v>35</v>
      </c>
      <c r="D1478" s="4" t="s">
        <v>831</v>
      </c>
      <c r="E1478" s="4" t="s">
        <v>832</v>
      </c>
      <c r="F1478" s="4">
        <v>573147780514</v>
      </c>
      <c r="G1478" s="4">
        <v>67604</v>
      </c>
      <c r="H1478" s="8"/>
      <c r="I1478" s="4"/>
      <c r="J1478" s="4"/>
      <c r="K1478" s="4"/>
      <c r="L1478" s="8"/>
      <c r="M1478" s="7"/>
      <c r="N1478" s="7"/>
      <c r="O1478" s="7"/>
    </row>
    <row r="1479" spans="1:15" ht="12.75" x14ac:dyDescent="0.2">
      <c r="A1479" s="6">
        <v>45895</v>
      </c>
      <c r="B1479" s="11">
        <f>+MONTH(A1479)</f>
        <v>8</v>
      </c>
      <c r="C1479" s="11">
        <f>+WEEKNUM(A1479)</f>
        <v>35</v>
      </c>
      <c r="D1479" s="4" t="s">
        <v>829</v>
      </c>
      <c r="E1479" s="4" t="s">
        <v>830</v>
      </c>
      <c r="F1479" s="4">
        <v>573133549946</v>
      </c>
      <c r="G1479" s="4">
        <v>67622</v>
      </c>
      <c r="H1479" s="8"/>
      <c r="I1479" s="4"/>
      <c r="J1479" s="4"/>
      <c r="K1479" s="4"/>
      <c r="L1479" s="8"/>
      <c r="M1479" s="7"/>
      <c r="N1479" s="7"/>
      <c r="O1479" s="7"/>
    </row>
    <row r="1480" spans="1:15" ht="38.25" x14ac:dyDescent="0.2">
      <c r="A1480" s="6">
        <v>45895</v>
      </c>
      <c r="B1480" s="11">
        <f>+MONTH(A1480)</f>
        <v>8</v>
      </c>
      <c r="C1480" s="11">
        <f>+WEEKNUM(A1480)</f>
        <v>35</v>
      </c>
      <c r="D1480" s="4" t="s">
        <v>825</v>
      </c>
      <c r="E1480" s="4" t="s">
        <v>826</v>
      </c>
      <c r="F1480" s="4">
        <v>573223952057</v>
      </c>
      <c r="G1480" s="4">
        <v>67494</v>
      </c>
      <c r="H1480" s="8" t="s">
        <v>13</v>
      </c>
      <c r="I1480" s="4" t="s">
        <v>827</v>
      </c>
      <c r="J1480" s="5" t="s">
        <v>828</v>
      </c>
      <c r="K1480" s="4"/>
      <c r="L1480" s="8" t="s">
        <v>12</v>
      </c>
      <c r="M1480" s="7"/>
      <c r="N1480" s="7"/>
      <c r="O1480" s="7"/>
    </row>
    <row r="1481" spans="1:15" ht="12.75" x14ac:dyDescent="0.2">
      <c r="A1481" s="6">
        <v>45895</v>
      </c>
      <c r="B1481" s="11">
        <f>+MONTH(A1481)</f>
        <v>8</v>
      </c>
      <c r="C1481" s="11">
        <f>+WEEKNUM(A1481)</f>
        <v>35</v>
      </c>
      <c r="D1481" s="4" t="s">
        <v>824</v>
      </c>
      <c r="E1481" s="4" t="s">
        <v>147</v>
      </c>
      <c r="F1481" s="4">
        <v>573106958059</v>
      </c>
      <c r="G1481" s="4">
        <v>67402</v>
      </c>
      <c r="H1481" s="8"/>
      <c r="I1481" s="4"/>
      <c r="J1481" s="4"/>
      <c r="K1481" s="4"/>
      <c r="L1481" s="8"/>
      <c r="M1481" s="7"/>
      <c r="N1481" s="7"/>
      <c r="O1481" s="7"/>
    </row>
    <row r="1482" spans="1:15" ht="12.75" x14ac:dyDescent="0.2">
      <c r="A1482" s="6">
        <v>45895</v>
      </c>
      <c r="B1482" s="11">
        <f>+MONTH(A1482)</f>
        <v>8</v>
      </c>
      <c r="C1482" s="11">
        <f>+WEEKNUM(A1482)</f>
        <v>35</v>
      </c>
      <c r="D1482" s="4" t="s">
        <v>195</v>
      </c>
      <c r="E1482" s="4" t="s">
        <v>823</v>
      </c>
      <c r="F1482" s="4">
        <v>573138022883</v>
      </c>
      <c r="G1482" s="4">
        <v>67578</v>
      </c>
      <c r="H1482" s="8"/>
      <c r="I1482" s="4"/>
      <c r="J1482" s="4"/>
      <c r="K1482" s="4"/>
      <c r="L1482" s="8"/>
      <c r="M1482" s="7"/>
      <c r="N1482" s="7"/>
      <c r="O1482" s="7"/>
    </row>
    <row r="1483" spans="1:15" ht="12.75" x14ac:dyDescent="0.2">
      <c r="A1483" s="6">
        <v>45895</v>
      </c>
      <c r="B1483" s="11">
        <f>+MONTH(A1483)</f>
        <v>8</v>
      </c>
      <c r="C1483" s="11">
        <f>+WEEKNUM(A1483)</f>
        <v>35</v>
      </c>
      <c r="D1483" s="4" t="s">
        <v>286</v>
      </c>
      <c r="E1483" s="4" t="s">
        <v>822</v>
      </c>
      <c r="F1483" s="4">
        <v>573134843700</v>
      </c>
      <c r="G1483" s="4">
        <v>67570</v>
      </c>
      <c r="H1483" s="8"/>
      <c r="I1483" s="4"/>
      <c r="J1483" s="4"/>
      <c r="K1483" s="4"/>
      <c r="L1483" s="8"/>
      <c r="M1483" s="7"/>
      <c r="N1483" s="7"/>
      <c r="O1483" s="7"/>
    </row>
    <row r="1484" spans="1:15" ht="51" x14ac:dyDescent="0.2">
      <c r="A1484" s="6">
        <v>45895</v>
      </c>
      <c r="B1484" s="11">
        <f>+MONTH(A1484)</f>
        <v>8</v>
      </c>
      <c r="C1484" s="11">
        <f>+WEEKNUM(A1484)</f>
        <v>35</v>
      </c>
      <c r="D1484" s="4" t="s">
        <v>321</v>
      </c>
      <c r="E1484" s="4" t="s">
        <v>820</v>
      </c>
      <c r="F1484" s="4">
        <v>573504838681</v>
      </c>
      <c r="G1484" s="4">
        <v>67408</v>
      </c>
      <c r="H1484" s="8" t="s">
        <v>13</v>
      </c>
      <c r="I1484" s="4" t="s">
        <v>3359</v>
      </c>
      <c r="J1484" s="5" t="s">
        <v>821</v>
      </c>
      <c r="K1484" s="4"/>
      <c r="L1484" s="8" t="s">
        <v>12</v>
      </c>
      <c r="M1484" s="7"/>
      <c r="N1484" s="7"/>
      <c r="O1484" s="7"/>
    </row>
    <row r="1485" spans="1:15" ht="12.75" x14ac:dyDescent="0.2">
      <c r="A1485" s="6">
        <v>45895</v>
      </c>
      <c r="B1485" s="11">
        <f>+MONTH(A1485)</f>
        <v>8</v>
      </c>
      <c r="C1485" s="11">
        <f>+WEEKNUM(A1485)</f>
        <v>35</v>
      </c>
      <c r="D1485" s="4" t="s">
        <v>16</v>
      </c>
      <c r="E1485" s="4" t="s">
        <v>819</v>
      </c>
      <c r="F1485" s="4">
        <v>573213462037</v>
      </c>
      <c r="G1485" s="4">
        <v>66463</v>
      </c>
      <c r="H1485" s="8"/>
      <c r="I1485" s="4"/>
      <c r="J1485" s="4"/>
      <c r="K1485" s="4"/>
      <c r="L1485" s="8"/>
      <c r="M1485" s="7"/>
      <c r="N1485" s="7"/>
      <c r="O1485" s="7"/>
    </row>
    <row r="1486" spans="1:15" ht="12.75" x14ac:dyDescent="0.2">
      <c r="A1486" s="6">
        <v>45895</v>
      </c>
      <c r="B1486" s="11">
        <f>+MONTH(A1486)</f>
        <v>8</v>
      </c>
      <c r="C1486" s="11">
        <f>+WEEKNUM(A1486)</f>
        <v>35</v>
      </c>
      <c r="D1486" s="4" t="s">
        <v>817</v>
      </c>
      <c r="E1486" s="4" t="s">
        <v>818</v>
      </c>
      <c r="F1486" s="4">
        <v>573246876433</v>
      </c>
      <c r="G1486" s="4">
        <v>67466</v>
      </c>
      <c r="H1486" s="8"/>
      <c r="I1486" s="4"/>
      <c r="J1486" s="4"/>
      <c r="K1486" s="4"/>
      <c r="L1486" s="8"/>
      <c r="M1486" s="7"/>
      <c r="N1486" s="7"/>
      <c r="O1486" s="7"/>
    </row>
    <row r="1487" spans="1:15" ht="38.25" x14ac:dyDescent="0.2">
      <c r="A1487" s="6">
        <v>45895</v>
      </c>
      <c r="B1487" s="11">
        <f>+MONTH(A1487)</f>
        <v>8</v>
      </c>
      <c r="C1487" s="11">
        <f>+WEEKNUM(A1487)</f>
        <v>35</v>
      </c>
      <c r="D1487" s="4" t="s">
        <v>67</v>
      </c>
      <c r="E1487" s="4" t="s">
        <v>815</v>
      </c>
      <c r="F1487" s="4">
        <v>573204738571</v>
      </c>
      <c r="G1487" s="4">
        <v>66953</v>
      </c>
      <c r="H1487" s="8" t="s">
        <v>13</v>
      </c>
      <c r="I1487" s="4" t="s">
        <v>816</v>
      </c>
      <c r="J1487" s="4"/>
      <c r="K1487" s="4"/>
      <c r="L1487" s="8" t="s">
        <v>22</v>
      </c>
      <c r="M1487" s="7"/>
      <c r="N1487" s="7"/>
      <c r="O1487" s="7"/>
    </row>
    <row r="1488" spans="1:15" ht="12.75" x14ac:dyDescent="0.2">
      <c r="A1488" s="6">
        <v>45895</v>
      </c>
      <c r="B1488" s="11">
        <f>+MONTH(A1488)</f>
        <v>8</v>
      </c>
      <c r="C1488" s="11">
        <f>+WEEKNUM(A1488)</f>
        <v>35</v>
      </c>
      <c r="D1488" s="4" t="s">
        <v>814</v>
      </c>
      <c r="E1488" s="4" t="s">
        <v>161</v>
      </c>
      <c r="F1488" s="4">
        <v>573057304883</v>
      </c>
      <c r="G1488" s="4">
        <v>67085</v>
      </c>
      <c r="H1488" s="8"/>
      <c r="I1488" s="4"/>
      <c r="J1488" s="4"/>
      <c r="K1488" s="4"/>
      <c r="L1488" s="8"/>
      <c r="M1488" s="7"/>
      <c r="N1488" s="7"/>
      <c r="O1488" s="7"/>
    </row>
    <row r="1489" spans="1:15" ht="12.75" x14ac:dyDescent="0.2">
      <c r="A1489" s="6">
        <v>45895</v>
      </c>
      <c r="B1489" s="11">
        <f>+MONTH(A1489)</f>
        <v>8</v>
      </c>
      <c r="C1489" s="11">
        <f>+WEEKNUM(A1489)</f>
        <v>35</v>
      </c>
      <c r="D1489" s="4" t="s">
        <v>213</v>
      </c>
      <c r="E1489" s="4" t="s">
        <v>813</v>
      </c>
      <c r="F1489" s="4">
        <v>573143426726</v>
      </c>
      <c r="G1489" s="4">
        <v>67488</v>
      </c>
      <c r="H1489" s="8"/>
      <c r="I1489" s="4"/>
      <c r="J1489" s="4"/>
      <c r="K1489" s="4"/>
      <c r="L1489" s="8"/>
      <c r="M1489" s="7"/>
      <c r="N1489" s="7"/>
      <c r="O1489" s="7"/>
    </row>
    <row r="1490" spans="1:15" ht="25.5" x14ac:dyDescent="0.2">
      <c r="A1490" s="6">
        <v>45894</v>
      </c>
      <c r="B1490" s="11">
        <f>+MONTH(A1490)</f>
        <v>8</v>
      </c>
      <c r="C1490" s="11">
        <f>+WEEKNUM(A1490)</f>
        <v>35</v>
      </c>
      <c r="D1490" s="4" t="s">
        <v>811</v>
      </c>
      <c r="E1490" s="4" t="s">
        <v>812</v>
      </c>
      <c r="F1490" s="4">
        <v>573142182081</v>
      </c>
      <c r="G1490" s="4">
        <v>67102</v>
      </c>
      <c r="H1490" s="8"/>
      <c r="I1490" s="4"/>
      <c r="J1490" s="4"/>
      <c r="K1490" s="4"/>
      <c r="L1490" s="8"/>
      <c r="M1490" s="7"/>
      <c r="N1490" s="7"/>
      <c r="O1490" s="7"/>
    </row>
    <row r="1491" spans="1:15" ht="12.75" x14ac:dyDescent="0.2">
      <c r="A1491" s="6">
        <v>45894</v>
      </c>
      <c r="B1491" s="11">
        <f>+MONTH(A1491)</f>
        <v>8</v>
      </c>
      <c r="C1491" s="11">
        <f>+WEEKNUM(A1491)</f>
        <v>35</v>
      </c>
      <c r="D1491" s="4" t="s">
        <v>809</v>
      </c>
      <c r="E1491" s="4" t="s">
        <v>810</v>
      </c>
      <c r="F1491" s="4">
        <v>573212384073</v>
      </c>
      <c r="G1491" s="4">
        <v>66610</v>
      </c>
      <c r="H1491" s="8"/>
      <c r="I1491" s="4"/>
      <c r="J1491" s="4"/>
      <c r="K1491" s="4"/>
      <c r="L1491" s="8"/>
      <c r="M1491" s="7"/>
      <c r="N1491" s="7"/>
      <c r="O1491" s="7"/>
    </row>
    <row r="1492" spans="1:15" ht="25.5" x14ac:dyDescent="0.2">
      <c r="A1492" s="6">
        <v>45894</v>
      </c>
      <c r="B1492" s="11">
        <f>+MONTH(A1492)</f>
        <v>8</v>
      </c>
      <c r="C1492" s="11">
        <f>+WEEKNUM(A1492)</f>
        <v>35</v>
      </c>
      <c r="D1492" s="4" t="s">
        <v>66</v>
      </c>
      <c r="E1492" s="4" t="s">
        <v>808</v>
      </c>
      <c r="F1492" s="4">
        <v>573178111343</v>
      </c>
      <c r="G1492" s="4">
        <v>66466</v>
      </c>
      <c r="H1492" s="8" t="s">
        <v>13</v>
      </c>
      <c r="I1492" s="4" t="s">
        <v>243</v>
      </c>
      <c r="J1492" s="4" t="s">
        <v>14</v>
      </c>
      <c r="K1492" s="4"/>
      <c r="L1492" s="8" t="s">
        <v>12</v>
      </c>
      <c r="M1492" s="7"/>
      <c r="N1492" s="7"/>
      <c r="O1492" s="7"/>
    </row>
    <row r="1493" spans="1:15" ht="12.75" x14ac:dyDescent="0.2">
      <c r="A1493" s="6">
        <v>45894</v>
      </c>
      <c r="B1493" s="11">
        <f>+MONTH(A1493)</f>
        <v>8</v>
      </c>
      <c r="C1493" s="11">
        <f>+WEEKNUM(A1493)</f>
        <v>35</v>
      </c>
      <c r="D1493" s="4" t="s">
        <v>806</v>
      </c>
      <c r="E1493" s="4" t="s">
        <v>807</v>
      </c>
      <c r="F1493" s="4">
        <v>573224724625</v>
      </c>
      <c r="G1493" s="4">
        <v>65550</v>
      </c>
      <c r="H1493" s="8"/>
      <c r="I1493" s="4"/>
      <c r="J1493" s="4"/>
      <c r="K1493" s="4"/>
      <c r="L1493" s="8"/>
      <c r="M1493" s="7"/>
      <c r="N1493" s="7"/>
      <c r="O1493" s="7"/>
    </row>
    <row r="1494" spans="1:15" ht="12.75" x14ac:dyDescent="0.2">
      <c r="A1494" s="6">
        <v>45894</v>
      </c>
      <c r="B1494" s="11">
        <f>+MONTH(A1494)</f>
        <v>8</v>
      </c>
      <c r="C1494" s="11">
        <f>+WEEKNUM(A1494)</f>
        <v>35</v>
      </c>
      <c r="D1494" s="4" t="s">
        <v>36</v>
      </c>
      <c r="E1494" s="4" t="s">
        <v>805</v>
      </c>
      <c r="F1494" s="4">
        <v>573138803892</v>
      </c>
      <c r="G1494" s="4">
        <v>65544</v>
      </c>
      <c r="H1494" s="8"/>
      <c r="I1494" s="4"/>
      <c r="J1494" s="4"/>
      <c r="K1494" s="4"/>
      <c r="L1494" s="8"/>
      <c r="M1494" s="7"/>
      <c r="N1494" s="7"/>
      <c r="O1494" s="7"/>
    </row>
    <row r="1495" spans="1:15" ht="12.75" x14ac:dyDescent="0.2">
      <c r="A1495" s="6">
        <v>45894</v>
      </c>
      <c r="B1495" s="11">
        <f>+MONTH(A1495)</f>
        <v>8</v>
      </c>
      <c r="C1495" s="11">
        <f>+WEEKNUM(A1495)</f>
        <v>35</v>
      </c>
      <c r="D1495" s="4" t="s">
        <v>803</v>
      </c>
      <c r="E1495" s="4" t="s">
        <v>804</v>
      </c>
      <c r="F1495" s="4">
        <v>573004535064</v>
      </c>
      <c r="G1495" s="4">
        <v>65540</v>
      </c>
      <c r="H1495" s="8"/>
      <c r="I1495" s="4"/>
      <c r="J1495" s="4"/>
      <c r="K1495" s="4"/>
      <c r="L1495" s="8"/>
      <c r="M1495" s="7"/>
      <c r="N1495" s="7"/>
      <c r="O1495" s="7"/>
    </row>
    <row r="1496" spans="1:15" ht="12.75" x14ac:dyDescent="0.2">
      <c r="A1496" s="6">
        <v>45894</v>
      </c>
      <c r="B1496" s="11">
        <f>+MONTH(A1496)</f>
        <v>8</v>
      </c>
      <c r="C1496" s="11">
        <f>+WEEKNUM(A1496)</f>
        <v>35</v>
      </c>
      <c r="D1496" s="4" t="s">
        <v>801</v>
      </c>
      <c r="E1496" s="4" t="s">
        <v>802</v>
      </c>
      <c r="F1496" s="4">
        <v>573112149948</v>
      </c>
      <c r="G1496" s="4">
        <v>65174</v>
      </c>
      <c r="H1496" s="8"/>
      <c r="I1496" s="4"/>
      <c r="J1496" s="4"/>
      <c r="K1496" s="4"/>
      <c r="L1496" s="8"/>
      <c r="M1496" s="7"/>
      <c r="N1496" s="7"/>
      <c r="O1496" s="7"/>
    </row>
    <row r="1497" spans="1:15" ht="12.75" x14ac:dyDescent="0.2">
      <c r="A1497" s="6">
        <v>45894</v>
      </c>
      <c r="B1497" s="11">
        <f>+MONTH(A1497)</f>
        <v>8</v>
      </c>
      <c r="C1497" s="11">
        <f>+WEEKNUM(A1497)</f>
        <v>35</v>
      </c>
      <c r="D1497" s="4" t="s">
        <v>799</v>
      </c>
      <c r="E1497" s="4" t="s">
        <v>800</v>
      </c>
      <c r="F1497" s="4">
        <v>573023626172</v>
      </c>
      <c r="G1497" s="4">
        <v>65160</v>
      </c>
      <c r="H1497" s="8"/>
      <c r="I1497" s="4"/>
      <c r="J1497" s="4"/>
      <c r="K1497" s="4"/>
      <c r="L1497" s="8"/>
      <c r="M1497" s="7"/>
      <c r="N1497" s="7"/>
      <c r="O1497" s="7"/>
    </row>
    <row r="1498" spans="1:15" ht="12.75" x14ac:dyDescent="0.2">
      <c r="A1498" s="6">
        <v>45894</v>
      </c>
      <c r="B1498" s="11">
        <f>+MONTH(A1498)</f>
        <v>8</v>
      </c>
      <c r="C1498" s="11">
        <f>+WEEKNUM(A1498)</f>
        <v>35</v>
      </c>
      <c r="D1498" s="4" t="s">
        <v>124</v>
      </c>
      <c r="E1498" s="4" t="s">
        <v>798</v>
      </c>
      <c r="F1498" s="4">
        <v>573102447984</v>
      </c>
      <c r="G1498" s="4">
        <v>65100</v>
      </c>
      <c r="H1498" s="8"/>
      <c r="I1498" s="4"/>
      <c r="J1498" s="4"/>
      <c r="K1498" s="4"/>
      <c r="L1498" s="8"/>
      <c r="M1498" s="7"/>
      <c r="N1498" s="7"/>
      <c r="O1498" s="7"/>
    </row>
    <row r="1499" spans="1:15" ht="25.5" x14ac:dyDescent="0.2">
      <c r="A1499" s="6">
        <v>45894</v>
      </c>
      <c r="B1499" s="11">
        <f>+MONTH(A1499)</f>
        <v>8</v>
      </c>
      <c r="C1499" s="11">
        <f>+WEEKNUM(A1499)</f>
        <v>35</v>
      </c>
      <c r="D1499" s="4" t="s">
        <v>75</v>
      </c>
      <c r="E1499" s="4" t="s">
        <v>797</v>
      </c>
      <c r="F1499" s="4">
        <v>573152241869</v>
      </c>
      <c r="G1499" s="4">
        <v>65081</v>
      </c>
      <c r="H1499" s="8"/>
      <c r="I1499" s="4"/>
      <c r="J1499" s="4"/>
      <c r="K1499" s="4"/>
      <c r="L1499" s="8"/>
      <c r="M1499" s="7"/>
      <c r="N1499" s="7"/>
      <c r="O1499" s="7"/>
    </row>
    <row r="1500" spans="1:15" ht="25.5" x14ac:dyDescent="0.2">
      <c r="A1500" s="6">
        <v>45894</v>
      </c>
      <c r="B1500" s="11">
        <f>+MONTH(A1500)</f>
        <v>8</v>
      </c>
      <c r="C1500" s="11">
        <f>+WEEKNUM(A1500)</f>
        <v>35</v>
      </c>
      <c r="D1500" s="4" t="s">
        <v>795</v>
      </c>
      <c r="E1500" s="4" t="s">
        <v>796</v>
      </c>
      <c r="F1500" s="4">
        <v>573233208256</v>
      </c>
      <c r="G1500" s="4">
        <v>64866</v>
      </c>
      <c r="H1500" s="8"/>
      <c r="I1500" s="4"/>
      <c r="J1500" s="4"/>
      <c r="K1500" s="4"/>
      <c r="L1500" s="8"/>
      <c r="M1500" s="7"/>
      <c r="N1500" s="7"/>
      <c r="O1500" s="7"/>
    </row>
    <row r="1501" spans="1:15" ht="25.5" x14ac:dyDescent="0.2">
      <c r="A1501" s="6">
        <v>45894</v>
      </c>
      <c r="B1501" s="11">
        <f>+MONTH(A1501)</f>
        <v>8</v>
      </c>
      <c r="C1501" s="11">
        <f>+WEEKNUM(A1501)</f>
        <v>35</v>
      </c>
      <c r="D1501" s="4" t="s">
        <v>206</v>
      </c>
      <c r="E1501" s="4" t="s">
        <v>794</v>
      </c>
      <c r="F1501" s="4">
        <v>573202911255</v>
      </c>
      <c r="G1501" s="4">
        <v>64785</v>
      </c>
      <c r="H1501" s="8"/>
      <c r="I1501" s="4"/>
      <c r="J1501" s="4"/>
      <c r="K1501" s="4"/>
      <c r="L1501" s="8"/>
      <c r="M1501" s="7"/>
      <c r="N1501" s="7"/>
      <c r="O1501" s="7"/>
    </row>
    <row r="1502" spans="1:15" ht="242.25" x14ac:dyDescent="0.2">
      <c r="A1502" s="6">
        <v>45894</v>
      </c>
      <c r="B1502" s="11">
        <f>+MONTH(A1502)</f>
        <v>8</v>
      </c>
      <c r="C1502" s="11">
        <f>+WEEKNUM(A1502)</f>
        <v>35</v>
      </c>
      <c r="D1502" s="4" t="s">
        <v>16</v>
      </c>
      <c r="E1502" s="4" t="s">
        <v>251</v>
      </c>
      <c r="F1502" s="4">
        <v>573057710877</v>
      </c>
      <c r="G1502" s="4">
        <v>64783</v>
      </c>
      <c r="H1502" s="8" t="s">
        <v>13</v>
      </c>
      <c r="I1502" s="4" t="s">
        <v>793</v>
      </c>
      <c r="J1502" s="4" t="s">
        <v>14</v>
      </c>
      <c r="K1502" s="4"/>
      <c r="L1502" s="8" t="s">
        <v>12</v>
      </c>
      <c r="M1502" s="7"/>
      <c r="N1502" s="7"/>
      <c r="O1502" s="7"/>
    </row>
    <row r="1503" spans="1:15" ht="12.75" x14ac:dyDescent="0.2">
      <c r="A1503" s="6">
        <v>45894</v>
      </c>
      <c r="B1503" s="11">
        <f>+MONTH(A1503)</f>
        <v>8</v>
      </c>
      <c r="C1503" s="11">
        <f>+WEEKNUM(A1503)</f>
        <v>35</v>
      </c>
      <c r="D1503" s="4" t="s">
        <v>791</v>
      </c>
      <c r="E1503" s="4" t="s">
        <v>792</v>
      </c>
      <c r="F1503" s="4">
        <v>573102333765</v>
      </c>
      <c r="G1503" s="4">
        <v>64776</v>
      </c>
      <c r="H1503" s="8"/>
      <c r="I1503" s="4"/>
      <c r="J1503" s="4"/>
      <c r="K1503" s="4"/>
      <c r="L1503" s="8"/>
      <c r="M1503" s="7"/>
      <c r="N1503" s="7"/>
      <c r="O1503" s="7"/>
    </row>
    <row r="1504" spans="1:15" ht="12.75" x14ac:dyDescent="0.2">
      <c r="A1504" s="6">
        <v>45894</v>
      </c>
      <c r="B1504" s="11">
        <f>+MONTH(A1504)</f>
        <v>8</v>
      </c>
      <c r="C1504" s="11">
        <f>+WEEKNUM(A1504)</f>
        <v>35</v>
      </c>
      <c r="D1504" s="4" t="s">
        <v>287</v>
      </c>
      <c r="E1504" s="4" t="s">
        <v>87</v>
      </c>
      <c r="F1504" s="4">
        <v>573202506283</v>
      </c>
      <c r="G1504" s="4">
        <v>64595</v>
      </c>
      <c r="H1504" s="8"/>
      <c r="I1504" s="4"/>
      <c r="J1504" s="4"/>
      <c r="K1504" s="4"/>
      <c r="L1504" s="8"/>
      <c r="M1504" s="7"/>
      <c r="N1504" s="7"/>
      <c r="O1504" s="7"/>
    </row>
    <row r="1505" spans="1:15" ht="12.75" x14ac:dyDescent="0.2">
      <c r="A1505" s="6">
        <v>45894</v>
      </c>
      <c r="B1505" s="11">
        <f>+MONTH(A1505)</f>
        <v>8</v>
      </c>
      <c r="C1505" s="11">
        <f>+WEEKNUM(A1505)</f>
        <v>35</v>
      </c>
      <c r="D1505" s="4" t="s">
        <v>152</v>
      </c>
      <c r="E1505" s="4" t="s">
        <v>790</v>
      </c>
      <c r="F1505" s="4">
        <v>573112841598</v>
      </c>
      <c r="G1505" s="4">
        <v>64541</v>
      </c>
      <c r="H1505" s="8"/>
      <c r="I1505" s="4"/>
      <c r="J1505" s="4"/>
      <c r="K1505" s="4"/>
      <c r="L1505" s="8"/>
      <c r="M1505" s="7"/>
      <c r="N1505" s="7"/>
      <c r="O1505" s="7"/>
    </row>
    <row r="1506" spans="1:15" ht="12.75" x14ac:dyDescent="0.2">
      <c r="A1506" s="6">
        <v>45894</v>
      </c>
      <c r="B1506" s="11">
        <f>+MONTH(A1506)</f>
        <v>8</v>
      </c>
      <c r="C1506" s="11">
        <f>+WEEKNUM(A1506)</f>
        <v>35</v>
      </c>
      <c r="D1506" s="4" t="s">
        <v>110</v>
      </c>
      <c r="E1506" s="4" t="s">
        <v>789</v>
      </c>
      <c r="F1506" s="4">
        <v>573007278248</v>
      </c>
      <c r="G1506" s="4">
        <v>64514</v>
      </c>
      <c r="H1506" s="8"/>
      <c r="I1506" s="4"/>
      <c r="J1506" s="4"/>
      <c r="K1506" s="4"/>
      <c r="L1506" s="8"/>
      <c r="M1506" s="7"/>
      <c r="N1506" s="7"/>
      <c r="O1506" s="7"/>
    </row>
    <row r="1507" spans="1:15" ht="25.5" x14ac:dyDescent="0.2">
      <c r="A1507" s="6">
        <v>45894</v>
      </c>
      <c r="B1507" s="11">
        <f>+MONTH(A1507)</f>
        <v>8</v>
      </c>
      <c r="C1507" s="11">
        <f>+WEEKNUM(A1507)</f>
        <v>35</v>
      </c>
      <c r="D1507" s="4" t="s">
        <v>33</v>
      </c>
      <c r="E1507" s="4" t="s">
        <v>788</v>
      </c>
      <c r="F1507" s="4">
        <v>573144319434</v>
      </c>
      <c r="G1507" s="4">
        <v>63196</v>
      </c>
      <c r="H1507" s="8"/>
      <c r="I1507" s="4"/>
      <c r="J1507" s="4"/>
      <c r="K1507" s="4"/>
      <c r="L1507" s="8"/>
      <c r="M1507" s="7"/>
      <c r="N1507" s="7"/>
      <c r="O1507" s="7"/>
    </row>
    <row r="1508" spans="1:15" ht="12.75" x14ac:dyDescent="0.2">
      <c r="A1508" s="6">
        <v>45894</v>
      </c>
      <c r="B1508" s="11">
        <f>+MONTH(A1508)</f>
        <v>8</v>
      </c>
      <c r="C1508" s="11">
        <f>+WEEKNUM(A1508)</f>
        <v>35</v>
      </c>
      <c r="D1508" s="4" t="s">
        <v>311</v>
      </c>
      <c r="E1508" s="4" t="s">
        <v>312</v>
      </c>
      <c r="F1508" s="4">
        <v>573193193879</v>
      </c>
      <c r="G1508" s="4">
        <v>67389</v>
      </c>
      <c r="H1508" s="8"/>
      <c r="I1508" s="4"/>
      <c r="J1508" s="4"/>
      <c r="K1508" s="4"/>
      <c r="L1508" s="8"/>
      <c r="M1508" s="7"/>
      <c r="N1508" s="7"/>
      <c r="O1508" s="7"/>
    </row>
    <row r="1509" spans="1:15" ht="25.5" x14ac:dyDescent="0.2">
      <c r="A1509" s="6">
        <v>45894</v>
      </c>
      <c r="B1509" s="11">
        <f>+MONTH(A1509)</f>
        <v>8</v>
      </c>
      <c r="C1509" s="11">
        <f>+WEEKNUM(A1509)</f>
        <v>35</v>
      </c>
      <c r="D1509" s="4" t="s">
        <v>152</v>
      </c>
      <c r="E1509" s="4" t="s">
        <v>787</v>
      </c>
      <c r="F1509" s="4">
        <v>573208153546</v>
      </c>
      <c r="G1509" s="4">
        <v>66943</v>
      </c>
      <c r="H1509" s="8"/>
      <c r="I1509" s="4"/>
      <c r="J1509" s="4"/>
      <c r="K1509" s="4"/>
      <c r="L1509" s="8"/>
      <c r="M1509" s="7"/>
      <c r="N1509" s="7"/>
      <c r="O1509" s="7"/>
    </row>
    <row r="1510" spans="1:15" ht="12.75" x14ac:dyDescent="0.2">
      <c r="A1510" s="6">
        <v>45894</v>
      </c>
      <c r="B1510" s="11">
        <f>+MONTH(A1510)</f>
        <v>8</v>
      </c>
      <c r="C1510" s="11">
        <f>+WEEKNUM(A1510)</f>
        <v>35</v>
      </c>
      <c r="D1510" s="4" t="s">
        <v>59</v>
      </c>
      <c r="E1510" s="4" t="s">
        <v>194</v>
      </c>
      <c r="F1510" s="4">
        <v>573214843168</v>
      </c>
      <c r="G1510" s="4">
        <v>67012</v>
      </c>
      <c r="H1510" s="8"/>
      <c r="I1510" s="4"/>
      <c r="J1510" s="4"/>
      <c r="K1510" s="4"/>
      <c r="L1510" s="8"/>
      <c r="M1510" s="7"/>
      <c r="N1510" s="7"/>
      <c r="O1510" s="7"/>
    </row>
    <row r="1511" spans="1:15" ht="25.5" x14ac:dyDescent="0.2">
      <c r="A1511" s="6">
        <v>45894</v>
      </c>
      <c r="B1511" s="11">
        <f>+MONTH(A1511)</f>
        <v>8</v>
      </c>
      <c r="C1511" s="11">
        <f>+WEEKNUM(A1511)</f>
        <v>35</v>
      </c>
      <c r="D1511" s="4" t="s">
        <v>785</v>
      </c>
      <c r="E1511" s="4" t="s">
        <v>786</v>
      </c>
      <c r="F1511" s="4">
        <v>573219867920</v>
      </c>
      <c r="G1511" s="4">
        <v>67089</v>
      </c>
      <c r="H1511" s="8"/>
      <c r="I1511" s="4"/>
      <c r="J1511" s="4"/>
      <c r="K1511" s="4"/>
      <c r="L1511" s="8"/>
      <c r="M1511" s="7"/>
      <c r="N1511" s="7"/>
      <c r="O1511" s="7"/>
    </row>
    <row r="1512" spans="1:15" ht="12.75" x14ac:dyDescent="0.2">
      <c r="A1512" s="6">
        <v>45894</v>
      </c>
      <c r="B1512" s="11">
        <f>+MONTH(A1512)</f>
        <v>8</v>
      </c>
      <c r="C1512" s="11">
        <f>+WEEKNUM(A1512)</f>
        <v>35</v>
      </c>
      <c r="D1512" s="4" t="s">
        <v>253</v>
      </c>
      <c r="E1512" s="4" t="s">
        <v>784</v>
      </c>
      <c r="F1512" s="4">
        <v>573223967588</v>
      </c>
      <c r="G1512" s="4">
        <v>67098</v>
      </c>
      <c r="H1512" s="8"/>
      <c r="I1512" s="4"/>
      <c r="J1512" s="4"/>
      <c r="K1512" s="4"/>
      <c r="L1512" s="8"/>
      <c r="M1512" s="7"/>
      <c r="N1512" s="7"/>
      <c r="O1512" s="7"/>
    </row>
    <row r="1513" spans="1:15" ht="12.75" x14ac:dyDescent="0.2">
      <c r="A1513" s="6">
        <v>45894</v>
      </c>
      <c r="B1513" s="11">
        <f>+MONTH(A1513)</f>
        <v>8</v>
      </c>
      <c r="C1513" s="11">
        <f>+WEEKNUM(A1513)</f>
        <v>35</v>
      </c>
      <c r="D1513" s="4" t="s">
        <v>783</v>
      </c>
      <c r="E1513" s="4" t="s">
        <v>153</v>
      </c>
      <c r="F1513" s="4">
        <v>573115708063</v>
      </c>
      <c r="G1513" s="4">
        <v>67524</v>
      </c>
      <c r="H1513" s="8"/>
      <c r="I1513" s="4"/>
      <c r="J1513" s="4"/>
      <c r="K1513" s="4"/>
      <c r="L1513" s="8"/>
      <c r="M1513" s="7"/>
      <c r="N1513" s="7"/>
      <c r="O1513" s="7"/>
    </row>
    <row r="1514" spans="1:15" ht="38.25" x14ac:dyDescent="0.2">
      <c r="A1514" s="6">
        <v>45894</v>
      </c>
      <c r="B1514" s="11">
        <f>+MONTH(A1514)</f>
        <v>8</v>
      </c>
      <c r="C1514" s="11">
        <f>+WEEKNUM(A1514)</f>
        <v>35</v>
      </c>
      <c r="D1514" s="4" t="s">
        <v>779</v>
      </c>
      <c r="E1514" s="4" t="s">
        <v>780</v>
      </c>
      <c r="F1514" s="4">
        <v>573212353122</v>
      </c>
      <c r="G1514" s="4">
        <v>67060</v>
      </c>
      <c r="H1514" s="8" t="s">
        <v>13</v>
      </c>
      <c r="I1514" s="4" t="s">
        <v>781</v>
      </c>
      <c r="J1514" s="5" t="s">
        <v>782</v>
      </c>
      <c r="K1514" s="4"/>
      <c r="L1514" s="8" t="s">
        <v>12</v>
      </c>
      <c r="M1514" s="7"/>
      <c r="N1514" s="7"/>
      <c r="O1514" s="7"/>
    </row>
    <row r="1515" spans="1:15" ht="12.75" x14ac:dyDescent="0.2">
      <c r="A1515" s="6">
        <v>45894</v>
      </c>
      <c r="B1515" s="11">
        <f>+MONTH(A1515)</f>
        <v>8</v>
      </c>
      <c r="C1515" s="11">
        <f>+WEEKNUM(A1515)</f>
        <v>35</v>
      </c>
      <c r="D1515" s="4" t="s">
        <v>50</v>
      </c>
      <c r="E1515" s="4" t="s">
        <v>778</v>
      </c>
      <c r="F1515" s="4">
        <v>573115766277</v>
      </c>
      <c r="G1515" s="4">
        <v>67427</v>
      </c>
      <c r="H1515" s="8"/>
      <c r="I1515" s="4"/>
      <c r="J1515" s="4"/>
      <c r="K1515" s="4"/>
      <c r="L1515" s="8"/>
      <c r="M1515" s="7"/>
      <c r="N1515" s="7"/>
      <c r="O1515" s="7"/>
    </row>
    <row r="1516" spans="1:15" ht="165.75" x14ac:dyDescent="0.2">
      <c r="A1516" s="6">
        <v>45894</v>
      </c>
      <c r="B1516" s="11">
        <f>+MONTH(A1516)</f>
        <v>8</v>
      </c>
      <c r="C1516" s="11">
        <f>+WEEKNUM(A1516)</f>
        <v>35</v>
      </c>
      <c r="D1516" s="4" t="s">
        <v>242</v>
      </c>
      <c r="E1516" s="4" t="s">
        <v>777</v>
      </c>
      <c r="F1516" s="4">
        <v>573103022443</v>
      </c>
      <c r="G1516" s="4">
        <v>67322</v>
      </c>
      <c r="H1516" s="8" t="s">
        <v>22</v>
      </c>
      <c r="I1516" s="4" t="s">
        <v>3373</v>
      </c>
      <c r="J1516" s="4"/>
      <c r="K1516" s="4"/>
      <c r="L1516" s="8" t="s">
        <v>71</v>
      </c>
      <c r="M1516" s="7"/>
      <c r="N1516" s="7"/>
      <c r="O1516" s="7"/>
    </row>
    <row r="1517" spans="1:15" ht="25.5" x14ac:dyDescent="0.2">
      <c r="A1517" s="6">
        <v>45894</v>
      </c>
      <c r="B1517" s="11">
        <f>+MONTH(A1517)</f>
        <v>8</v>
      </c>
      <c r="C1517" s="11">
        <f>+WEEKNUM(A1517)</f>
        <v>35</v>
      </c>
      <c r="D1517" s="4" t="s">
        <v>776</v>
      </c>
      <c r="E1517" s="4" t="s">
        <v>776</v>
      </c>
      <c r="F1517" s="4">
        <v>573105709439</v>
      </c>
      <c r="G1517" s="4">
        <v>67281</v>
      </c>
      <c r="H1517" s="8"/>
      <c r="I1517" s="4"/>
      <c r="J1517" s="4"/>
      <c r="K1517" s="4"/>
      <c r="L1517" s="8"/>
      <c r="M1517" s="7"/>
      <c r="N1517" s="7"/>
      <c r="O1517" s="7"/>
    </row>
    <row r="1518" spans="1:15" ht="25.5" x14ac:dyDescent="0.2">
      <c r="A1518" s="6">
        <v>45894</v>
      </c>
      <c r="B1518" s="11">
        <f>+MONTH(A1518)</f>
        <v>8</v>
      </c>
      <c r="C1518" s="11">
        <f>+WEEKNUM(A1518)</f>
        <v>35</v>
      </c>
      <c r="D1518" s="4" t="s">
        <v>244</v>
      </c>
      <c r="E1518" s="4" t="s">
        <v>775</v>
      </c>
      <c r="F1518" s="4">
        <v>573204818128</v>
      </c>
      <c r="G1518" s="4">
        <v>66856</v>
      </c>
      <c r="H1518" s="8"/>
      <c r="I1518" s="4"/>
      <c r="J1518" s="4"/>
      <c r="K1518" s="4"/>
      <c r="L1518" s="8"/>
      <c r="M1518" s="7"/>
      <c r="N1518" s="7"/>
      <c r="O1518" s="7"/>
    </row>
    <row r="1519" spans="1:15" ht="12.75" x14ac:dyDescent="0.2">
      <c r="A1519" s="6">
        <v>45894</v>
      </c>
      <c r="B1519" s="11">
        <f>+MONTH(A1519)</f>
        <v>8</v>
      </c>
      <c r="C1519" s="11">
        <f>+WEEKNUM(A1519)</f>
        <v>35</v>
      </c>
      <c r="D1519" s="4" t="s">
        <v>774</v>
      </c>
      <c r="E1519" s="4" t="s">
        <v>70</v>
      </c>
      <c r="F1519" s="4">
        <v>573103737769</v>
      </c>
      <c r="G1519" s="4">
        <v>66188</v>
      </c>
      <c r="H1519" s="8"/>
      <c r="I1519" s="4"/>
      <c r="J1519" s="4"/>
      <c r="K1519" s="4"/>
      <c r="L1519" s="8"/>
      <c r="M1519" s="7"/>
      <c r="N1519" s="7"/>
      <c r="O1519" s="7"/>
    </row>
    <row r="1520" spans="1:15" ht="12.75" x14ac:dyDescent="0.2">
      <c r="A1520" s="6">
        <v>45894</v>
      </c>
      <c r="B1520" s="11">
        <f>+MONTH(A1520)</f>
        <v>8</v>
      </c>
      <c r="C1520" s="11">
        <f>+WEEKNUM(A1520)</f>
        <v>35</v>
      </c>
      <c r="D1520" s="4" t="s">
        <v>271</v>
      </c>
      <c r="E1520" s="4" t="s">
        <v>773</v>
      </c>
      <c r="F1520" s="4">
        <v>573112202173</v>
      </c>
      <c r="G1520" s="4">
        <v>67155</v>
      </c>
      <c r="H1520" s="8"/>
      <c r="I1520" s="4"/>
      <c r="J1520" s="4"/>
      <c r="K1520" s="4"/>
      <c r="L1520" s="8"/>
      <c r="M1520" s="7"/>
      <c r="N1520" s="7"/>
      <c r="O1520" s="7"/>
    </row>
    <row r="1521" spans="1:15" ht="25.5" x14ac:dyDescent="0.2">
      <c r="A1521" s="6">
        <v>45892</v>
      </c>
      <c r="B1521" s="11">
        <f>+MONTH(A1521)</f>
        <v>8</v>
      </c>
      <c r="C1521" s="11">
        <f>+WEEKNUM(A1521)</f>
        <v>34</v>
      </c>
      <c r="D1521" s="4" t="s">
        <v>771</v>
      </c>
      <c r="E1521" s="4" t="s">
        <v>772</v>
      </c>
      <c r="F1521" s="4">
        <v>573183395989</v>
      </c>
      <c r="G1521" s="4">
        <v>44872</v>
      </c>
      <c r="H1521" s="8"/>
      <c r="I1521" s="4"/>
      <c r="J1521" s="4"/>
      <c r="K1521" s="4"/>
      <c r="L1521" s="8"/>
      <c r="M1521" s="7"/>
      <c r="N1521" s="7"/>
      <c r="O1521" s="7"/>
    </row>
    <row r="1522" spans="1:15" ht="63.75" x14ac:dyDescent="0.2">
      <c r="A1522" s="6">
        <v>45892</v>
      </c>
      <c r="B1522" s="11">
        <f>+MONTH(A1522)</f>
        <v>8</v>
      </c>
      <c r="C1522" s="11">
        <f>+WEEKNUM(A1522)</f>
        <v>34</v>
      </c>
      <c r="D1522" s="4" t="s">
        <v>767</v>
      </c>
      <c r="E1522" s="4" t="s">
        <v>768</v>
      </c>
      <c r="F1522" s="4">
        <v>573024658487</v>
      </c>
      <c r="G1522" s="4">
        <v>67397</v>
      </c>
      <c r="H1522" s="8" t="s">
        <v>13</v>
      </c>
      <c r="I1522" s="4" t="s">
        <v>769</v>
      </c>
      <c r="J1522" s="5" t="s">
        <v>770</v>
      </c>
      <c r="K1522" s="4"/>
      <c r="L1522" s="8" t="s">
        <v>12</v>
      </c>
      <c r="M1522" s="7"/>
      <c r="N1522" s="7"/>
      <c r="O1522" s="7"/>
    </row>
    <row r="1523" spans="1:15" ht="25.5" x14ac:dyDescent="0.2">
      <c r="A1523" s="6">
        <v>45892</v>
      </c>
      <c r="B1523" s="11">
        <f>+MONTH(A1523)</f>
        <v>8</v>
      </c>
      <c r="C1523" s="11">
        <f>+WEEKNUM(A1523)</f>
        <v>34</v>
      </c>
      <c r="D1523" s="4" t="s">
        <v>765</v>
      </c>
      <c r="E1523" s="4" t="s">
        <v>766</v>
      </c>
      <c r="F1523" s="4">
        <v>573108855613</v>
      </c>
      <c r="G1523" s="4">
        <v>67246</v>
      </c>
      <c r="H1523" s="8"/>
      <c r="I1523" s="4"/>
      <c r="J1523" s="4"/>
      <c r="K1523" s="4"/>
      <c r="L1523" s="8"/>
      <c r="M1523" s="7"/>
      <c r="N1523" s="7"/>
      <c r="O1523" s="7"/>
    </row>
    <row r="1524" spans="1:15" ht="12.75" x14ac:dyDescent="0.2">
      <c r="A1524" s="6">
        <v>45892</v>
      </c>
      <c r="B1524" s="11">
        <f>+MONTH(A1524)</f>
        <v>8</v>
      </c>
      <c r="C1524" s="11">
        <f>+WEEKNUM(A1524)</f>
        <v>34</v>
      </c>
      <c r="D1524" s="4" t="s">
        <v>246</v>
      </c>
      <c r="E1524" s="4" t="s">
        <v>764</v>
      </c>
      <c r="F1524" s="4">
        <v>573157234502</v>
      </c>
      <c r="G1524" s="4">
        <v>64085</v>
      </c>
      <c r="H1524" s="8"/>
      <c r="I1524" s="4"/>
      <c r="J1524" s="4"/>
      <c r="K1524" s="4"/>
      <c r="L1524" s="8"/>
      <c r="M1524" s="7"/>
      <c r="N1524" s="7"/>
      <c r="O1524" s="7"/>
    </row>
    <row r="1525" spans="1:15" ht="25.5" x14ac:dyDescent="0.2">
      <c r="A1525" s="6">
        <v>45892</v>
      </c>
      <c r="B1525" s="11">
        <f>+MONTH(A1525)</f>
        <v>8</v>
      </c>
      <c r="C1525" s="11">
        <f>+WEEKNUM(A1525)</f>
        <v>34</v>
      </c>
      <c r="D1525" s="4" t="s">
        <v>762</v>
      </c>
      <c r="E1525" s="4" t="s">
        <v>763</v>
      </c>
      <c r="F1525" s="4">
        <v>573204561375</v>
      </c>
      <c r="G1525" s="4">
        <v>66680</v>
      </c>
      <c r="H1525" s="8"/>
      <c r="I1525" s="4"/>
      <c r="J1525" s="4"/>
      <c r="K1525" s="4"/>
      <c r="L1525" s="8"/>
      <c r="M1525" s="7"/>
      <c r="N1525" s="7"/>
      <c r="O1525" s="7"/>
    </row>
    <row r="1526" spans="1:15" ht="12.75" x14ac:dyDescent="0.2">
      <c r="A1526" s="6">
        <v>45891</v>
      </c>
      <c r="B1526" s="11">
        <f>+MONTH(A1526)</f>
        <v>8</v>
      </c>
      <c r="C1526" s="11">
        <f>+WEEKNUM(A1526)</f>
        <v>34</v>
      </c>
      <c r="D1526" s="4" t="s">
        <v>761</v>
      </c>
      <c r="E1526" s="4" t="s">
        <v>138</v>
      </c>
      <c r="F1526" s="4">
        <v>573187123108</v>
      </c>
      <c r="G1526" s="4">
        <v>67325</v>
      </c>
      <c r="H1526" s="8"/>
      <c r="I1526" s="4"/>
      <c r="J1526" s="4"/>
      <c r="K1526" s="4"/>
      <c r="L1526" s="8"/>
      <c r="M1526" s="7"/>
      <c r="N1526" s="7"/>
      <c r="O1526" s="7"/>
    </row>
    <row r="1527" spans="1:15" ht="25.5" x14ac:dyDescent="0.2">
      <c r="A1527" s="6">
        <v>45891</v>
      </c>
      <c r="B1527" s="11">
        <f>+MONTH(A1527)</f>
        <v>8</v>
      </c>
      <c r="C1527" s="11">
        <f>+WEEKNUM(A1527)</f>
        <v>34</v>
      </c>
      <c r="D1527" s="4" t="s">
        <v>88</v>
      </c>
      <c r="E1527" s="4" t="s">
        <v>760</v>
      </c>
      <c r="F1527" s="4">
        <v>573203302778</v>
      </c>
      <c r="G1527" s="4">
        <v>67086</v>
      </c>
      <c r="H1527" s="8"/>
      <c r="I1527" s="4"/>
      <c r="J1527" s="4"/>
      <c r="K1527" s="4"/>
      <c r="L1527" s="8"/>
      <c r="M1527" s="7"/>
      <c r="N1527" s="7"/>
      <c r="O1527" s="7"/>
    </row>
    <row r="1528" spans="1:15" ht="12.75" x14ac:dyDescent="0.2">
      <c r="A1528" s="6">
        <v>45891</v>
      </c>
      <c r="B1528" s="11">
        <f>+MONTH(A1528)</f>
        <v>8</v>
      </c>
      <c r="C1528" s="11">
        <f>+WEEKNUM(A1528)</f>
        <v>34</v>
      </c>
      <c r="D1528" s="4" t="s">
        <v>759</v>
      </c>
      <c r="E1528" s="4" t="s">
        <v>46</v>
      </c>
      <c r="F1528" s="4">
        <v>573053230390</v>
      </c>
      <c r="G1528" s="4">
        <v>66871</v>
      </c>
      <c r="H1528" s="8"/>
      <c r="I1528" s="4"/>
      <c r="J1528" s="4"/>
      <c r="K1528" s="4"/>
      <c r="L1528" s="8"/>
      <c r="M1528" s="7"/>
      <c r="N1528" s="7"/>
      <c r="O1528" s="7"/>
    </row>
    <row r="1529" spans="1:15" ht="12.75" x14ac:dyDescent="0.2">
      <c r="A1529" s="6">
        <v>45891</v>
      </c>
      <c r="B1529" s="11">
        <f>+MONTH(A1529)</f>
        <v>8</v>
      </c>
      <c r="C1529" s="11">
        <f>+WEEKNUM(A1529)</f>
        <v>34</v>
      </c>
      <c r="D1529" s="4" t="s">
        <v>757</v>
      </c>
      <c r="E1529" s="4" t="s">
        <v>758</v>
      </c>
      <c r="F1529" s="4">
        <v>573005572728</v>
      </c>
      <c r="G1529" s="4">
        <v>67280</v>
      </c>
      <c r="H1529" s="8"/>
      <c r="I1529" s="4"/>
      <c r="J1529" s="4"/>
      <c r="K1529" s="4"/>
      <c r="L1529" s="8"/>
      <c r="M1529" s="7"/>
      <c r="N1529" s="7"/>
      <c r="O1529" s="7"/>
    </row>
    <row r="1530" spans="1:15" ht="25.5" x14ac:dyDescent="0.2">
      <c r="A1530" s="6">
        <v>45891</v>
      </c>
      <c r="B1530" s="11">
        <f>+MONTH(A1530)</f>
        <v>8</v>
      </c>
      <c r="C1530" s="11">
        <f>+WEEKNUM(A1530)</f>
        <v>34</v>
      </c>
      <c r="D1530" s="4" t="s">
        <v>53</v>
      </c>
      <c r="E1530" s="4" t="s">
        <v>756</v>
      </c>
      <c r="F1530" s="4">
        <v>573103343968</v>
      </c>
      <c r="G1530" s="4">
        <v>67128</v>
      </c>
      <c r="H1530" s="8"/>
      <c r="I1530" s="4"/>
      <c r="J1530" s="4"/>
      <c r="K1530" s="4"/>
      <c r="L1530" s="8"/>
      <c r="M1530" s="7"/>
      <c r="N1530" s="7"/>
      <c r="O1530" s="7"/>
    </row>
    <row r="1531" spans="1:15" ht="25.5" x14ac:dyDescent="0.2">
      <c r="A1531" s="6">
        <v>45891</v>
      </c>
      <c r="B1531" s="11">
        <f>+MONTH(A1531)</f>
        <v>8</v>
      </c>
      <c r="C1531" s="11">
        <f>+WEEKNUM(A1531)</f>
        <v>34</v>
      </c>
      <c r="D1531" s="4" t="s">
        <v>318</v>
      </c>
      <c r="E1531" s="4" t="s">
        <v>319</v>
      </c>
      <c r="F1531" s="4">
        <v>573013833744</v>
      </c>
      <c r="G1531" s="4">
        <v>66008</v>
      </c>
      <c r="H1531" s="8"/>
      <c r="I1531" s="4"/>
      <c r="J1531" s="4"/>
      <c r="K1531" s="4"/>
      <c r="L1531" s="8"/>
      <c r="M1531" s="7"/>
      <c r="N1531" s="7"/>
      <c r="O1531" s="7"/>
    </row>
    <row r="1532" spans="1:15" ht="38.25" x14ac:dyDescent="0.2">
      <c r="A1532" s="6">
        <v>45891</v>
      </c>
      <c r="B1532" s="11">
        <f>+MONTH(A1532)</f>
        <v>8</v>
      </c>
      <c r="C1532" s="11">
        <f>+WEEKNUM(A1532)</f>
        <v>34</v>
      </c>
      <c r="D1532" s="4" t="s">
        <v>752</v>
      </c>
      <c r="E1532" s="4" t="s">
        <v>753</v>
      </c>
      <c r="F1532" s="4">
        <v>573192202655</v>
      </c>
      <c r="G1532" s="4">
        <v>67309</v>
      </c>
      <c r="H1532" s="8" t="s">
        <v>13</v>
      </c>
      <c r="I1532" s="4" t="s">
        <v>754</v>
      </c>
      <c r="J1532" s="5" t="s">
        <v>755</v>
      </c>
      <c r="K1532" s="4"/>
      <c r="L1532" s="8" t="s">
        <v>12</v>
      </c>
      <c r="M1532" s="7"/>
      <c r="N1532" s="7"/>
      <c r="O1532" s="7"/>
    </row>
    <row r="1533" spans="1:15" ht="102" x14ac:dyDescent="0.2">
      <c r="A1533" s="6">
        <v>45891</v>
      </c>
      <c r="B1533" s="11">
        <f>+MONTH(A1533)</f>
        <v>8</v>
      </c>
      <c r="C1533" s="11">
        <f>+WEEKNUM(A1533)</f>
        <v>34</v>
      </c>
      <c r="D1533" s="4" t="s">
        <v>749</v>
      </c>
      <c r="E1533" s="4" t="s">
        <v>138</v>
      </c>
      <c r="F1533" s="4">
        <v>573107710918</v>
      </c>
      <c r="G1533" s="4">
        <v>67287</v>
      </c>
      <c r="H1533" s="8" t="s">
        <v>13</v>
      </c>
      <c r="I1533" s="4" t="s">
        <v>750</v>
      </c>
      <c r="J1533" s="5" t="s">
        <v>751</v>
      </c>
      <c r="K1533" s="4"/>
      <c r="L1533" s="8" t="s">
        <v>12</v>
      </c>
      <c r="M1533" s="7"/>
      <c r="N1533" s="7"/>
      <c r="O1533" s="7"/>
    </row>
    <row r="1534" spans="1:15" ht="102" x14ac:dyDescent="0.2">
      <c r="A1534" s="6">
        <v>45891</v>
      </c>
      <c r="B1534" s="11">
        <f>+MONTH(A1534)</f>
        <v>8</v>
      </c>
      <c r="C1534" s="11">
        <f>+WEEKNUM(A1534)</f>
        <v>34</v>
      </c>
      <c r="D1534" s="4" t="s">
        <v>746</v>
      </c>
      <c r="E1534" s="4" t="s">
        <v>747</v>
      </c>
      <c r="F1534" s="4">
        <v>573108558995</v>
      </c>
      <c r="G1534" s="4">
        <v>67290</v>
      </c>
      <c r="H1534" s="8" t="s">
        <v>13</v>
      </c>
      <c r="I1534" s="4" t="s">
        <v>3338</v>
      </c>
      <c r="J1534" s="5" t="s">
        <v>748</v>
      </c>
      <c r="K1534" s="4"/>
      <c r="L1534" s="8" t="s">
        <v>12</v>
      </c>
      <c r="M1534" s="7"/>
      <c r="N1534" s="7"/>
      <c r="O1534" s="7"/>
    </row>
    <row r="1535" spans="1:15" ht="12.75" x14ac:dyDescent="0.2">
      <c r="A1535" s="6">
        <v>45891</v>
      </c>
      <c r="B1535" s="11">
        <f>+MONTH(A1535)</f>
        <v>8</v>
      </c>
      <c r="C1535" s="11">
        <f>+WEEKNUM(A1535)</f>
        <v>34</v>
      </c>
      <c r="D1535" s="4" t="s">
        <v>92</v>
      </c>
      <c r="E1535" s="4" t="s">
        <v>745</v>
      </c>
      <c r="F1535" s="4">
        <v>573197975540</v>
      </c>
      <c r="G1535" s="4">
        <v>62256</v>
      </c>
      <c r="H1535" s="8"/>
      <c r="I1535" s="4"/>
      <c r="J1535" s="4"/>
      <c r="K1535" s="4"/>
      <c r="L1535" s="8"/>
      <c r="M1535" s="7"/>
      <c r="N1535" s="7"/>
      <c r="O1535" s="7"/>
    </row>
    <row r="1536" spans="1:15" ht="89.25" x14ac:dyDescent="0.2">
      <c r="A1536" s="6">
        <v>45891</v>
      </c>
      <c r="B1536" s="11">
        <f>+MONTH(A1536)</f>
        <v>8</v>
      </c>
      <c r="C1536" s="11">
        <f>+WEEKNUM(A1536)</f>
        <v>34</v>
      </c>
      <c r="D1536" s="4" t="s">
        <v>742</v>
      </c>
      <c r="E1536" s="4" t="s">
        <v>743</v>
      </c>
      <c r="F1536" s="4">
        <v>573144335264</v>
      </c>
      <c r="G1536" s="4">
        <v>67151</v>
      </c>
      <c r="H1536" s="8" t="s">
        <v>13</v>
      </c>
      <c r="I1536" s="4" t="s">
        <v>744</v>
      </c>
      <c r="J1536" s="4" t="s">
        <v>23</v>
      </c>
      <c r="K1536" s="4"/>
      <c r="L1536" s="8" t="s">
        <v>12</v>
      </c>
      <c r="M1536" s="7"/>
      <c r="N1536" s="7"/>
      <c r="O1536" s="7"/>
    </row>
    <row r="1537" spans="1:15" ht="25.5" x14ac:dyDescent="0.2">
      <c r="A1537" s="6">
        <v>45891</v>
      </c>
      <c r="B1537" s="11">
        <f>+MONTH(A1537)</f>
        <v>8</v>
      </c>
      <c r="C1537" s="11">
        <f>+WEEKNUM(A1537)</f>
        <v>34</v>
      </c>
      <c r="D1537" s="4" t="s">
        <v>740</v>
      </c>
      <c r="E1537" s="4" t="s">
        <v>741</v>
      </c>
      <c r="F1537" s="4">
        <v>573122774059</v>
      </c>
      <c r="G1537" s="4">
        <v>66341</v>
      </c>
      <c r="H1537" s="8"/>
      <c r="I1537" s="4"/>
      <c r="J1537" s="4"/>
      <c r="K1537" s="4"/>
      <c r="L1537" s="8"/>
      <c r="M1537" s="7"/>
      <c r="N1537" s="7"/>
      <c r="O1537" s="7"/>
    </row>
    <row r="1538" spans="1:15" ht="165.75" x14ac:dyDescent="0.2">
      <c r="A1538" s="6">
        <v>45891</v>
      </c>
      <c r="B1538" s="11">
        <f>+MONTH(A1538)</f>
        <v>8</v>
      </c>
      <c r="C1538" s="11">
        <f>+WEEKNUM(A1538)</f>
        <v>34</v>
      </c>
      <c r="D1538" s="4" t="s">
        <v>35</v>
      </c>
      <c r="E1538" s="4" t="s">
        <v>739</v>
      </c>
      <c r="F1538" s="4">
        <v>573208351630</v>
      </c>
      <c r="G1538" s="4">
        <v>67288</v>
      </c>
      <c r="H1538" s="8" t="s">
        <v>13</v>
      </c>
      <c r="I1538" s="4" t="s">
        <v>3360</v>
      </c>
      <c r="J1538" s="4" t="s">
        <v>23</v>
      </c>
      <c r="K1538" s="4"/>
      <c r="L1538" s="8" t="s">
        <v>12</v>
      </c>
      <c r="M1538" s="7"/>
      <c r="N1538" s="7"/>
      <c r="O1538" s="7"/>
    </row>
    <row r="1539" spans="1:15" ht="12.75" x14ac:dyDescent="0.2">
      <c r="A1539" s="6">
        <v>45891</v>
      </c>
      <c r="B1539" s="11">
        <f>+MONTH(A1539)</f>
        <v>8</v>
      </c>
      <c r="C1539" s="11">
        <f>+WEEKNUM(A1539)</f>
        <v>34</v>
      </c>
      <c r="D1539" s="4" t="s">
        <v>737</v>
      </c>
      <c r="E1539" s="4" t="s">
        <v>738</v>
      </c>
      <c r="F1539" s="4">
        <v>573117570938</v>
      </c>
      <c r="G1539" s="4">
        <v>67236</v>
      </c>
      <c r="H1539" s="8"/>
      <c r="I1539" s="4"/>
      <c r="J1539" s="4"/>
      <c r="K1539" s="4"/>
      <c r="L1539" s="8"/>
      <c r="M1539" s="7"/>
      <c r="N1539" s="7"/>
      <c r="O1539" s="7"/>
    </row>
    <row r="1540" spans="1:15" ht="38.25" x14ac:dyDescent="0.2">
      <c r="A1540" s="6">
        <v>45891</v>
      </c>
      <c r="B1540" s="11">
        <f>+MONTH(A1540)</f>
        <v>8</v>
      </c>
      <c r="C1540" s="11">
        <f>+WEEKNUM(A1540)</f>
        <v>34</v>
      </c>
      <c r="D1540" s="4" t="s">
        <v>734</v>
      </c>
      <c r="E1540" s="4" t="s">
        <v>735</v>
      </c>
      <c r="F1540" s="4">
        <v>573246847558</v>
      </c>
      <c r="G1540" s="4">
        <v>67284</v>
      </c>
      <c r="H1540" s="8" t="s">
        <v>13</v>
      </c>
      <c r="I1540" s="4" t="s">
        <v>736</v>
      </c>
      <c r="J1540" s="4" t="s">
        <v>14</v>
      </c>
      <c r="K1540" s="4"/>
      <c r="L1540" s="8" t="s">
        <v>12</v>
      </c>
      <c r="M1540" s="7"/>
      <c r="N1540" s="7"/>
      <c r="O1540" s="7"/>
    </row>
    <row r="1541" spans="1:15" ht="12.75" x14ac:dyDescent="0.2">
      <c r="A1541" s="6">
        <v>45891</v>
      </c>
      <c r="B1541" s="11">
        <f>+MONTH(A1541)</f>
        <v>8</v>
      </c>
      <c r="C1541" s="11">
        <f>+WEEKNUM(A1541)</f>
        <v>34</v>
      </c>
      <c r="D1541" s="4" t="s">
        <v>130</v>
      </c>
      <c r="E1541" s="4" t="s">
        <v>733</v>
      </c>
      <c r="F1541" s="4">
        <v>573103320347</v>
      </c>
      <c r="G1541" s="4">
        <v>67232</v>
      </c>
      <c r="H1541" s="8"/>
      <c r="I1541" s="4"/>
      <c r="J1541" s="4"/>
      <c r="K1541" s="4"/>
      <c r="L1541" s="8"/>
      <c r="M1541" s="7"/>
      <c r="N1541" s="7"/>
      <c r="O1541" s="7"/>
    </row>
    <row r="1542" spans="1:15" ht="12.75" x14ac:dyDescent="0.2">
      <c r="A1542" s="6">
        <v>45891</v>
      </c>
      <c r="B1542" s="11">
        <f>+MONTH(A1542)</f>
        <v>8</v>
      </c>
      <c r="C1542" s="11">
        <f>+WEEKNUM(A1542)</f>
        <v>34</v>
      </c>
      <c r="D1542" s="4" t="s">
        <v>101</v>
      </c>
      <c r="E1542" s="4" t="s">
        <v>732</v>
      </c>
      <c r="F1542" s="4">
        <v>573214517743</v>
      </c>
      <c r="G1542" s="4">
        <v>66893</v>
      </c>
      <c r="H1542" s="8"/>
      <c r="I1542" s="4"/>
      <c r="J1542" s="4"/>
      <c r="K1542" s="4"/>
      <c r="L1542" s="8"/>
      <c r="M1542" s="7"/>
      <c r="N1542" s="7"/>
      <c r="O1542" s="7"/>
    </row>
    <row r="1543" spans="1:15" ht="12.75" x14ac:dyDescent="0.2">
      <c r="A1543" s="6">
        <v>45891</v>
      </c>
      <c r="B1543" s="11">
        <f>+MONTH(A1543)</f>
        <v>8</v>
      </c>
      <c r="C1543" s="11">
        <f>+WEEKNUM(A1543)</f>
        <v>34</v>
      </c>
      <c r="D1543" s="4" t="s">
        <v>730</v>
      </c>
      <c r="E1543" s="4" t="s">
        <v>731</v>
      </c>
      <c r="F1543" s="4">
        <v>573132568998</v>
      </c>
      <c r="G1543" s="4">
        <v>67195</v>
      </c>
      <c r="H1543" s="8"/>
      <c r="I1543" s="4"/>
      <c r="J1543" s="4"/>
      <c r="K1543" s="4"/>
      <c r="L1543" s="8"/>
      <c r="M1543" s="7"/>
      <c r="N1543" s="7"/>
      <c r="O1543" s="7"/>
    </row>
    <row r="1544" spans="1:15" ht="25.5" x14ac:dyDescent="0.2">
      <c r="A1544" s="6">
        <v>45891</v>
      </c>
      <c r="B1544" s="11">
        <f>+MONTH(A1544)</f>
        <v>8</v>
      </c>
      <c r="C1544" s="11">
        <f>+WEEKNUM(A1544)</f>
        <v>34</v>
      </c>
      <c r="D1544" s="4" t="s">
        <v>729</v>
      </c>
      <c r="E1544" s="4" t="s">
        <v>70</v>
      </c>
      <c r="F1544" s="4">
        <v>573133451093</v>
      </c>
      <c r="G1544" s="4">
        <v>66931</v>
      </c>
      <c r="H1544" s="8"/>
      <c r="I1544" s="4"/>
      <c r="J1544" s="4"/>
      <c r="K1544" s="4"/>
      <c r="L1544" s="8"/>
      <c r="M1544" s="7"/>
      <c r="N1544" s="7"/>
      <c r="O1544" s="7"/>
    </row>
    <row r="1545" spans="1:15" ht="12.75" x14ac:dyDescent="0.2">
      <c r="A1545" s="6">
        <v>45891</v>
      </c>
      <c r="B1545" s="11">
        <f>+MONTH(A1545)</f>
        <v>8</v>
      </c>
      <c r="C1545" s="11">
        <f>+WEEKNUM(A1545)</f>
        <v>34</v>
      </c>
      <c r="D1545" s="4" t="s">
        <v>280</v>
      </c>
      <c r="E1545" s="4" t="s">
        <v>151</v>
      </c>
      <c r="F1545" s="4">
        <v>573118365844</v>
      </c>
      <c r="G1545" s="4">
        <v>67069</v>
      </c>
      <c r="H1545" s="8"/>
      <c r="I1545" s="4"/>
      <c r="J1545" s="4"/>
      <c r="K1545" s="4"/>
      <c r="L1545" s="8"/>
      <c r="M1545" s="7"/>
      <c r="N1545" s="7"/>
      <c r="O1545" s="7"/>
    </row>
    <row r="1546" spans="1:15" ht="25.5" x14ac:dyDescent="0.2">
      <c r="A1546" s="6">
        <v>45890</v>
      </c>
      <c r="B1546" s="11">
        <f>+MONTH(A1546)</f>
        <v>8</v>
      </c>
      <c r="C1546" s="11">
        <f>+WEEKNUM(A1546)</f>
        <v>34</v>
      </c>
      <c r="D1546" s="4" t="s">
        <v>244</v>
      </c>
      <c r="E1546" s="4" t="s">
        <v>728</v>
      </c>
      <c r="F1546" s="4">
        <v>573132719400</v>
      </c>
      <c r="G1546" s="4">
        <v>66743</v>
      </c>
      <c r="H1546" s="8"/>
      <c r="I1546" s="4"/>
      <c r="J1546" s="4"/>
      <c r="K1546" s="4"/>
      <c r="L1546" s="8"/>
      <c r="M1546" s="7"/>
      <c r="N1546" s="7"/>
      <c r="O1546" s="7"/>
    </row>
    <row r="1547" spans="1:15" ht="12.75" x14ac:dyDescent="0.2">
      <c r="A1547" s="6">
        <v>45890</v>
      </c>
      <c r="B1547" s="11">
        <f>+MONTH(A1547)</f>
        <v>8</v>
      </c>
      <c r="C1547" s="11">
        <f>+WEEKNUM(A1547)</f>
        <v>34</v>
      </c>
      <c r="D1547" s="4" t="s">
        <v>91</v>
      </c>
      <c r="E1547" s="4" t="s">
        <v>727</v>
      </c>
      <c r="F1547" s="4">
        <v>573152398190</v>
      </c>
      <c r="G1547" s="4">
        <v>67243</v>
      </c>
      <c r="H1547" s="8"/>
      <c r="I1547" s="4"/>
      <c r="J1547" s="4"/>
      <c r="K1547" s="4"/>
      <c r="L1547" s="8"/>
      <c r="M1547" s="7"/>
      <c r="N1547" s="7"/>
      <c r="O1547" s="7"/>
    </row>
    <row r="1548" spans="1:15" ht="12.75" x14ac:dyDescent="0.2">
      <c r="A1548" s="6">
        <v>45890</v>
      </c>
      <c r="B1548" s="11">
        <f>+MONTH(A1548)</f>
        <v>8</v>
      </c>
      <c r="C1548" s="11">
        <f>+WEEKNUM(A1548)</f>
        <v>34</v>
      </c>
      <c r="D1548" s="4" t="s">
        <v>163</v>
      </c>
      <c r="E1548" s="4" t="s">
        <v>726</v>
      </c>
      <c r="F1548" s="4">
        <v>573137932928</v>
      </c>
      <c r="G1548" s="4">
        <v>66136</v>
      </c>
      <c r="H1548" s="8"/>
      <c r="I1548" s="4"/>
      <c r="J1548" s="4"/>
      <c r="K1548" s="4"/>
      <c r="L1548" s="8"/>
      <c r="M1548" s="7"/>
      <c r="N1548" s="7"/>
      <c r="O1548" s="7"/>
    </row>
    <row r="1549" spans="1:15" ht="25.5" x14ac:dyDescent="0.2">
      <c r="A1549" s="6">
        <v>45890</v>
      </c>
      <c r="B1549" s="11">
        <f>+MONTH(A1549)</f>
        <v>8</v>
      </c>
      <c r="C1549" s="11">
        <f>+WEEKNUM(A1549)</f>
        <v>34</v>
      </c>
      <c r="D1549" s="4" t="s">
        <v>724</v>
      </c>
      <c r="E1549" s="4" t="s">
        <v>725</v>
      </c>
      <c r="F1549" s="4">
        <v>573057131497</v>
      </c>
      <c r="G1549" s="4">
        <v>66836</v>
      </c>
      <c r="H1549" s="8"/>
      <c r="I1549" s="4"/>
      <c r="J1549" s="4"/>
      <c r="K1549" s="4"/>
      <c r="L1549" s="8"/>
      <c r="M1549" s="7"/>
      <c r="N1549" s="7"/>
      <c r="O1549" s="7"/>
    </row>
    <row r="1550" spans="1:15" ht="12.75" x14ac:dyDescent="0.2">
      <c r="A1550" s="6">
        <v>45890</v>
      </c>
      <c r="B1550" s="11">
        <f>+MONTH(A1550)</f>
        <v>8</v>
      </c>
      <c r="C1550" s="11">
        <f>+WEEKNUM(A1550)</f>
        <v>34</v>
      </c>
      <c r="D1550" s="4" t="s">
        <v>237</v>
      </c>
      <c r="E1550" s="4" t="s">
        <v>68</v>
      </c>
      <c r="F1550" s="4">
        <v>573508853881</v>
      </c>
      <c r="G1550" s="4">
        <v>66808</v>
      </c>
      <c r="H1550" s="8"/>
      <c r="I1550" s="4"/>
      <c r="J1550" s="4"/>
      <c r="K1550" s="4"/>
      <c r="L1550" s="8"/>
      <c r="M1550" s="7"/>
      <c r="N1550" s="7"/>
      <c r="O1550" s="7"/>
    </row>
    <row r="1551" spans="1:15" ht="12.75" x14ac:dyDescent="0.2">
      <c r="A1551" s="6">
        <v>45890</v>
      </c>
      <c r="B1551" s="11">
        <f>+MONTH(A1551)</f>
        <v>8</v>
      </c>
      <c r="C1551" s="11">
        <f>+WEEKNUM(A1551)</f>
        <v>34</v>
      </c>
      <c r="D1551" s="4" t="s">
        <v>722</v>
      </c>
      <c r="E1551" s="4" t="s">
        <v>723</v>
      </c>
      <c r="F1551" s="4">
        <v>573115486064</v>
      </c>
      <c r="G1551" s="4">
        <v>67216</v>
      </c>
      <c r="H1551" s="8" t="s">
        <v>13</v>
      </c>
      <c r="I1551" s="4" t="s">
        <v>174</v>
      </c>
      <c r="J1551" s="4" t="s">
        <v>14</v>
      </c>
      <c r="K1551" s="4"/>
      <c r="L1551" s="8" t="s">
        <v>12</v>
      </c>
      <c r="M1551" s="7"/>
      <c r="N1551" s="7"/>
      <c r="O1551" s="7"/>
    </row>
    <row r="1552" spans="1:15" ht="114.75" x14ac:dyDescent="0.2">
      <c r="A1552" s="6">
        <v>45890</v>
      </c>
      <c r="B1552" s="11">
        <f>+MONTH(A1552)</f>
        <v>8</v>
      </c>
      <c r="C1552" s="11">
        <f>+WEEKNUM(A1552)</f>
        <v>34</v>
      </c>
      <c r="D1552" s="4" t="s">
        <v>720</v>
      </c>
      <c r="E1552" s="4" t="s">
        <v>107</v>
      </c>
      <c r="F1552" s="4">
        <v>573227567890</v>
      </c>
      <c r="G1552" s="4">
        <v>67132</v>
      </c>
      <c r="H1552" s="8" t="s">
        <v>13</v>
      </c>
      <c r="I1552" s="4" t="s">
        <v>721</v>
      </c>
      <c r="J1552" s="4" t="s">
        <v>14</v>
      </c>
      <c r="K1552" s="4"/>
      <c r="L1552" s="8" t="s">
        <v>12</v>
      </c>
      <c r="M1552" s="7"/>
      <c r="N1552" s="7"/>
      <c r="O1552" s="7"/>
    </row>
    <row r="1553" spans="1:15" ht="165.75" x14ac:dyDescent="0.2">
      <c r="A1553" s="6">
        <v>45890</v>
      </c>
      <c r="B1553" s="11">
        <f>+MONTH(A1553)</f>
        <v>8</v>
      </c>
      <c r="C1553" s="11">
        <f>+WEEKNUM(A1553)</f>
        <v>34</v>
      </c>
      <c r="D1553" s="4" t="s">
        <v>250</v>
      </c>
      <c r="E1553" s="4" t="s">
        <v>718</v>
      </c>
      <c r="F1553" s="4">
        <v>573103045841</v>
      </c>
      <c r="G1553" s="4">
        <v>65842</v>
      </c>
      <c r="H1553" s="8" t="s">
        <v>22</v>
      </c>
      <c r="I1553" s="4" t="s">
        <v>719</v>
      </c>
      <c r="J1553" s="4"/>
      <c r="K1553" s="4" t="s">
        <v>34</v>
      </c>
      <c r="L1553" s="8" t="s">
        <v>22</v>
      </c>
      <c r="M1553" s="7">
        <v>45890.481469907405</v>
      </c>
      <c r="N1553" s="7"/>
      <c r="O1553" s="7"/>
    </row>
    <row r="1554" spans="1:15" ht="12.75" x14ac:dyDescent="0.2">
      <c r="A1554" s="6">
        <v>45890</v>
      </c>
      <c r="B1554" s="11">
        <f>+MONTH(A1554)</f>
        <v>8</v>
      </c>
      <c r="C1554" s="11">
        <f>+WEEKNUM(A1554)</f>
        <v>34</v>
      </c>
      <c r="D1554" s="4" t="s">
        <v>716</v>
      </c>
      <c r="E1554" s="4" t="s">
        <v>717</v>
      </c>
      <c r="F1554" s="4">
        <v>573188607496</v>
      </c>
      <c r="G1554" s="4">
        <v>66571</v>
      </c>
      <c r="H1554" s="8"/>
      <c r="I1554" s="4"/>
      <c r="J1554" s="4"/>
      <c r="K1554" s="4"/>
      <c r="L1554" s="8"/>
      <c r="M1554" s="7"/>
      <c r="N1554" s="7"/>
      <c r="O1554" s="7"/>
    </row>
    <row r="1555" spans="1:15" ht="25.5" x14ac:dyDescent="0.2">
      <c r="A1555" s="6">
        <v>45890</v>
      </c>
      <c r="B1555" s="11">
        <f>+MONTH(A1555)</f>
        <v>8</v>
      </c>
      <c r="C1555" s="11">
        <f>+WEEKNUM(A1555)</f>
        <v>34</v>
      </c>
      <c r="D1555" s="4" t="s">
        <v>193</v>
      </c>
      <c r="E1555" s="4" t="s">
        <v>715</v>
      </c>
      <c r="F1555" s="4">
        <v>573226777928</v>
      </c>
      <c r="G1555" s="4">
        <v>66997</v>
      </c>
      <c r="H1555" s="8"/>
      <c r="I1555" s="4"/>
      <c r="J1555" s="4"/>
      <c r="K1555" s="4"/>
      <c r="L1555" s="8"/>
      <c r="M1555" s="7"/>
      <c r="N1555" s="7"/>
      <c r="O1555" s="7"/>
    </row>
    <row r="1556" spans="1:15" ht="25.5" x14ac:dyDescent="0.2">
      <c r="A1556" s="6">
        <v>45890</v>
      </c>
      <c r="B1556" s="11">
        <f>+MONTH(A1556)</f>
        <v>8</v>
      </c>
      <c r="C1556" s="11">
        <f>+WEEKNUM(A1556)</f>
        <v>34</v>
      </c>
      <c r="D1556" s="4" t="s">
        <v>713</v>
      </c>
      <c r="E1556" s="4" t="s">
        <v>714</v>
      </c>
      <c r="F1556" s="4">
        <v>573044867754</v>
      </c>
      <c r="G1556" s="4">
        <v>67092</v>
      </c>
      <c r="H1556" s="8"/>
      <c r="I1556" s="4"/>
      <c r="J1556" s="4"/>
      <c r="K1556" s="4"/>
      <c r="L1556" s="8"/>
      <c r="M1556" s="7"/>
      <c r="N1556" s="7"/>
      <c r="O1556" s="7"/>
    </row>
    <row r="1557" spans="1:15" ht="38.25" x14ac:dyDescent="0.2">
      <c r="A1557" s="6">
        <v>45889</v>
      </c>
      <c r="B1557" s="11">
        <f>+MONTH(A1557)</f>
        <v>8</v>
      </c>
      <c r="C1557" s="11">
        <f>+WEEKNUM(A1557)</f>
        <v>34</v>
      </c>
      <c r="D1557" s="4" t="s">
        <v>162</v>
      </c>
      <c r="E1557" s="4" t="s">
        <v>710</v>
      </c>
      <c r="F1557" s="4">
        <v>573165161517</v>
      </c>
      <c r="G1557" s="4">
        <v>66866</v>
      </c>
      <c r="H1557" s="8" t="s">
        <v>13</v>
      </c>
      <c r="I1557" s="4" t="s">
        <v>711</v>
      </c>
      <c r="J1557" s="5" t="s">
        <v>712</v>
      </c>
      <c r="K1557" s="4"/>
      <c r="L1557" s="8" t="s">
        <v>12</v>
      </c>
      <c r="M1557" s="7"/>
      <c r="N1557" s="7"/>
      <c r="O1557" s="7"/>
    </row>
    <row r="1558" spans="1:15" ht="12.75" x14ac:dyDescent="0.2">
      <c r="A1558" s="6">
        <v>45889</v>
      </c>
      <c r="B1558" s="11">
        <f>+MONTH(A1558)</f>
        <v>8</v>
      </c>
      <c r="C1558" s="11">
        <f>+WEEKNUM(A1558)</f>
        <v>34</v>
      </c>
      <c r="D1558" s="4" t="s">
        <v>157</v>
      </c>
      <c r="E1558" s="4" t="s">
        <v>158</v>
      </c>
      <c r="F1558" s="4">
        <v>573122423430</v>
      </c>
      <c r="G1558" s="4">
        <v>61702</v>
      </c>
      <c r="H1558" s="8"/>
      <c r="I1558" s="4"/>
      <c r="J1558" s="4"/>
      <c r="K1558" s="4"/>
      <c r="L1558" s="8"/>
      <c r="M1558" s="7"/>
      <c r="N1558" s="7"/>
      <c r="O1558" s="7"/>
    </row>
    <row r="1559" spans="1:15" ht="38.25" x14ac:dyDescent="0.2">
      <c r="A1559" s="6">
        <v>45889</v>
      </c>
      <c r="B1559" s="11">
        <f>+MONTH(A1559)</f>
        <v>8</v>
      </c>
      <c r="C1559" s="11">
        <f>+WEEKNUM(A1559)</f>
        <v>34</v>
      </c>
      <c r="D1559" s="4" t="s">
        <v>130</v>
      </c>
      <c r="E1559" s="4" t="s">
        <v>708</v>
      </c>
      <c r="F1559" s="4">
        <v>573160168474</v>
      </c>
      <c r="G1559" s="4">
        <v>67158</v>
      </c>
      <c r="H1559" s="8" t="s">
        <v>13</v>
      </c>
      <c r="I1559" s="4" t="s">
        <v>709</v>
      </c>
      <c r="J1559" s="4" t="s">
        <v>23</v>
      </c>
      <c r="K1559" s="4"/>
      <c r="L1559" s="8" t="s">
        <v>12</v>
      </c>
      <c r="M1559" s="7"/>
      <c r="N1559" s="7"/>
      <c r="O1559" s="7"/>
    </row>
    <row r="1560" spans="1:15" ht="12.75" x14ac:dyDescent="0.2">
      <c r="A1560" s="6">
        <v>45889</v>
      </c>
      <c r="B1560" s="11">
        <f>+MONTH(A1560)</f>
        <v>8</v>
      </c>
      <c r="C1560" s="11">
        <f>+WEEKNUM(A1560)</f>
        <v>34</v>
      </c>
      <c r="D1560" s="4" t="s">
        <v>63</v>
      </c>
      <c r="E1560" s="4" t="s">
        <v>707</v>
      </c>
      <c r="F1560" s="4">
        <v>573016255095</v>
      </c>
      <c r="G1560" s="4">
        <v>67150</v>
      </c>
      <c r="H1560" s="8"/>
      <c r="I1560" s="4"/>
      <c r="J1560" s="4"/>
      <c r="K1560" s="4"/>
      <c r="L1560" s="8"/>
      <c r="M1560" s="7"/>
      <c r="N1560" s="7"/>
      <c r="O1560" s="7"/>
    </row>
    <row r="1561" spans="1:15" ht="140.25" x14ac:dyDescent="0.2">
      <c r="A1561" s="6">
        <v>45889</v>
      </c>
      <c r="B1561" s="11">
        <f>+MONTH(A1561)</f>
        <v>8</v>
      </c>
      <c r="C1561" s="11">
        <f>+WEEKNUM(A1561)</f>
        <v>34</v>
      </c>
      <c r="D1561" s="4" t="s">
        <v>266</v>
      </c>
      <c r="E1561" s="4" t="s">
        <v>704</v>
      </c>
      <c r="F1561" s="4">
        <v>573213381345</v>
      </c>
      <c r="G1561" s="4">
        <v>67137</v>
      </c>
      <c r="H1561" s="8" t="s">
        <v>13</v>
      </c>
      <c r="I1561" s="4" t="s">
        <v>705</v>
      </c>
      <c r="J1561" s="5" t="s">
        <v>706</v>
      </c>
      <c r="K1561" s="4"/>
      <c r="L1561" s="8" t="s">
        <v>12</v>
      </c>
      <c r="M1561" s="7"/>
      <c r="N1561" s="7"/>
      <c r="O1561" s="7"/>
    </row>
    <row r="1562" spans="1:15" ht="25.5" x14ac:dyDescent="0.2">
      <c r="A1562" s="6">
        <v>45889</v>
      </c>
      <c r="B1562" s="11">
        <f>+MONTH(A1562)</f>
        <v>8</v>
      </c>
      <c r="C1562" s="11">
        <f>+WEEKNUM(A1562)</f>
        <v>34</v>
      </c>
      <c r="D1562" s="4" t="s">
        <v>48</v>
      </c>
      <c r="E1562" s="4" t="s">
        <v>703</v>
      </c>
      <c r="F1562" s="4">
        <v>573105709077</v>
      </c>
      <c r="G1562" s="4">
        <v>66948</v>
      </c>
      <c r="H1562" s="8"/>
      <c r="I1562" s="4"/>
      <c r="J1562" s="4"/>
      <c r="K1562" s="4"/>
      <c r="L1562" s="8"/>
      <c r="M1562" s="7"/>
      <c r="N1562" s="7"/>
      <c r="O1562" s="7"/>
    </row>
    <row r="1563" spans="1:15" ht="12.75" x14ac:dyDescent="0.2">
      <c r="A1563" s="6">
        <v>45889</v>
      </c>
      <c r="B1563" s="11">
        <f>+MONTH(A1563)</f>
        <v>8</v>
      </c>
      <c r="C1563" s="11">
        <f>+WEEKNUM(A1563)</f>
        <v>34</v>
      </c>
      <c r="D1563" s="4" t="s">
        <v>19</v>
      </c>
      <c r="E1563" s="4" t="s">
        <v>702</v>
      </c>
      <c r="F1563" s="4">
        <v>573507809311</v>
      </c>
      <c r="G1563" s="4">
        <v>67062</v>
      </c>
      <c r="H1563" s="8"/>
      <c r="I1563" s="4"/>
      <c r="J1563" s="4"/>
      <c r="K1563" s="4"/>
      <c r="L1563" s="8"/>
      <c r="M1563" s="7"/>
      <c r="N1563" s="7"/>
      <c r="O1563" s="7"/>
    </row>
    <row r="1564" spans="1:15" ht="25.5" x14ac:dyDescent="0.2">
      <c r="A1564" s="6">
        <v>45889</v>
      </c>
      <c r="B1564" s="11">
        <f>+MONTH(A1564)</f>
        <v>8</v>
      </c>
      <c r="C1564" s="11">
        <f>+WEEKNUM(A1564)</f>
        <v>34</v>
      </c>
      <c r="D1564" s="4" t="s">
        <v>700</v>
      </c>
      <c r="E1564" s="4" t="s">
        <v>701</v>
      </c>
      <c r="F1564" s="4">
        <v>573118121299</v>
      </c>
      <c r="G1564" s="4">
        <v>67154</v>
      </c>
      <c r="H1564" s="8"/>
      <c r="I1564" s="4"/>
      <c r="J1564" s="4"/>
      <c r="K1564" s="4"/>
      <c r="L1564" s="8"/>
      <c r="M1564" s="7"/>
      <c r="N1564" s="7"/>
      <c r="O1564" s="7"/>
    </row>
    <row r="1565" spans="1:15" ht="25.5" x14ac:dyDescent="0.2">
      <c r="A1565" s="6">
        <v>45889</v>
      </c>
      <c r="B1565" s="11">
        <f>+MONTH(A1565)</f>
        <v>8</v>
      </c>
      <c r="C1565" s="11">
        <f>+WEEKNUM(A1565)</f>
        <v>34</v>
      </c>
      <c r="D1565" s="4" t="s">
        <v>18</v>
      </c>
      <c r="E1565" s="4" t="s">
        <v>699</v>
      </c>
      <c r="F1565" s="4">
        <v>573133206598</v>
      </c>
      <c r="G1565" s="4">
        <v>67093</v>
      </c>
      <c r="H1565" s="8"/>
      <c r="I1565" s="4"/>
      <c r="J1565" s="4"/>
      <c r="K1565" s="4"/>
      <c r="L1565" s="8"/>
      <c r="M1565" s="7"/>
      <c r="N1565" s="7"/>
      <c r="O1565" s="7"/>
    </row>
    <row r="1566" spans="1:15" ht="12.75" x14ac:dyDescent="0.2">
      <c r="A1566" s="6">
        <v>45889</v>
      </c>
      <c r="B1566" s="11">
        <f>+MONTH(A1566)</f>
        <v>8</v>
      </c>
      <c r="C1566" s="11">
        <f>+WEEKNUM(A1566)</f>
        <v>34</v>
      </c>
      <c r="D1566" s="4" t="s">
        <v>235</v>
      </c>
      <c r="E1566" s="4" t="s">
        <v>698</v>
      </c>
      <c r="F1566" s="4">
        <v>573152947313</v>
      </c>
      <c r="G1566" s="4">
        <v>65695</v>
      </c>
      <c r="H1566" s="8"/>
      <c r="I1566" s="4"/>
      <c r="J1566" s="4"/>
      <c r="K1566" s="4"/>
      <c r="L1566" s="8"/>
      <c r="M1566" s="7"/>
      <c r="N1566" s="7"/>
      <c r="O1566" s="7"/>
    </row>
    <row r="1567" spans="1:15" ht="12.75" x14ac:dyDescent="0.2">
      <c r="A1567" s="6">
        <v>45889</v>
      </c>
      <c r="B1567" s="11">
        <f>+MONTH(A1567)</f>
        <v>8</v>
      </c>
      <c r="C1567" s="11">
        <f>+WEEKNUM(A1567)</f>
        <v>34</v>
      </c>
      <c r="D1567" s="4" t="s">
        <v>223</v>
      </c>
      <c r="E1567" s="4" t="s">
        <v>697</v>
      </c>
      <c r="F1567" s="4">
        <v>573112679845</v>
      </c>
      <c r="G1567" s="4">
        <v>67039</v>
      </c>
      <c r="H1567" s="8"/>
      <c r="I1567" s="4"/>
      <c r="J1567" s="4"/>
      <c r="K1567" s="4"/>
      <c r="L1567" s="8"/>
      <c r="M1567" s="7"/>
      <c r="N1567" s="7"/>
      <c r="O1567" s="7"/>
    </row>
    <row r="1568" spans="1:15" ht="12.75" x14ac:dyDescent="0.2">
      <c r="A1568" s="6">
        <v>45889</v>
      </c>
      <c r="B1568" s="11">
        <f>+MONTH(A1568)</f>
        <v>8</v>
      </c>
      <c r="C1568" s="11">
        <f>+WEEKNUM(A1568)</f>
        <v>34</v>
      </c>
      <c r="D1568" s="4" t="s">
        <v>695</v>
      </c>
      <c r="E1568" s="4" t="s">
        <v>696</v>
      </c>
      <c r="F1568" s="4">
        <v>573133377529</v>
      </c>
      <c r="G1568" s="4">
        <v>67130</v>
      </c>
      <c r="H1568" s="8"/>
      <c r="I1568" s="4"/>
      <c r="J1568" s="4"/>
      <c r="K1568" s="4"/>
      <c r="L1568" s="8"/>
      <c r="M1568" s="7"/>
      <c r="N1568" s="7"/>
      <c r="O1568" s="7"/>
    </row>
    <row r="1569" spans="1:15" ht="216.75" x14ac:dyDescent="0.2">
      <c r="A1569" s="6">
        <v>45889</v>
      </c>
      <c r="B1569" s="11">
        <f>+MONTH(A1569)</f>
        <v>8</v>
      </c>
      <c r="C1569" s="11">
        <f>+WEEKNUM(A1569)</f>
        <v>34</v>
      </c>
      <c r="D1569" s="4" t="s">
        <v>692</v>
      </c>
      <c r="E1569" s="4" t="s">
        <v>693</v>
      </c>
      <c r="F1569" s="4">
        <v>573203017409</v>
      </c>
      <c r="G1569" s="4">
        <v>67026</v>
      </c>
      <c r="H1569" s="8" t="s">
        <v>22</v>
      </c>
      <c r="I1569" s="4" t="s">
        <v>694</v>
      </c>
      <c r="J1569" s="4"/>
      <c r="K1569" s="4"/>
      <c r="L1569" s="8" t="s">
        <v>12</v>
      </c>
      <c r="M1569" s="7"/>
      <c r="N1569" s="7"/>
      <c r="O1569" s="7"/>
    </row>
    <row r="1570" spans="1:15" ht="153" x14ac:dyDescent="0.2">
      <c r="A1570" s="6">
        <v>45889</v>
      </c>
      <c r="B1570" s="11">
        <f>+MONTH(A1570)</f>
        <v>8</v>
      </c>
      <c r="C1570" s="11">
        <f>+WEEKNUM(A1570)</f>
        <v>34</v>
      </c>
      <c r="D1570" s="4" t="s">
        <v>255</v>
      </c>
      <c r="E1570" s="4" t="s">
        <v>690</v>
      </c>
      <c r="F1570" s="4">
        <v>573204420276</v>
      </c>
      <c r="G1570" s="4">
        <v>67073</v>
      </c>
      <c r="H1570" s="8" t="s">
        <v>22</v>
      </c>
      <c r="I1570" s="4" t="s">
        <v>691</v>
      </c>
      <c r="J1570" s="4"/>
      <c r="K1570" s="4"/>
      <c r="L1570" s="8" t="s">
        <v>22</v>
      </c>
      <c r="M1570" s="7"/>
      <c r="N1570" s="7"/>
      <c r="O1570" s="7"/>
    </row>
    <row r="1571" spans="1:15" ht="267.75" x14ac:dyDescent="0.2">
      <c r="A1571" s="6">
        <v>45889</v>
      </c>
      <c r="B1571" s="11">
        <f>+MONTH(A1571)</f>
        <v>8</v>
      </c>
      <c r="C1571" s="11">
        <f>+WEEKNUM(A1571)</f>
        <v>34</v>
      </c>
      <c r="D1571" s="4" t="s">
        <v>686</v>
      </c>
      <c r="E1571" s="4" t="s">
        <v>687</v>
      </c>
      <c r="F1571" s="4">
        <v>573107580110</v>
      </c>
      <c r="G1571" s="4">
        <v>66409</v>
      </c>
      <c r="H1571" s="8" t="s">
        <v>13</v>
      </c>
      <c r="I1571" s="4" t="s">
        <v>688</v>
      </c>
      <c r="J1571" s="5" t="s">
        <v>689</v>
      </c>
      <c r="K1571" s="4"/>
      <c r="L1571" s="8" t="s">
        <v>12</v>
      </c>
      <c r="M1571" s="7"/>
      <c r="N1571" s="7"/>
      <c r="O1571" s="7"/>
    </row>
    <row r="1572" spans="1:15" ht="12.75" x14ac:dyDescent="0.2">
      <c r="A1572" s="6">
        <v>45889</v>
      </c>
      <c r="B1572" s="11">
        <f>+MONTH(A1572)</f>
        <v>8</v>
      </c>
      <c r="C1572" s="11">
        <f>+WEEKNUM(A1572)</f>
        <v>34</v>
      </c>
      <c r="D1572" s="4" t="s">
        <v>142</v>
      </c>
      <c r="E1572" s="4" t="s">
        <v>85</v>
      </c>
      <c r="F1572" s="4">
        <v>573203999172</v>
      </c>
      <c r="G1572" s="4">
        <v>66992</v>
      </c>
      <c r="H1572" s="8"/>
      <c r="I1572" s="4"/>
      <c r="J1572" s="4"/>
      <c r="K1572" s="4"/>
      <c r="L1572" s="8"/>
      <c r="M1572" s="7"/>
      <c r="N1572" s="7"/>
      <c r="O1572" s="7"/>
    </row>
    <row r="1573" spans="1:15" ht="12.75" x14ac:dyDescent="0.2">
      <c r="A1573" s="6">
        <v>45888</v>
      </c>
      <c r="B1573" s="11">
        <f>+MONTH(A1573)</f>
        <v>8</v>
      </c>
      <c r="C1573" s="11">
        <f>+WEEKNUM(A1573)</f>
        <v>34</v>
      </c>
      <c r="D1573" s="4" t="s">
        <v>685</v>
      </c>
      <c r="E1573" s="4" t="s">
        <v>167</v>
      </c>
      <c r="F1573" s="4">
        <v>573209642347</v>
      </c>
      <c r="G1573" s="4">
        <v>67044</v>
      </c>
      <c r="H1573" s="8"/>
      <c r="I1573" s="4"/>
      <c r="J1573" s="4"/>
      <c r="K1573" s="4"/>
      <c r="L1573" s="8"/>
      <c r="M1573" s="7"/>
      <c r="N1573" s="7"/>
      <c r="O1573" s="7"/>
    </row>
    <row r="1574" spans="1:15" ht="12.75" x14ac:dyDescent="0.2">
      <c r="A1574" s="6">
        <v>45888</v>
      </c>
      <c r="B1574" s="11">
        <f>+MONTH(A1574)</f>
        <v>8</v>
      </c>
      <c r="C1574" s="11">
        <f>+WEEKNUM(A1574)</f>
        <v>34</v>
      </c>
      <c r="D1574" s="4" t="s">
        <v>683</v>
      </c>
      <c r="E1574" s="4" t="s">
        <v>684</v>
      </c>
      <c r="F1574" s="4">
        <v>573103093673</v>
      </c>
      <c r="G1574" s="4">
        <v>66864</v>
      </c>
      <c r="H1574" s="8"/>
      <c r="I1574" s="4"/>
      <c r="J1574" s="4"/>
      <c r="K1574" s="4"/>
      <c r="L1574" s="8"/>
      <c r="M1574" s="7"/>
      <c r="N1574" s="7"/>
      <c r="O1574" s="7"/>
    </row>
    <row r="1575" spans="1:15" ht="25.5" x14ac:dyDescent="0.2">
      <c r="A1575" s="6">
        <v>45888</v>
      </c>
      <c r="B1575" s="11">
        <f>+MONTH(A1575)</f>
        <v>8</v>
      </c>
      <c r="C1575" s="11">
        <f>+WEEKNUM(A1575)</f>
        <v>34</v>
      </c>
      <c r="D1575" s="4" t="s">
        <v>681</v>
      </c>
      <c r="E1575" s="4" t="s">
        <v>682</v>
      </c>
      <c r="F1575" s="4">
        <v>573132038750</v>
      </c>
      <c r="G1575" s="4">
        <v>66729</v>
      </c>
      <c r="H1575" s="8"/>
      <c r="I1575" s="4"/>
      <c r="J1575" s="4"/>
      <c r="K1575" s="4"/>
      <c r="L1575" s="8"/>
      <c r="M1575" s="7"/>
      <c r="N1575" s="7"/>
      <c r="O1575" s="7"/>
    </row>
    <row r="1576" spans="1:15" ht="25.5" x14ac:dyDescent="0.2">
      <c r="A1576" s="6">
        <v>45888</v>
      </c>
      <c r="B1576" s="11">
        <f>+MONTH(A1576)</f>
        <v>8</v>
      </c>
      <c r="C1576" s="11">
        <f>+WEEKNUM(A1576)</f>
        <v>34</v>
      </c>
      <c r="D1576" s="4" t="s">
        <v>122</v>
      </c>
      <c r="E1576" s="4" t="s">
        <v>680</v>
      </c>
      <c r="F1576" s="4">
        <v>573207491401</v>
      </c>
      <c r="G1576" s="4">
        <v>64881</v>
      </c>
      <c r="H1576" s="8" t="s">
        <v>22</v>
      </c>
      <c r="I1576" s="4"/>
      <c r="J1576" s="4"/>
      <c r="K1576" s="4"/>
      <c r="L1576" s="8" t="s">
        <v>22</v>
      </c>
      <c r="M1576" s="7"/>
      <c r="N1576" s="7"/>
      <c r="O1576" s="7"/>
    </row>
    <row r="1577" spans="1:15" ht="12.75" x14ac:dyDescent="0.2">
      <c r="A1577" s="6">
        <v>45888</v>
      </c>
      <c r="B1577" s="11">
        <f>+MONTH(A1577)</f>
        <v>8</v>
      </c>
      <c r="C1577" s="11">
        <f>+WEEKNUM(A1577)</f>
        <v>34</v>
      </c>
      <c r="D1577" s="4" t="s">
        <v>679</v>
      </c>
      <c r="E1577" s="4" t="s">
        <v>299</v>
      </c>
      <c r="F1577" s="4">
        <v>573015644066</v>
      </c>
      <c r="G1577" s="4">
        <v>65963</v>
      </c>
      <c r="H1577" s="8"/>
      <c r="I1577" s="4"/>
      <c r="J1577" s="4"/>
      <c r="K1577" s="4"/>
      <c r="L1577" s="8" t="s">
        <v>22</v>
      </c>
      <c r="M1577" s="7"/>
      <c r="N1577" s="7"/>
      <c r="O1577" s="7"/>
    </row>
    <row r="1578" spans="1:15" ht="38.25" x14ac:dyDescent="0.2">
      <c r="A1578" s="6">
        <v>45888</v>
      </c>
      <c r="B1578" s="11">
        <f>+MONTH(A1578)</f>
        <v>8</v>
      </c>
      <c r="C1578" s="11">
        <f>+WEEKNUM(A1578)</f>
        <v>34</v>
      </c>
      <c r="D1578" s="4" t="s">
        <v>97</v>
      </c>
      <c r="E1578" s="4" t="s">
        <v>676</v>
      </c>
      <c r="F1578" s="4">
        <v>573015248462</v>
      </c>
      <c r="G1578" s="4">
        <v>66637</v>
      </c>
      <c r="H1578" s="8" t="s">
        <v>13</v>
      </c>
      <c r="I1578" s="4" t="s">
        <v>677</v>
      </c>
      <c r="J1578" s="5" t="s">
        <v>678</v>
      </c>
      <c r="K1578" s="4"/>
      <c r="L1578" s="8" t="s">
        <v>12</v>
      </c>
      <c r="M1578" s="7"/>
      <c r="N1578" s="7"/>
      <c r="O1578" s="7"/>
    </row>
    <row r="1579" spans="1:15" ht="12.75" x14ac:dyDescent="0.2">
      <c r="A1579" s="6">
        <v>45888</v>
      </c>
      <c r="B1579" s="11">
        <f>+MONTH(A1579)</f>
        <v>8</v>
      </c>
      <c r="C1579" s="11">
        <f>+WEEKNUM(A1579)</f>
        <v>34</v>
      </c>
      <c r="D1579" s="4" t="s">
        <v>241</v>
      </c>
      <c r="E1579" s="4" t="s">
        <v>675</v>
      </c>
      <c r="F1579" s="4">
        <v>573208498266</v>
      </c>
      <c r="G1579" s="4">
        <v>66639</v>
      </c>
      <c r="H1579" s="8"/>
      <c r="I1579" s="4"/>
      <c r="J1579" s="4"/>
      <c r="K1579" s="4"/>
      <c r="L1579" s="8"/>
      <c r="M1579" s="7"/>
      <c r="N1579" s="7"/>
      <c r="O1579" s="7"/>
    </row>
    <row r="1580" spans="1:15" ht="25.5" x14ac:dyDescent="0.2">
      <c r="A1580" s="6">
        <v>45888</v>
      </c>
      <c r="B1580" s="11">
        <f>+MONTH(A1580)</f>
        <v>8</v>
      </c>
      <c r="C1580" s="11">
        <f>+WEEKNUM(A1580)</f>
        <v>34</v>
      </c>
      <c r="D1580" s="4" t="s">
        <v>672</v>
      </c>
      <c r="E1580" s="4" t="s">
        <v>673</v>
      </c>
      <c r="F1580" s="4">
        <v>573103904441</v>
      </c>
      <c r="G1580" s="4">
        <v>65861</v>
      </c>
      <c r="H1580" s="8" t="s">
        <v>13</v>
      </c>
      <c r="I1580" s="4" t="s">
        <v>674</v>
      </c>
      <c r="J1580" s="4" t="s">
        <v>23</v>
      </c>
      <c r="K1580" s="4"/>
      <c r="L1580" s="8" t="s">
        <v>12</v>
      </c>
      <c r="M1580" s="7"/>
      <c r="N1580" s="7"/>
      <c r="O1580" s="7"/>
    </row>
    <row r="1581" spans="1:15" ht="140.25" x14ac:dyDescent="0.2">
      <c r="A1581" s="6">
        <v>45888</v>
      </c>
      <c r="B1581" s="11">
        <f>+MONTH(A1581)</f>
        <v>8</v>
      </c>
      <c r="C1581" s="11">
        <f>+WEEKNUM(A1581)</f>
        <v>34</v>
      </c>
      <c r="D1581" s="4" t="s">
        <v>137</v>
      </c>
      <c r="E1581" s="4" t="s">
        <v>249</v>
      </c>
      <c r="F1581" s="4">
        <v>573058562291</v>
      </c>
      <c r="G1581" s="4">
        <v>66952</v>
      </c>
      <c r="H1581" s="8" t="s">
        <v>13</v>
      </c>
      <c r="I1581" s="4" t="s">
        <v>670</v>
      </c>
      <c r="J1581" s="5" t="s">
        <v>671</v>
      </c>
      <c r="K1581" s="4"/>
      <c r="L1581" s="8" t="s">
        <v>12</v>
      </c>
      <c r="M1581" s="7"/>
      <c r="N1581" s="7"/>
      <c r="O1581" s="7"/>
    </row>
    <row r="1582" spans="1:15" ht="25.5" x14ac:dyDescent="0.2">
      <c r="A1582" s="6">
        <v>45888</v>
      </c>
      <c r="B1582" s="11">
        <f>+MONTH(A1582)</f>
        <v>8</v>
      </c>
      <c r="C1582" s="11">
        <f>+WEEKNUM(A1582)</f>
        <v>34</v>
      </c>
      <c r="D1582" s="4" t="s">
        <v>290</v>
      </c>
      <c r="E1582" s="4" t="s">
        <v>669</v>
      </c>
      <c r="F1582" s="4">
        <v>573053479609</v>
      </c>
      <c r="G1582" s="4">
        <v>66294</v>
      </c>
      <c r="H1582" s="8"/>
      <c r="I1582" s="4"/>
      <c r="J1582" s="4"/>
      <c r="K1582" s="4"/>
      <c r="L1582" s="8"/>
      <c r="M1582" s="7"/>
      <c r="N1582" s="7"/>
      <c r="O1582" s="7"/>
    </row>
    <row r="1583" spans="1:15" ht="38.25" x14ac:dyDescent="0.2">
      <c r="A1583" s="6">
        <v>45888</v>
      </c>
      <c r="B1583" s="11">
        <f>+MONTH(A1583)</f>
        <v>8</v>
      </c>
      <c r="C1583" s="11">
        <f>+WEEKNUM(A1583)</f>
        <v>34</v>
      </c>
      <c r="D1583" s="4" t="s">
        <v>665</v>
      </c>
      <c r="E1583" s="4" t="s">
        <v>666</v>
      </c>
      <c r="F1583" s="4">
        <v>573157941692</v>
      </c>
      <c r="G1583" s="4">
        <v>66993</v>
      </c>
      <c r="H1583" s="8" t="s">
        <v>13</v>
      </c>
      <c r="I1583" s="4" t="s">
        <v>667</v>
      </c>
      <c r="J1583" s="5" t="s">
        <v>668</v>
      </c>
      <c r="K1583" s="4"/>
      <c r="L1583" s="8" t="s">
        <v>12</v>
      </c>
      <c r="M1583" s="7"/>
      <c r="N1583" s="7"/>
      <c r="O1583" s="7"/>
    </row>
    <row r="1584" spans="1:15" ht="51" x14ac:dyDescent="0.2">
      <c r="A1584" s="6">
        <v>45888</v>
      </c>
      <c r="B1584" s="11">
        <f>+MONTH(A1584)</f>
        <v>8</v>
      </c>
      <c r="C1584" s="11">
        <f>+WEEKNUM(A1584)</f>
        <v>34</v>
      </c>
      <c r="D1584" s="4" t="s">
        <v>143</v>
      </c>
      <c r="E1584" s="4" t="s">
        <v>663</v>
      </c>
      <c r="F1584" s="4">
        <v>573146814750</v>
      </c>
      <c r="G1584" s="4">
        <v>64864</v>
      </c>
      <c r="H1584" s="8" t="s">
        <v>44</v>
      </c>
      <c r="I1584" s="4" t="s">
        <v>664</v>
      </c>
      <c r="J1584" s="4"/>
      <c r="K1584" s="4"/>
      <c r="L1584" s="8" t="s">
        <v>71</v>
      </c>
      <c r="M1584" s="7"/>
      <c r="N1584" s="7"/>
      <c r="O1584" s="7"/>
    </row>
    <row r="1585" spans="1:15" ht="12.75" x14ac:dyDescent="0.2">
      <c r="A1585" s="6">
        <v>45885</v>
      </c>
      <c r="B1585" s="11">
        <f>+MONTH(A1585)</f>
        <v>8</v>
      </c>
      <c r="C1585" s="11">
        <f>+WEEKNUM(A1585)</f>
        <v>33</v>
      </c>
      <c r="D1585" s="4" t="s">
        <v>661</v>
      </c>
      <c r="E1585" s="4" t="s">
        <v>662</v>
      </c>
      <c r="F1585" s="4">
        <v>573184008127</v>
      </c>
      <c r="G1585" s="4">
        <v>64982</v>
      </c>
      <c r="H1585" s="8" t="s">
        <v>44</v>
      </c>
      <c r="I1585" s="4"/>
      <c r="J1585" s="4"/>
      <c r="K1585" s="4"/>
      <c r="L1585" s="8" t="s">
        <v>22</v>
      </c>
      <c r="M1585" s="7"/>
      <c r="N1585" s="7"/>
      <c r="O1585" s="7"/>
    </row>
    <row r="1586" spans="1:15" ht="12.75" x14ac:dyDescent="0.2">
      <c r="A1586" s="6">
        <v>45885</v>
      </c>
      <c r="B1586" s="11">
        <f>+MONTH(A1586)</f>
        <v>8</v>
      </c>
      <c r="C1586" s="11">
        <f>+WEEKNUM(A1586)</f>
        <v>33</v>
      </c>
      <c r="D1586" s="4" t="s">
        <v>69</v>
      </c>
      <c r="E1586" s="4" t="s">
        <v>85</v>
      </c>
      <c r="F1586" s="4">
        <v>573227897688</v>
      </c>
      <c r="G1586" s="4">
        <v>66594</v>
      </c>
      <c r="H1586" s="8"/>
      <c r="I1586" s="4"/>
      <c r="J1586" s="4"/>
      <c r="K1586" s="4"/>
      <c r="L1586" s="8"/>
      <c r="M1586" s="7"/>
      <c r="N1586" s="7"/>
      <c r="O1586" s="7"/>
    </row>
    <row r="1587" spans="1:15" ht="89.25" x14ac:dyDescent="0.2">
      <c r="A1587" s="6">
        <v>45885</v>
      </c>
      <c r="B1587" s="11">
        <f>+MONTH(A1587)</f>
        <v>8</v>
      </c>
      <c r="C1587" s="11">
        <f>+WEEKNUM(A1587)</f>
        <v>33</v>
      </c>
      <c r="D1587" s="4" t="s">
        <v>658</v>
      </c>
      <c r="E1587" s="4" t="s">
        <v>659</v>
      </c>
      <c r="F1587" s="4">
        <v>573132853101</v>
      </c>
      <c r="G1587" s="4">
        <v>66574</v>
      </c>
      <c r="H1587" s="8" t="s">
        <v>13</v>
      </c>
      <c r="I1587" s="4" t="s">
        <v>660</v>
      </c>
      <c r="J1587" s="4" t="s">
        <v>23</v>
      </c>
      <c r="K1587" s="4"/>
      <c r="L1587" s="8" t="s">
        <v>12</v>
      </c>
      <c r="M1587" s="7"/>
      <c r="N1587" s="7"/>
      <c r="O1587" s="7"/>
    </row>
    <row r="1588" spans="1:15" ht="12.75" x14ac:dyDescent="0.2">
      <c r="A1588" s="6">
        <v>45885</v>
      </c>
      <c r="B1588" s="11">
        <f>+MONTH(A1588)</f>
        <v>8</v>
      </c>
      <c r="C1588" s="11">
        <f>+WEEKNUM(A1588)</f>
        <v>33</v>
      </c>
      <c r="D1588" s="4" t="s">
        <v>179</v>
      </c>
      <c r="E1588" s="4" t="s">
        <v>65</v>
      </c>
      <c r="F1588" s="4">
        <v>573059283828</v>
      </c>
      <c r="G1588" s="4">
        <v>66587</v>
      </c>
      <c r="H1588" s="8"/>
      <c r="I1588" s="4"/>
      <c r="J1588" s="4"/>
      <c r="K1588" s="4"/>
      <c r="L1588" s="8"/>
      <c r="M1588" s="7"/>
      <c r="N1588" s="7"/>
      <c r="O1588" s="7"/>
    </row>
    <row r="1589" spans="1:15" ht="12.75" x14ac:dyDescent="0.2">
      <c r="A1589" s="6">
        <v>45885</v>
      </c>
      <c r="B1589" s="11">
        <f>+MONTH(A1589)</f>
        <v>8</v>
      </c>
      <c r="C1589" s="11">
        <f>+WEEKNUM(A1589)</f>
        <v>33</v>
      </c>
      <c r="D1589" s="4" t="s">
        <v>656</v>
      </c>
      <c r="E1589" s="4" t="s">
        <v>657</v>
      </c>
      <c r="F1589" s="4">
        <v>573205725218</v>
      </c>
      <c r="G1589" s="4">
        <v>66763</v>
      </c>
      <c r="H1589" s="8" t="s">
        <v>13</v>
      </c>
      <c r="I1589" s="4"/>
      <c r="J1589" s="4"/>
      <c r="K1589" s="4"/>
      <c r="L1589" s="8" t="s">
        <v>12</v>
      </c>
      <c r="M1589" s="7"/>
      <c r="N1589" s="7"/>
      <c r="O1589" s="7"/>
    </row>
    <row r="1590" spans="1:15" ht="12.75" x14ac:dyDescent="0.2">
      <c r="A1590" s="6">
        <v>45885</v>
      </c>
      <c r="B1590" s="11">
        <f>+MONTH(A1590)</f>
        <v>8</v>
      </c>
      <c r="C1590" s="11">
        <f>+WEEKNUM(A1590)</f>
        <v>33</v>
      </c>
      <c r="D1590" s="4" t="s">
        <v>145</v>
      </c>
      <c r="E1590" s="4" t="s">
        <v>218</v>
      </c>
      <c r="F1590" s="4">
        <v>573208785799</v>
      </c>
      <c r="G1590" s="4">
        <v>66877</v>
      </c>
      <c r="H1590" s="8"/>
      <c r="I1590" s="4"/>
      <c r="J1590" s="4"/>
      <c r="K1590" s="4"/>
      <c r="L1590" s="8"/>
      <c r="M1590" s="7"/>
      <c r="N1590" s="7"/>
      <c r="O1590" s="7"/>
    </row>
    <row r="1591" spans="1:15" ht="25.5" x14ac:dyDescent="0.2">
      <c r="A1591" s="6">
        <v>45885</v>
      </c>
      <c r="B1591" s="11">
        <f>+MONTH(A1591)</f>
        <v>8</v>
      </c>
      <c r="C1591" s="11">
        <f>+WEEKNUM(A1591)</f>
        <v>33</v>
      </c>
      <c r="D1591" s="4" t="s">
        <v>654</v>
      </c>
      <c r="E1591" s="4" t="s">
        <v>655</v>
      </c>
      <c r="F1591" s="4">
        <v>573218883288</v>
      </c>
      <c r="G1591" s="4">
        <v>65754</v>
      </c>
      <c r="H1591" s="8"/>
      <c r="I1591" s="4"/>
      <c r="J1591" s="4"/>
      <c r="K1591" s="4"/>
      <c r="L1591" s="8"/>
      <c r="M1591" s="7"/>
      <c r="N1591" s="7"/>
      <c r="O1591" s="7"/>
    </row>
    <row r="1592" spans="1:15" ht="25.5" x14ac:dyDescent="0.2">
      <c r="A1592" s="6">
        <v>45885</v>
      </c>
      <c r="B1592" s="11">
        <f>+MONTH(A1592)</f>
        <v>8</v>
      </c>
      <c r="C1592" s="11">
        <f>+WEEKNUM(A1592)</f>
        <v>33</v>
      </c>
      <c r="D1592" s="4" t="s">
        <v>652</v>
      </c>
      <c r="E1592" s="4" t="s">
        <v>653</v>
      </c>
      <c r="F1592" s="4">
        <v>573204930792</v>
      </c>
      <c r="G1592" s="4">
        <v>66933</v>
      </c>
      <c r="H1592" s="8"/>
      <c r="I1592" s="4"/>
      <c r="J1592" s="4"/>
      <c r="K1592" s="4"/>
      <c r="L1592" s="8"/>
      <c r="M1592" s="7"/>
      <c r="N1592" s="7"/>
      <c r="O1592" s="7"/>
    </row>
    <row r="1593" spans="1:15" ht="12.75" x14ac:dyDescent="0.2">
      <c r="A1593" s="6">
        <v>45885</v>
      </c>
      <c r="B1593" s="11">
        <f>+MONTH(A1593)</f>
        <v>8</v>
      </c>
      <c r="C1593" s="11">
        <f>+WEEKNUM(A1593)</f>
        <v>33</v>
      </c>
      <c r="D1593" s="4" t="s">
        <v>156</v>
      </c>
      <c r="E1593" s="4" t="s">
        <v>201</v>
      </c>
      <c r="F1593" s="4">
        <v>573171810698</v>
      </c>
      <c r="G1593" s="4">
        <v>66540</v>
      </c>
      <c r="H1593" s="8"/>
      <c r="I1593" s="4"/>
      <c r="J1593" s="4"/>
      <c r="K1593" s="4"/>
      <c r="L1593" s="8"/>
      <c r="M1593" s="7"/>
      <c r="N1593" s="7"/>
      <c r="O1593" s="7"/>
    </row>
    <row r="1594" spans="1:15" ht="12.75" x14ac:dyDescent="0.2">
      <c r="A1594" s="6">
        <v>45885</v>
      </c>
      <c r="B1594" s="11">
        <f>+MONTH(A1594)</f>
        <v>8</v>
      </c>
      <c r="C1594" s="11">
        <f>+WEEKNUM(A1594)</f>
        <v>33</v>
      </c>
      <c r="D1594" s="4" t="s">
        <v>650</v>
      </c>
      <c r="E1594" s="4" t="s">
        <v>651</v>
      </c>
      <c r="F1594" s="4">
        <v>573125174838</v>
      </c>
      <c r="G1594" s="4">
        <v>65904</v>
      </c>
      <c r="H1594" s="8"/>
      <c r="I1594" s="4"/>
      <c r="J1594" s="4"/>
      <c r="K1594" s="4"/>
      <c r="L1594" s="8"/>
      <c r="M1594" s="7"/>
      <c r="N1594" s="7"/>
      <c r="O1594" s="7"/>
    </row>
    <row r="1595" spans="1:15" ht="12.75" x14ac:dyDescent="0.2">
      <c r="A1595" s="6">
        <v>45885</v>
      </c>
      <c r="B1595" s="11">
        <f>+MONTH(A1595)</f>
        <v>8</v>
      </c>
      <c r="C1595" s="11">
        <f>+WEEKNUM(A1595)</f>
        <v>33</v>
      </c>
      <c r="D1595" s="4" t="s">
        <v>648</v>
      </c>
      <c r="E1595" s="4" t="s">
        <v>649</v>
      </c>
      <c r="F1595" s="4">
        <v>573226282758</v>
      </c>
      <c r="G1595" s="4">
        <v>66359</v>
      </c>
      <c r="H1595" s="8"/>
      <c r="I1595" s="4"/>
      <c r="J1595" s="4"/>
      <c r="K1595" s="4"/>
      <c r="L1595" s="8"/>
      <c r="M1595" s="7"/>
      <c r="N1595" s="7"/>
      <c r="O1595" s="7"/>
    </row>
    <row r="1596" spans="1:15" ht="12.75" x14ac:dyDescent="0.2">
      <c r="A1596" s="6">
        <v>45885</v>
      </c>
      <c r="B1596" s="11">
        <f>+MONTH(A1596)</f>
        <v>8</v>
      </c>
      <c r="C1596" s="11">
        <f>+WEEKNUM(A1596)</f>
        <v>33</v>
      </c>
      <c r="D1596" s="4" t="s">
        <v>66</v>
      </c>
      <c r="E1596" s="4" t="s">
        <v>187</v>
      </c>
      <c r="F1596" s="4">
        <v>573115403395</v>
      </c>
      <c r="G1596" s="4">
        <v>66765</v>
      </c>
      <c r="H1596" s="8" t="s">
        <v>13</v>
      </c>
      <c r="I1596" s="4"/>
      <c r="J1596" s="4"/>
      <c r="K1596" s="4"/>
      <c r="L1596" s="8" t="s">
        <v>12</v>
      </c>
      <c r="M1596" s="7"/>
      <c r="N1596" s="7"/>
      <c r="O1596" s="7"/>
    </row>
    <row r="1597" spans="1:15" ht="12.75" x14ac:dyDescent="0.2">
      <c r="A1597" s="6">
        <v>45885</v>
      </c>
      <c r="B1597" s="11">
        <f>+MONTH(A1597)</f>
        <v>8</v>
      </c>
      <c r="C1597" s="11">
        <f>+WEEKNUM(A1597)</f>
        <v>33</v>
      </c>
      <c r="D1597" s="4" t="s">
        <v>88</v>
      </c>
      <c r="E1597" s="4" t="s">
        <v>247</v>
      </c>
      <c r="F1597" s="4">
        <v>573156914918</v>
      </c>
      <c r="G1597" s="4">
        <v>66806</v>
      </c>
      <c r="H1597" s="8"/>
      <c r="I1597" s="4"/>
      <c r="J1597" s="4"/>
      <c r="K1597" s="4"/>
      <c r="L1597" s="8"/>
      <c r="M1597" s="7"/>
      <c r="N1597" s="7"/>
      <c r="O1597" s="7"/>
    </row>
    <row r="1598" spans="1:15" ht="38.25" x14ac:dyDescent="0.2">
      <c r="A1598" s="6">
        <v>45885</v>
      </c>
      <c r="B1598" s="11">
        <f>+MONTH(A1598)</f>
        <v>8</v>
      </c>
      <c r="C1598" s="11">
        <f>+WEEKNUM(A1598)</f>
        <v>33</v>
      </c>
      <c r="D1598" s="4" t="s">
        <v>644</v>
      </c>
      <c r="E1598" s="4" t="s">
        <v>645</v>
      </c>
      <c r="F1598" s="4">
        <v>573015666670</v>
      </c>
      <c r="G1598" s="4">
        <v>65841</v>
      </c>
      <c r="H1598" s="8" t="s">
        <v>13</v>
      </c>
      <c r="I1598" s="4" t="s">
        <v>646</v>
      </c>
      <c r="J1598" s="5" t="s">
        <v>647</v>
      </c>
      <c r="K1598" s="4"/>
      <c r="L1598" s="8" t="s">
        <v>12</v>
      </c>
      <c r="M1598" s="7"/>
      <c r="N1598" s="7"/>
      <c r="O1598" s="7"/>
    </row>
    <row r="1599" spans="1:15" ht="12.75" x14ac:dyDescent="0.2">
      <c r="A1599" s="6">
        <v>45885</v>
      </c>
      <c r="B1599" s="11">
        <f>+MONTH(A1599)</f>
        <v>8</v>
      </c>
      <c r="C1599" s="11">
        <f>+WEEKNUM(A1599)</f>
        <v>33</v>
      </c>
      <c r="D1599" s="4" t="s">
        <v>642</v>
      </c>
      <c r="E1599" s="4" t="s">
        <v>643</v>
      </c>
      <c r="F1599" s="4">
        <v>573042164233</v>
      </c>
      <c r="G1599" s="4">
        <v>66326</v>
      </c>
      <c r="H1599" s="8"/>
      <c r="I1599" s="4"/>
      <c r="J1599" s="4"/>
      <c r="K1599" s="4"/>
      <c r="L1599" s="8"/>
      <c r="M1599" s="7"/>
      <c r="N1599" s="7"/>
      <c r="O1599" s="7"/>
    </row>
    <row r="1600" spans="1:15" ht="25.5" x14ac:dyDescent="0.2">
      <c r="A1600" s="6">
        <v>45885</v>
      </c>
      <c r="B1600" s="11">
        <f>+MONTH(A1600)</f>
        <v>8</v>
      </c>
      <c r="C1600" s="11">
        <f>+WEEKNUM(A1600)</f>
        <v>33</v>
      </c>
      <c r="D1600" s="4" t="s">
        <v>183</v>
      </c>
      <c r="E1600" s="4" t="s">
        <v>641</v>
      </c>
      <c r="F1600" s="4">
        <v>573196272142</v>
      </c>
      <c r="G1600" s="4">
        <v>66694</v>
      </c>
      <c r="H1600" s="8"/>
      <c r="I1600" s="4"/>
      <c r="J1600" s="4"/>
      <c r="K1600" s="4"/>
      <c r="L1600" s="8"/>
      <c r="M1600" s="7"/>
      <c r="N1600" s="7"/>
      <c r="O1600" s="7"/>
    </row>
    <row r="1601" spans="1:15" ht="25.5" x14ac:dyDescent="0.2">
      <c r="A1601" s="6">
        <v>45885</v>
      </c>
      <c r="B1601" s="11">
        <f>+MONTH(A1601)</f>
        <v>8</v>
      </c>
      <c r="C1601" s="11">
        <f>+WEEKNUM(A1601)</f>
        <v>33</v>
      </c>
      <c r="D1601" s="4" t="s">
        <v>639</v>
      </c>
      <c r="E1601" s="4" t="s">
        <v>640</v>
      </c>
      <c r="F1601" s="4">
        <v>573108508583</v>
      </c>
      <c r="G1601" s="4">
        <v>66724</v>
      </c>
      <c r="H1601" s="8"/>
      <c r="I1601" s="4"/>
      <c r="J1601" s="4"/>
      <c r="K1601" s="4"/>
      <c r="L1601" s="8"/>
      <c r="M1601" s="7"/>
      <c r="N1601" s="7"/>
      <c r="O1601" s="7"/>
    </row>
    <row r="1602" spans="1:15" ht="89.25" x14ac:dyDescent="0.2">
      <c r="A1602" s="6">
        <v>45885</v>
      </c>
      <c r="B1602" s="11">
        <f>+MONTH(A1602)</f>
        <v>8</v>
      </c>
      <c r="C1602" s="11">
        <f>+WEEKNUM(A1602)</f>
        <v>33</v>
      </c>
      <c r="D1602" s="4" t="s">
        <v>114</v>
      </c>
      <c r="E1602" s="4" t="s">
        <v>638</v>
      </c>
      <c r="F1602" s="4">
        <v>573144442365</v>
      </c>
      <c r="G1602" s="4">
        <v>66496</v>
      </c>
      <c r="H1602" s="8" t="s">
        <v>13</v>
      </c>
      <c r="I1602" s="4" t="s">
        <v>3361</v>
      </c>
      <c r="J1602" s="4" t="s">
        <v>14</v>
      </c>
      <c r="K1602" s="4"/>
      <c r="L1602" s="8" t="s">
        <v>12</v>
      </c>
      <c r="M1602" s="7"/>
      <c r="N1602" s="7"/>
      <c r="O1602" s="7"/>
    </row>
    <row r="1603" spans="1:15" ht="12.75" x14ac:dyDescent="0.2">
      <c r="A1603" s="6">
        <v>45885</v>
      </c>
      <c r="B1603" s="11">
        <f>+MONTH(A1603)</f>
        <v>8</v>
      </c>
      <c r="C1603" s="11">
        <f>+WEEKNUM(A1603)</f>
        <v>33</v>
      </c>
      <c r="D1603" s="4" t="s">
        <v>636</v>
      </c>
      <c r="E1603" s="4" t="s">
        <v>637</v>
      </c>
      <c r="F1603" s="4">
        <v>573057507810</v>
      </c>
      <c r="G1603" s="4">
        <v>66576</v>
      </c>
      <c r="H1603" s="8"/>
      <c r="I1603" s="4"/>
      <c r="J1603" s="4"/>
      <c r="K1603" s="4"/>
      <c r="L1603" s="8"/>
      <c r="M1603" s="7"/>
      <c r="N1603" s="7"/>
      <c r="O1603" s="7"/>
    </row>
    <row r="1604" spans="1:15" ht="12.75" x14ac:dyDescent="0.2">
      <c r="A1604" s="6">
        <v>45885</v>
      </c>
      <c r="B1604" s="11">
        <f>+MONTH(A1604)</f>
        <v>8</v>
      </c>
      <c r="C1604" s="11">
        <f>+WEEKNUM(A1604)</f>
        <v>33</v>
      </c>
      <c r="D1604" s="4" t="s">
        <v>132</v>
      </c>
      <c r="E1604" s="4" t="s">
        <v>635</v>
      </c>
      <c r="F1604" s="4">
        <v>573043330408</v>
      </c>
      <c r="G1604" s="4">
        <v>66261</v>
      </c>
      <c r="H1604" s="8"/>
      <c r="I1604" s="4"/>
      <c r="J1604" s="4"/>
      <c r="K1604" s="4"/>
      <c r="L1604" s="8"/>
      <c r="M1604" s="7"/>
      <c r="N1604" s="7"/>
      <c r="O1604" s="7"/>
    </row>
    <row r="1605" spans="1:15" ht="12.75" x14ac:dyDescent="0.2">
      <c r="A1605" s="6">
        <v>45884</v>
      </c>
      <c r="B1605" s="11">
        <f>+MONTH(A1605)</f>
        <v>8</v>
      </c>
      <c r="C1605" s="11">
        <f>+WEEKNUM(A1605)</f>
        <v>33</v>
      </c>
      <c r="D1605" s="4" t="s">
        <v>632</v>
      </c>
      <c r="E1605" s="4" t="s">
        <v>633</v>
      </c>
      <c r="F1605" s="4">
        <v>573059290085</v>
      </c>
      <c r="G1605" s="4">
        <v>66215</v>
      </c>
      <c r="H1605" s="8" t="s">
        <v>13</v>
      </c>
      <c r="I1605" s="4" t="s">
        <v>634</v>
      </c>
      <c r="J1605" s="4" t="s">
        <v>14</v>
      </c>
      <c r="K1605" s="4"/>
      <c r="L1605" s="8" t="s">
        <v>12</v>
      </c>
      <c r="M1605" s="7"/>
      <c r="N1605" s="7"/>
      <c r="O1605" s="7"/>
    </row>
    <row r="1606" spans="1:15" ht="204" x14ac:dyDescent="0.2">
      <c r="A1606" s="6">
        <v>45884</v>
      </c>
      <c r="B1606" s="11">
        <f>+MONTH(A1606)</f>
        <v>8</v>
      </c>
      <c r="C1606" s="11">
        <f>+WEEKNUM(A1606)</f>
        <v>33</v>
      </c>
      <c r="D1606" s="4" t="s">
        <v>630</v>
      </c>
      <c r="E1606" s="4" t="s">
        <v>631</v>
      </c>
      <c r="F1606" s="4">
        <v>573108140972</v>
      </c>
      <c r="G1606" s="4">
        <v>66437</v>
      </c>
      <c r="H1606" s="8" t="s">
        <v>13</v>
      </c>
      <c r="I1606" s="4" t="s">
        <v>3362</v>
      </c>
      <c r="J1606" s="4" t="s">
        <v>23</v>
      </c>
      <c r="K1606" s="4"/>
      <c r="L1606" s="8" t="s">
        <v>12</v>
      </c>
      <c r="M1606" s="7"/>
      <c r="N1606" s="7"/>
      <c r="O1606" s="7"/>
    </row>
    <row r="1607" spans="1:15" ht="12.75" x14ac:dyDescent="0.2">
      <c r="A1607" s="6">
        <v>45884</v>
      </c>
      <c r="B1607" s="11">
        <f>+MONTH(A1607)</f>
        <v>8</v>
      </c>
      <c r="C1607" s="11">
        <f>+WEEKNUM(A1607)</f>
        <v>33</v>
      </c>
      <c r="D1607" s="4" t="s">
        <v>172</v>
      </c>
      <c r="E1607" s="4" t="s">
        <v>629</v>
      </c>
      <c r="F1607" s="4">
        <v>573016803755</v>
      </c>
      <c r="G1607" s="4">
        <v>66748</v>
      </c>
      <c r="H1607" s="8"/>
      <c r="I1607" s="4"/>
      <c r="J1607" s="4"/>
      <c r="K1607" s="4"/>
      <c r="L1607" s="8"/>
      <c r="M1607" s="7"/>
      <c r="N1607" s="7"/>
      <c r="O1607" s="7"/>
    </row>
    <row r="1608" spans="1:15" ht="12.75" x14ac:dyDescent="0.2">
      <c r="A1608" s="6">
        <v>45884</v>
      </c>
      <c r="B1608" s="11">
        <f>+MONTH(A1608)</f>
        <v>8</v>
      </c>
      <c r="C1608" s="11">
        <f>+WEEKNUM(A1608)</f>
        <v>33</v>
      </c>
      <c r="D1608" s="4" t="s">
        <v>242</v>
      </c>
      <c r="E1608" s="4" t="s">
        <v>628</v>
      </c>
      <c r="F1608" s="4">
        <v>573017080860</v>
      </c>
      <c r="G1608" s="4">
        <v>66811</v>
      </c>
      <c r="H1608" s="8" t="s">
        <v>13</v>
      </c>
      <c r="I1608" s="4"/>
      <c r="J1608" s="4"/>
      <c r="K1608" s="4"/>
      <c r="L1608" s="8" t="s">
        <v>12</v>
      </c>
      <c r="M1608" s="7"/>
      <c r="N1608" s="7"/>
      <c r="O1608" s="7"/>
    </row>
    <row r="1609" spans="1:15" ht="409.5" x14ac:dyDescent="0.2">
      <c r="A1609" s="6">
        <v>45884</v>
      </c>
      <c r="B1609" s="11">
        <f>+MONTH(A1609)</f>
        <v>8</v>
      </c>
      <c r="C1609" s="11">
        <f>+WEEKNUM(A1609)</f>
        <v>33</v>
      </c>
      <c r="D1609" s="4" t="s">
        <v>625</v>
      </c>
      <c r="E1609" s="4" t="s">
        <v>626</v>
      </c>
      <c r="F1609" s="4">
        <v>573102780212</v>
      </c>
      <c r="G1609" s="4">
        <v>66654</v>
      </c>
      <c r="H1609" s="8" t="s">
        <v>22</v>
      </c>
      <c r="I1609" s="4" t="s">
        <v>627</v>
      </c>
      <c r="J1609" s="4"/>
      <c r="K1609" s="4"/>
      <c r="L1609" s="8" t="s">
        <v>22</v>
      </c>
      <c r="M1609" s="7"/>
      <c r="N1609" s="7"/>
      <c r="O1609" s="7"/>
    </row>
    <row r="1610" spans="1:15" ht="63.75" x14ac:dyDescent="0.2">
      <c r="A1610" s="6">
        <v>45884</v>
      </c>
      <c r="B1610" s="11">
        <f>+MONTH(A1610)</f>
        <v>8</v>
      </c>
      <c r="C1610" s="11">
        <f>+WEEKNUM(A1610)</f>
        <v>33</v>
      </c>
      <c r="D1610" s="4" t="s">
        <v>88</v>
      </c>
      <c r="E1610" s="4" t="s">
        <v>622</v>
      </c>
      <c r="F1610" s="4">
        <v>573192877226</v>
      </c>
      <c r="G1610" s="4">
        <v>66862</v>
      </c>
      <c r="H1610" s="8" t="s">
        <v>13</v>
      </c>
      <c r="I1610" s="4" t="s">
        <v>623</v>
      </c>
      <c r="J1610" s="5" t="s">
        <v>624</v>
      </c>
      <c r="K1610" s="4"/>
      <c r="L1610" s="8" t="s">
        <v>12</v>
      </c>
      <c r="M1610" s="7"/>
      <c r="N1610" s="7"/>
      <c r="O1610" s="7"/>
    </row>
    <row r="1611" spans="1:15" ht="25.5" x14ac:dyDescent="0.2">
      <c r="A1611" s="6">
        <v>45884</v>
      </c>
      <c r="B1611" s="11">
        <f>+MONTH(A1611)</f>
        <v>8</v>
      </c>
      <c r="C1611" s="11">
        <f>+WEEKNUM(A1611)</f>
        <v>33</v>
      </c>
      <c r="D1611" s="4" t="s">
        <v>20</v>
      </c>
      <c r="E1611" s="4" t="s">
        <v>621</v>
      </c>
      <c r="F1611" s="4">
        <v>573118442583</v>
      </c>
      <c r="G1611" s="4">
        <v>64096</v>
      </c>
      <c r="H1611" s="8"/>
      <c r="I1611" s="4"/>
      <c r="J1611" s="4"/>
      <c r="K1611" s="4"/>
      <c r="L1611" s="8"/>
      <c r="M1611" s="7"/>
      <c r="N1611" s="7"/>
      <c r="O1611" s="7"/>
    </row>
    <row r="1612" spans="1:15" ht="12.75" x14ac:dyDescent="0.2">
      <c r="A1612" s="6">
        <v>45884</v>
      </c>
      <c r="B1612" s="11">
        <f>+MONTH(A1612)</f>
        <v>8</v>
      </c>
      <c r="C1612" s="11">
        <f>+WEEKNUM(A1612)</f>
        <v>33</v>
      </c>
      <c r="D1612" s="4" t="s">
        <v>88</v>
      </c>
      <c r="E1612" s="4" t="s">
        <v>620</v>
      </c>
      <c r="F1612" s="4">
        <v>573112133868</v>
      </c>
      <c r="G1612" s="4">
        <v>66814</v>
      </c>
      <c r="H1612" s="8" t="s">
        <v>13</v>
      </c>
      <c r="I1612" s="4"/>
      <c r="J1612" s="4"/>
      <c r="K1612" s="4"/>
      <c r="L1612" s="8" t="s">
        <v>12</v>
      </c>
      <c r="M1612" s="7"/>
      <c r="N1612" s="7"/>
      <c r="O1612" s="7"/>
    </row>
    <row r="1613" spans="1:15" ht="12.75" x14ac:dyDescent="0.2">
      <c r="A1613" s="6">
        <v>45884</v>
      </c>
      <c r="B1613" s="11">
        <f>+MONTH(A1613)</f>
        <v>8</v>
      </c>
      <c r="C1613" s="11">
        <f>+WEEKNUM(A1613)</f>
        <v>33</v>
      </c>
      <c r="D1613" s="4" t="s">
        <v>149</v>
      </c>
      <c r="E1613" s="4" t="s">
        <v>619</v>
      </c>
      <c r="F1613" s="4">
        <v>573193130510</v>
      </c>
      <c r="G1613" s="4">
        <v>66758</v>
      </c>
      <c r="H1613" s="8" t="s">
        <v>13</v>
      </c>
      <c r="I1613" s="4"/>
      <c r="J1613" s="4"/>
      <c r="K1613" s="4"/>
      <c r="L1613" s="8" t="s">
        <v>12</v>
      </c>
      <c r="M1613" s="7"/>
      <c r="N1613" s="7"/>
      <c r="O1613" s="7"/>
    </row>
    <row r="1614" spans="1:15" ht="38.25" x14ac:dyDescent="0.2">
      <c r="A1614" s="6">
        <v>45884</v>
      </c>
      <c r="B1614" s="11">
        <f>+MONTH(A1614)</f>
        <v>8</v>
      </c>
      <c r="C1614" s="11">
        <f>+WEEKNUM(A1614)</f>
        <v>33</v>
      </c>
      <c r="D1614" s="4" t="s">
        <v>618</v>
      </c>
      <c r="E1614" s="4" t="s">
        <v>618</v>
      </c>
      <c r="F1614" s="4">
        <v>573125864204</v>
      </c>
      <c r="G1614" s="4">
        <v>66670</v>
      </c>
      <c r="H1614" s="8"/>
      <c r="I1614" s="4"/>
      <c r="J1614" s="4"/>
      <c r="K1614" s="4"/>
      <c r="L1614" s="8"/>
      <c r="M1614" s="7"/>
      <c r="N1614" s="7"/>
      <c r="O1614" s="7"/>
    </row>
    <row r="1615" spans="1:15" ht="12.75" x14ac:dyDescent="0.2">
      <c r="A1615" s="6">
        <v>45884</v>
      </c>
      <c r="B1615" s="11">
        <f>+MONTH(A1615)</f>
        <v>8</v>
      </c>
      <c r="C1615" s="11">
        <f>+WEEKNUM(A1615)</f>
        <v>33</v>
      </c>
      <c r="D1615" s="4" t="s">
        <v>115</v>
      </c>
      <c r="E1615" s="4" t="s">
        <v>617</v>
      </c>
      <c r="F1615" s="4">
        <v>573158320639</v>
      </c>
      <c r="G1615" s="4">
        <v>66690</v>
      </c>
      <c r="H1615" s="8"/>
      <c r="I1615" s="4"/>
      <c r="J1615" s="4"/>
      <c r="K1615" s="4"/>
      <c r="L1615" s="8"/>
      <c r="M1615" s="7"/>
      <c r="N1615" s="7"/>
      <c r="O1615" s="7"/>
    </row>
    <row r="1616" spans="1:15" ht="25.5" x14ac:dyDescent="0.2">
      <c r="A1616" s="6">
        <v>45884</v>
      </c>
      <c r="B1616" s="11">
        <f>+MONTH(A1616)</f>
        <v>8</v>
      </c>
      <c r="C1616" s="11">
        <f>+WEEKNUM(A1616)</f>
        <v>33</v>
      </c>
      <c r="D1616" s="4" t="s">
        <v>137</v>
      </c>
      <c r="E1616" s="4" t="s">
        <v>616</v>
      </c>
      <c r="F1616" s="4">
        <v>573124745273</v>
      </c>
      <c r="G1616" s="4">
        <v>66467</v>
      </c>
      <c r="H1616" s="8"/>
      <c r="I1616" s="4"/>
      <c r="J1616" s="4"/>
      <c r="K1616" s="4"/>
      <c r="L1616" s="8"/>
      <c r="M1616" s="7"/>
      <c r="N1616" s="7"/>
      <c r="O1616" s="7"/>
    </row>
    <row r="1617" spans="1:15" ht="25.5" x14ac:dyDescent="0.2">
      <c r="A1617" s="6">
        <v>45884</v>
      </c>
      <c r="B1617" s="11">
        <f>+MONTH(A1617)</f>
        <v>8</v>
      </c>
      <c r="C1617" s="11">
        <f>+WEEKNUM(A1617)</f>
        <v>33</v>
      </c>
      <c r="D1617" s="4" t="s">
        <v>110</v>
      </c>
      <c r="E1617" s="4" t="s">
        <v>615</v>
      </c>
      <c r="F1617" s="4">
        <v>573148137732</v>
      </c>
      <c r="G1617" s="4">
        <v>63130</v>
      </c>
      <c r="H1617" s="8"/>
      <c r="I1617" s="4"/>
      <c r="J1617" s="4"/>
      <c r="K1617" s="4"/>
      <c r="L1617" s="8"/>
      <c r="M1617" s="7"/>
      <c r="N1617" s="7"/>
      <c r="O1617" s="7"/>
    </row>
    <row r="1618" spans="1:15" ht="102" x14ac:dyDescent="0.2">
      <c r="A1618" s="6">
        <v>45884</v>
      </c>
      <c r="B1618" s="11">
        <f>+MONTH(A1618)</f>
        <v>8</v>
      </c>
      <c r="C1618" s="11">
        <f>+WEEKNUM(A1618)</f>
        <v>33</v>
      </c>
      <c r="D1618" s="4" t="s">
        <v>118</v>
      </c>
      <c r="E1618" s="4" t="s">
        <v>612</v>
      </c>
      <c r="F1618" s="4">
        <v>573043629645</v>
      </c>
      <c r="G1618" s="4">
        <v>66185</v>
      </c>
      <c r="H1618" s="8" t="s">
        <v>13</v>
      </c>
      <c r="I1618" s="4" t="s">
        <v>613</v>
      </c>
      <c r="J1618" s="5" t="s">
        <v>614</v>
      </c>
      <c r="K1618" s="4"/>
      <c r="L1618" s="8" t="s">
        <v>12</v>
      </c>
      <c r="M1618" s="7"/>
      <c r="N1618" s="7"/>
      <c r="O1618" s="7"/>
    </row>
    <row r="1619" spans="1:15" ht="38.25" x14ac:dyDescent="0.2">
      <c r="A1619" s="6">
        <v>45884</v>
      </c>
      <c r="B1619" s="11">
        <f>+MONTH(A1619)</f>
        <v>8</v>
      </c>
      <c r="C1619" s="11">
        <f>+WEEKNUM(A1619)</f>
        <v>33</v>
      </c>
      <c r="D1619" s="4" t="s">
        <v>198</v>
      </c>
      <c r="E1619" s="4" t="s">
        <v>609</v>
      </c>
      <c r="F1619" s="4">
        <v>573152226185</v>
      </c>
      <c r="G1619" s="4">
        <v>66653</v>
      </c>
      <c r="H1619" s="8" t="s">
        <v>13</v>
      </c>
      <c r="I1619" s="4" t="s">
        <v>307</v>
      </c>
      <c r="J1619" s="5" t="s">
        <v>610</v>
      </c>
      <c r="K1619" s="4" t="s">
        <v>611</v>
      </c>
      <c r="L1619" s="8" t="s">
        <v>12</v>
      </c>
      <c r="M1619" s="7">
        <v>45891.74417824074</v>
      </c>
      <c r="N1619" s="7"/>
      <c r="O1619" s="7"/>
    </row>
    <row r="1620" spans="1:15" ht="25.5" x14ac:dyDescent="0.2">
      <c r="A1620" s="6">
        <v>45884</v>
      </c>
      <c r="B1620" s="11">
        <f>+MONTH(A1620)</f>
        <v>8</v>
      </c>
      <c r="C1620" s="11">
        <f>+WEEKNUM(A1620)</f>
        <v>33</v>
      </c>
      <c r="D1620" s="4" t="s">
        <v>294</v>
      </c>
      <c r="E1620" s="4" t="s">
        <v>608</v>
      </c>
      <c r="F1620" s="4">
        <v>573158160724</v>
      </c>
      <c r="G1620" s="4">
        <v>66160</v>
      </c>
      <c r="H1620" s="8"/>
      <c r="I1620" s="4"/>
      <c r="J1620" s="4"/>
      <c r="K1620" s="4"/>
      <c r="L1620" s="8"/>
      <c r="M1620" s="7"/>
      <c r="N1620" s="7"/>
      <c r="O1620" s="7"/>
    </row>
    <row r="1621" spans="1:15" ht="51" x14ac:dyDescent="0.2">
      <c r="A1621" s="6">
        <v>45884</v>
      </c>
      <c r="B1621" s="11">
        <f>+MONTH(A1621)</f>
        <v>8</v>
      </c>
      <c r="C1621" s="11">
        <f>+WEEKNUM(A1621)</f>
        <v>33</v>
      </c>
      <c r="D1621" s="4" t="s">
        <v>63</v>
      </c>
      <c r="E1621" s="4" t="s">
        <v>87</v>
      </c>
      <c r="F1621" s="4">
        <v>573123659341</v>
      </c>
      <c r="G1621" s="4">
        <v>66578</v>
      </c>
      <c r="H1621" s="8" t="s">
        <v>13</v>
      </c>
      <c r="I1621" s="4" t="s">
        <v>606</v>
      </c>
      <c r="J1621" s="5" t="s">
        <v>607</v>
      </c>
      <c r="K1621" s="4"/>
      <c r="L1621" s="8" t="s">
        <v>12</v>
      </c>
      <c r="M1621" s="7"/>
      <c r="N1621" s="7"/>
      <c r="O1621" s="7"/>
    </row>
    <row r="1622" spans="1:15" ht="12.75" x14ac:dyDescent="0.2">
      <c r="A1622" s="6">
        <v>45884</v>
      </c>
      <c r="B1622" s="11">
        <f>+MONTH(A1622)</f>
        <v>8</v>
      </c>
      <c r="C1622" s="11">
        <f>+WEEKNUM(A1622)</f>
        <v>33</v>
      </c>
      <c r="D1622" s="4" t="s">
        <v>35</v>
      </c>
      <c r="E1622" s="4" t="s">
        <v>215</v>
      </c>
      <c r="F1622" s="4">
        <v>573022608970</v>
      </c>
      <c r="G1622" s="4">
        <v>66226</v>
      </c>
      <c r="H1622" s="8"/>
      <c r="I1622" s="4"/>
      <c r="J1622" s="4"/>
      <c r="K1622" s="4"/>
      <c r="L1622" s="8"/>
      <c r="M1622" s="7"/>
      <c r="N1622" s="7"/>
      <c r="O1622" s="7"/>
    </row>
    <row r="1623" spans="1:15" ht="38.25" x14ac:dyDescent="0.2">
      <c r="A1623" s="6">
        <v>45884</v>
      </c>
      <c r="B1623" s="11">
        <f>+MONTH(A1623)</f>
        <v>8</v>
      </c>
      <c r="C1623" s="11">
        <f>+WEEKNUM(A1623)</f>
        <v>33</v>
      </c>
      <c r="D1623" s="4" t="s">
        <v>603</v>
      </c>
      <c r="E1623" s="4" t="s">
        <v>604</v>
      </c>
      <c r="F1623" s="4">
        <v>573188799910</v>
      </c>
      <c r="G1623" s="4">
        <v>66146</v>
      </c>
      <c r="H1623" s="8" t="s">
        <v>22</v>
      </c>
      <c r="I1623" s="4" t="s">
        <v>605</v>
      </c>
      <c r="J1623" s="4"/>
      <c r="K1623" s="4"/>
      <c r="L1623" s="8" t="s">
        <v>12</v>
      </c>
      <c r="M1623" s="7"/>
      <c r="N1623" s="7"/>
      <c r="O1623" s="7"/>
    </row>
    <row r="1624" spans="1:15" ht="12.75" x14ac:dyDescent="0.2">
      <c r="A1624" s="6">
        <v>45884</v>
      </c>
      <c r="B1624" s="11">
        <f>+MONTH(A1624)</f>
        <v>8</v>
      </c>
      <c r="C1624" s="11">
        <f>+WEEKNUM(A1624)</f>
        <v>33</v>
      </c>
      <c r="D1624" s="4" t="s">
        <v>193</v>
      </c>
      <c r="E1624" s="4" t="s">
        <v>602</v>
      </c>
      <c r="F1624" s="4">
        <v>573187514924</v>
      </c>
      <c r="G1624" s="4">
        <v>66330</v>
      </c>
      <c r="H1624" s="8"/>
      <c r="I1624" s="4"/>
      <c r="J1624" s="4"/>
      <c r="K1624" s="4"/>
      <c r="L1624" s="8"/>
      <c r="M1624" s="7"/>
      <c r="N1624" s="7"/>
      <c r="O1624" s="7"/>
    </row>
    <row r="1625" spans="1:15" ht="25.5" x14ac:dyDescent="0.2">
      <c r="A1625" s="6">
        <v>45884</v>
      </c>
      <c r="B1625" s="11">
        <f>+MONTH(A1625)</f>
        <v>8</v>
      </c>
      <c r="C1625" s="11">
        <f>+WEEKNUM(A1625)</f>
        <v>33</v>
      </c>
      <c r="D1625" s="4" t="s">
        <v>600</v>
      </c>
      <c r="E1625" s="4" t="s">
        <v>601</v>
      </c>
      <c r="F1625" s="4">
        <v>573143503020</v>
      </c>
      <c r="G1625" s="4">
        <v>66566</v>
      </c>
      <c r="H1625" s="8"/>
      <c r="I1625" s="4"/>
      <c r="J1625" s="4"/>
      <c r="K1625" s="4"/>
      <c r="L1625" s="8"/>
      <c r="M1625" s="7"/>
      <c r="N1625" s="7"/>
      <c r="O1625" s="7"/>
    </row>
    <row r="1626" spans="1:15" ht="76.5" x14ac:dyDescent="0.2">
      <c r="A1626" s="6">
        <v>45884</v>
      </c>
      <c r="B1626" s="11">
        <f>+MONTH(A1626)</f>
        <v>8</v>
      </c>
      <c r="C1626" s="11">
        <f>+WEEKNUM(A1626)</f>
        <v>33</v>
      </c>
      <c r="D1626" s="4" t="s">
        <v>175</v>
      </c>
      <c r="E1626" s="4" t="s">
        <v>301</v>
      </c>
      <c r="F1626" s="4">
        <v>573155343712</v>
      </c>
      <c r="G1626" s="4">
        <v>65960</v>
      </c>
      <c r="H1626" s="8" t="s">
        <v>13</v>
      </c>
      <c r="I1626" s="4" t="s">
        <v>599</v>
      </c>
      <c r="J1626" s="4" t="s">
        <v>14</v>
      </c>
      <c r="K1626" s="4"/>
      <c r="L1626" s="8" t="s">
        <v>12</v>
      </c>
      <c r="M1626" s="7"/>
      <c r="N1626" s="7"/>
      <c r="O1626" s="7"/>
    </row>
    <row r="1627" spans="1:15" ht="12.75" x14ac:dyDescent="0.2">
      <c r="A1627" s="6">
        <v>45884</v>
      </c>
      <c r="B1627" s="11">
        <f>+MONTH(A1627)</f>
        <v>8</v>
      </c>
      <c r="C1627" s="11">
        <f>+WEEKNUM(A1627)</f>
        <v>33</v>
      </c>
      <c r="D1627" s="4" t="s">
        <v>59</v>
      </c>
      <c r="E1627" s="4" t="s">
        <v>188</v>
      </c>
      <c r="F1627" s="4">
        <v>573102714965</v>
      </c>
      <c r="G1627" s="4">
        <v>66807</v>
      </c>
      <c r="H1627" s="8" t="s">
        <v>13</v>
      </c>
      <c r="I1627" s="4"/>
      <c r="J1627" s="4"/>
      <c r="K1627" s="4"/>
      <c r="L1627" s="8" t="s">
        <v>12</v>
      </c>
      <c r="M1627" s="7"/>
      <c r="N1627" s="7"/>
      <c r="O1627" s="7"/>
    </row>
    <row r="1628" spans="1:15" ht="25.5" x14ac:dyDescent="0.2">
      <c r="A1628" s="6">
        <v>45884</v>
      </c>
      <c r="B1628" s="11">
        <f>+MONTH(A1628)</f>
        <v>8</v>
      </c>
      <c r="C1628" s="11">
        <f>+WEEKNUM(A1628)</f>
        <v>33</v>
      </c>
      <c r="D1628" s="4" t="s">
        <v>597</v>
      </c>
      <c r="E1628" s="4" t="s">
        <v>598</v>
      </c>
      <c r="F1628" s="4">
        <v>573028421132</v>
      </c>
      <c r="G1628" s="4">
        <v>66632</v>
      </c>
      <c r="H1628" s="8"/>
      <c r="I1628" s="4"/>
      <c r="J1628" s="4"/>
      <c r="K1628" s="4"/>
      <c r="L1628" s="8"/>
      <c r="M1628" s="7"/>
      <c r="N1628" s="7"/>
      <c r="O1628" s="7"/>
    </row>
    <row r="1629" spans="1:15" ht="25.5" x14ac:dyDescent="0.2">
      <c r="A1629" s="6">
        <v>45884</v>
      </c>
      <c r="B1629" s="11">
        <f>+MONTH(A1629)</f>
        <v>8</v>
      </c>
      <c r="C1629" s="11">
        <f>+WEEKNUM(A1629)</f>
        <v>33</v>
      </c>
      <c r="D1629" s="4" t="s">
        <v>595</v>
      </c>
      <c r="E1629" s="4" t="s">
        <v>596</v>
      </c>
      <c r="F1629" s="4">
        <v>573202650433</v>
      </c>
      <c r="G1629" s="4">
        <v>63551</v>
      </c>
      <c r="H1629" s="8"/>
      <c r="I1629" s="4"/>
      <c r="J1629" s="4"/>
      <c r="K1629" s="4"/>
      <c r="L1629" s="8"/>
      <c r="M1629" s="7"/>
      <c r="N1629" s="7"/>
      <c r="O1629" s="7"/>
    </row>
    <row r="1630" spans="1:15" ht="12.75" x14ac:dyDescent="0.2">
      <c r="A1630" s="6">
        <v>45884</v>
      </c>
      <c r="B1630" s="11">
        <f>+MONTH(A1630)</f>
        <v>8</v>
      </c>
      <c r="C1630" s="11">
        <f>+WEEKNUM(A1630)</f>
        <v>33</v>
      </c>
      <c r="D1630" s="4" t="s">
        <v>323</v>
      </c>
      <c r="E1630" s="4" t="s">
        <v>594</v>
      </c>
      <c r="F1630" s="4">
        <v>573053719751</v>
      </c>
      <c r="G1630" s="4">
        <v>65293</v>
      </c>
      <c r="H1630" s="8"/>
      <c r="I1630" s="4"/>
      <c r="J1630" s="4"/>
      <c r="K1630" s="4"/>
      <c r="L1630" s="8"/>
      <c r="M1630" s="7"/>
      <c r="N1630" s="7"/>
      <c r="O1630" s="7"/>
    </row>
    <row r="1631" spans="1:15" ht="89.25" x14ac:dyDescent="0.2">
      <c r="A1631" s="6">
        <v>45884</v>
      </c>
      <c r="B1631" s="11">
        <f>+MONTH(A1631)</f>
        <v>8</v>
      </c>
      <c r="C1631" s="11">
        <f>+WEEKNUM(A1631)</f>
        <v>33</v>
      </c>
      <c r="D1631" s="4" t="s">
        <v>150</v>
      </c>
      <c r="E1631" s="4" t="s">
        <v>593</v>
      </c>
      <c r="F1631" s="4">
        <v>573143231387</v>
      </c>
      <c r="G1631" s="4">
        <v>66512</v>
      </c>
      <c r="H1631" s="8" t="s">
        <v>13</v>
      </c>
      <c r="I1631" s="4" t="s">
        <v>3363</v>
      </c>
      <c r="J1631" s="4" t="s">
        <v>14</v>
      </c>
      <c r="K1631" s="4"/>
      <c r="L1631" s="8" t="s">
        <v>12</v>
      </c>
      <c r="M1631" s="7"/>
      <c r="N1631" s="7"/>
      <c r="O1631" s="7"/>
    </row>
    <row r="1632" spans="1:15" ht="178.5" x14ac:dyDescent="0.2">
      <c r="A1632" s="6">
        <v>45884</v>
      </c>
      <c r="B1632" s="11">
        <f>+MONTH(A1632)</f>
        <v>8</v>
      </c>
      <c r="C1632" s="11">
        <f>+WEEKNUM(A1632)</f>
        <v>33</v>
      </c>
      <c r="D1632" s="4" t="s">
        <v>589</v>
      </c>
      <c r="E1632" s="4" t="s">
        <v>590</v>
      </c>
      <c r="F1632" s="4">
        <v>573142744825</v>
      </c>
      <c r="G1632" s="4">
        <v>66518</v>
      </c>
      <c r="H1632" s="8" t="s">
        <v>13</v>
      </c>
      <c r="I1632" s="4" t="s">
        <v>591</v>
      </c>
      <c r="J1632" s="5" t="s">
        <v>592</v>
      </c>
      <c r="K1632" s="4"/>
      <c r="L1632" s="8" t="s">
        <v>12</v>
      </c>
      <c r="M1632" s="7"/>
      <c r="N1632" s="7"/>
      <c r="O1632" s="7"/>
    </row>
    <row r="1633" spans="1:15" ht="369.75" x14ac:dyDescent="0.2">
      <c r="A1633" s="6">
        <v>45884</v>
      </c>
      <c r="B1633" s="11">
        <f>+MONTH(A1633)</f>
        <v>8</v>
      </c>
      <c r="C1633" s="11">
        <f>+WEEKNUM(A1633)</f>
        <v>33</v>
      </c>
      <c r="D1633" s="4" t="s">
        <v>134</v>
      </c>
      <c r="E1633" s="4" t="s">
        <v>588</v>
      </c>
      <c r="F1633" s="4">
        <v>573104189815</v>
      </c>
      <c r="G1633" s="4">
        <v>66719</v>
      </c>
      <c r="H1633" s="8" t="s">
        <v>44</v>
      </c>
      <c r="I1633" s="4" t="s">
        <v>3339</v>
      </c>
      <c r="J1633" s="4"/>
      <c r="K1633" s="4"/>
      <c r="L1633" s="8" t="s">
        <v>12</v>
      </c>
      <c r="M1633" s="7"/>
      <c r="N1633" s="7"/>
      <c r="O1633" s="7"/>
    </row>
    <row r="1634" spans="1:15" ht="12.75" x14ac:dyDescent="0.2">
      <c r="A1634" s="6">
        <v>45884</v>
      </c>
      <c r="B1634" s="11">
        <f>+MONTH(A1634)</f>
        <v>8</v>
      </c>
      <c r="C1634" s="11">
        <f>+WEEKNUM(A1634)</f>
        <v>33</v>
      </c>
      <c r="D1634" s="4" t="s">
        <v>20</v>
      </c>
      <c r="E1634" s="4" t="s">
        <v>587</v>
      </c>
      <c r="F1634" s="4">
        <v>573224518640</v>
      </c>
      <c r="G1634" s="4">
        <v>64227</v>
      </c>
      <c r="H1634" s="8"/>
      <c r="I1634" s="4"/>
      <c r="J1634" s="4"/>
      <c r="K1634" s="4"/>
      <c r="L1634" s="8"/>
      <c r="M1634" s="7"/>
      <c r="N1634" s="7"/>
      <c r="O1634" s="7"/>
    </row>
    <row r="1635" spans="1:15" ht="12.75" x14ac:dyDescent="0.2">
      <c r="A1635" s="6">
        <v>45884</v>
      </c>
      <c r="B1635" s="11">
        <f>+MONTH(A1635)</f>
        <v>8</v>
      </c>
      <c r="C1635" s="11">
        <f>+WEEKNUM(A1635)</f>
        <v>33</v>
      </c>
      <c r="D1635" s="4" t="s">
        <v>585</v>
      </c>
      <c r="E1635" s="4" t="s">
        <v>586</v>
      </c>
      <c r="F1635" s="4">
        <v>573002749455</v>
      </c>
      <c r="G1635" s="4">
        <v>62286</v>
      </c>
      <c r="H1635" s="8"/>
      <c r="I1635" s="4"/>
      <c r="J1635" s="4"/>
      <c r="K1635" s="4"/>
      <c r="L1635" s="8"/>
      <c r="M1635" s="7"/>
      <c r="N1635" s="7"/>
      <c r="O1635" s="7"/>
    </row>
    <row r="1636" spans="1:15" ht="25.5" x14ac:dyDescent="0.2">
      <c r="A1636" s="6">
        <v>45884</v>
      </c>
      <c r="B1636" s="11">
        <f>+MONTH(A1636)</f>
        <v>8</v>
      </c>
      <c r="C1636" s="11">
        <f>+WEEKNUM(A1636)</f>
        <v>33</v>
      </c>
      <c r="D1636" s="4" t="s">
        <v>69</v>
      </c>
      <c r="E1636" s="4" t="s">
        <v>584</v>
      </c>
      <c r="F1636" s="4">
        <v>573105703363</v>
      </c>
      <c r="G1636" s="4">
        <v>63950</v>
      </c>
      <c r="H1636" s="8"/>
      <c r="I1636" s="4"/>
      <c r="J1636" s="4"/>
      <c r="K1636" s="4"/>
      <c r="L1636" s="8"/>
      <c r="M1636" s="7"/>
      <c r="N1636" s="7"/>
      <c r="O1636" s="7"/>
    </row>
    <row r="1637" spans="1:15" ht="12.75" x14ac:dyDescent="0.2">
      <c r="A1637" s="6">
        <v>45883</v>
      </c>
      <c r="B1637" s="11">
        <f>+MONTH(A1637)</f>
        <v>8</v>
      </c>
      <c r="C1637" s="11">
        <f>+WEEKNUM(A1637)</f>
        <v>33</v>
      </c>
      <c r="D1637" s="4" t="s">
        <v>583</v>
      </c>
      <c r="E1637" s="4" t="s">
        <v>43</v>
      </c>
      <c r="F1637" s="4">
        <v>573208594964</v>
      </c>
      <c r="G1637" s="4">
        <v>66556</v>
      </c>
      <c r="H1637" s="8"/>
      <c r="I1637" s="4"/>
      <c r="J1637" s="4"/>
      <c r="K1637" s="4"/>
      <c r="L1637" s="8"/>
      <c r="M1637" s="7"/>
      <c r="N1637" s="7"/>
      <c r="O1637" s="7"/>
    </row>
    <row r="1638" spans="1:15" ht="165.75" x14ac:dyDescent="0.2">
      <c r="A1638" s="6">
        <v>45883</v>
      </c>
      <c r="B1638" s="11">
        <f>+MONTH(A1638)</f>
        <v>8</v>
      </c>
      <c r="C1638" s="11">
        <f>+WEEKNUM(A1638)</f>
        <v>33</v>
      </c>
      <c r="D1638" s="4" t="s">
        <v>580</v>
      </c>
      <c r="E1638" s="4" t="s">
        <v>581</v>
      </c>
      <c r="F1638" s="4">
        <v>573213988284</v>
      </c>
      <c r="G1638" s="4">
        <v>66717</v>
      </c>
      <c r="H1638" s="8" t="s">
        <v>13</v>
      </c>
      <c r="I1638" s="4" t="s">
        <v>582</v>
      </c>
      <c r="J1638" s="4" t="s">
        <v>23</v>
      </c>
      <c r="K1638" s="4"/>
      <c r="L1638" s="8" t="s">
        <v>12</v>
      </c>
      <c r="M1638" s="7"/>
      <c r="N1638" s="7"/>
      <c r="O1638" s="7"/>
    </row>
    <row r="1639" spans="1:15" ht="12.75" x14ac:dyDescent="0.2">
      <c r="A1639" s="6">
        <v>45883</v>
      </c>
      <c r="B1639" s="11">
        <f>+MONTH(A1639)</f>
        <v>8</v>
      </c>
      <c r="C1639" s="11">
        <f>+WEEKNUM(A1639)</f>
        <v>33</v>
      </c>
      <c r="D1639" s="4" t="s">
        <v>578</v>
      </c>
      <c r="E1639" s="4" t="s">
        <v>579</v>
      </c>
      <c r="F1639" s="4">
        <v>573146313489</v>
      </c>
      <c r="G1639" s="4">
        <v>66165</v>
      </c>
      <c r="H1639" s="8"/>
      <c r="I1639" s="4"/>
      <c r="J1639" s="4"/>
      <c r="K1639" s="4"/>
      <c r="L1639" s="8"/>
      <c r="M1639" s="7"/>
      <c r="N1639" s="7"/>
      <c r="O1639" s="7"/>
    </row>
    <row r="1640" spans="1:15" ht="165.75" x14ac:dyDescent="0.2">
      <c r="A1640" s="6">
        <v>45883</v>
      </c>
      <c r="B1640" s="11">
        <f>+MONTH(A1640)</f>
        <v>8</v>
      </c>
      <c r="C1640" s="11">
        <f>+WEEKNUM(A1640)</f>
        <v>33</v>
      </c>
      <c r="D1640" s="4" t="s">
        <v>89</v>
      </c>
      <c r="E1640" s="4" t="s">
        <v>575</v>
      </c>
      <c r="F1640" s="4">
        <v>573203165770</v>
      </c>
      <c r="G1640" s="4">
        <v>66319</v>
      </c>
      <c r="H1640" s="8" t="s">
        <v>13</v>
      </c>
      <c r="I1640" s="4" t="s">
        <v>576</v>
      </c>
      <c r="J1640" s="5" t="s">
        <v>577</v>
      </c>
      <c r="K1640" s="4"/>
      <c r="L1640" s="8" t="s">
        <v>12</v>
      </c>
      <c r="M1640" s="7"/>
      <c r="N1640" s="7"/>
      <c r="O1640" s="7"/>
    </row>
    <row r="1641" spans="1:15" ht="12.75" x14ac:dyDescent="0.2">
      <c r="A1641" s="6">
        <v>45883</v>
      </c>
      <c r="B1641" s="11">
        <f>+MONTH(A1641)</f>
        <v>8</v>
      </c>
      <c r="C1641" s="11">
        <f>+WEEKNUM(A1641)</f>
        <v>33</v>
      </c>
      <c r="D1641" s="4" t="s">
        <v>66</v>
      </c>
      <c r="E1641" s="4" t="s">
        <v>167</v>
      </c>
      <c r="F1641" s="4">
        <v>573186905295</v>
      </c>
      <c r="G1641" s="4">
        <v>66516</v>
      </c>
      <c r="H1641" s="8"/>
      <c r="I1641" s="4"/>
      <c r="J1641" s="4"/>
      <c r="K1641" s="4"/>
      <c r="L1641" s="8"/>
      <c r="M1641" s="7"/>
      <c r="N1641" s="7"/>
      <c r="O1641" s="7"/>
    </row>
    <row r="1642" spans="1:15" ht="369.75" x14ac:dyDescent="0.2">
      <c r="A1642" s="6">
        <v>45883</v>
      </c>
      <c r="B1642" s="11">
        <f>+MONTH(A1642)</f>
        <v>8</v>
      </c>
      <c r="C1642" s="11">
        <f>+WEEKNUM(A1642)</f>
        <v>33</v>
      </c>
      <c r="D1642" s="4" t="s">
        <v>152</v>
      </c>
      <c r="E1642" s="4" t="s">
        <v>314</v>
      </c>
      <c r="F1642" s="4">
        <v>573013755261</v>
      </c>
      <c r="G1642" s="4">
        <v>65714</v>
      </c>
      <c r="H1642" s="8" t="s">
        <v>13</v>
      </c>
      <c r="I1642" s="4" t="s">
        <v>574</v>
      </c>
      <c r="J1642" s="4" t="s">
        <v>14</v>
      </c>
      <c r="K1642" s="4"/>
      <c r="L1642" s="8" t="s">
        <v>12</v>
      </c>
      <c r="M1642" s="7"/>
      <c r="N1642" s="7"/>
      <c r="O1642" s="7"/>
    </row>
    <row r="1643" spans="1:15" ht="12.75" x14ac:dyDescent="0.2">
      <c r="A1643" s="6">
        <v>45883</v>
      </c>
      <c r="B1643" s="11">
        <f>+MONTH(A1643)</f>
        <v>8</v>
      </c>
      <c r="C1643" s="11">
        <f>+WEEKNUM(A1643)</f>
        <v>33</v>
      </c>
      <c r="D1643" s="4" t="s">
        <v>67</v>
      </c>
      <c r="E1643" s="4" t="s">
        <v>573</v>
      </c>
      <c r="F1643" s="4">
        <v>573153048081</v>
      </c>
      <c r="G1643" s="4">
        <v>66704</v>
      </c>
      <c r="H1643" s="8"/>
      <c r="I1643" s="4"/>
      <c r="J1643" s="4"/>
      <c r="K1643" s="4"/>
      <c r="L1643" s="8"/>
      <c r="M1643" s="7"/>
      <c r="N1643" s="7"/>
      <c r="O1643" s="7"/>
    </row>
    <row r="1644" spans="1:15" ht="12.75" x14ac:dyDescent="0.2">
      <c r="A1644" s="6">
        <v>45883</v>
      </c>
      <c r="B1644" s="11">
        <f>+MONTH(A1644)</f>
        <v>8</v>
      </c>
      <c r="C1644" s="11">
        <f>+WEEKNUM(A1644)</f>
        <v>33</v>
      </c>
      <c r="D1644" s="4" t="s">
        <v>427</v>
      </c>
      <c r="E1644" s="4" t="s">
        <v>428</v>
      </c>
      <c r="F1644" s="4">
        <v>573178218456</v>
      </c>
      <c r="G1644" s="4">
        <v>66017</v>
      </c>
      <c r="H1644" s="8"/>
      <c r="I1644" s="4"/>
      <c r="J1644" s="4"/>
      <c r="K1644" s="4"/>
      <c r="L1644" s="8"/>
      <c r="M1644" s="7"/>
      <c r="N1644" s="7"/>
      <c r="O1644" s="7"/>
    </row>
    <row r="1645" spans="1:15" ht="12.75" x14ac:dyDescent="0.2">
      <c r="A1645" s="6">
        <v>45883</v>
      </c>
      <c r="B1645" s="11">
        <f>+MONTH(A1645)</f>
        <v>8</v>
      </c>
      <c r="C1645" s="11">
        <f>+WEEKNUM(A1645)</f>
        <v>33</v>
      </c>
      <c r="D1645" s="4" t="s">
        <v>40</v>
      </c>
      <c r="E1645" s="4" t="s">
        <v>572</v>
      </c>
      <c r="F1645" s="4">
        <v>573222853805</v>
      </c>
      <c r="G1645" s="4">
        <v>63812</v>
      </c>
      <c r="H1645" s="8"/>
      <c r="I1645" s="4"/>
      <c r="J1645" s="4"/>
      <c r="K1645" s="4"/>
      <c r="L1645" s="8"/>
      <c r="M1645" s="7"/>
      <c r="N1645" s="7"/>
      <c r="O1645" s="7"/>
    </row>
    <row r="1646" spans="1:15" ht="12.75" x14ac:dyDescent="0.2">
      <c r="A1646" s="6">
        <v>45883</v>
      </c>
      <c r="B1646" s="11">
        <f>+MONTH(A1646)</f>
        <v>8</v>
      </c>
      <c r="C1646" s="11">
        <f>+WEEKNUM(A1646)</f>
        <v>33</v>
      </c>
      <c r="D1646" s="4" t="s">
        <v>571</v>
      </c>
      <c r="E1646" s="4" t="s">
        <v>70</v>
      </c>
      <c r="F1646" s="4">
        <v>573108154673</v>
      </c>
      <c r="G1646" s="4">
        <v>62719</v>
      </c>
      <c r="H1646" s="8"/>
      <c r="I1646" s="4"/>
      <c r="J1646" s="4"/>
      <c r="K1646" s="4"/>
      <c r="L1646" s="8"/>
      <c r="M1646" s="7"/>
      <c r="N1646" s="7"/>
      <c r="O1646" s="7"/>
    </row>
    <row r="1647" spans="1:15" ht="12.75" x14ac:dyDescent="0.2">
      <c r="A1647" s="6">
        <v>45883</v>
      </c>
      <c r="B1647" s="11">
        <f>+MONTH(A1647)</f>
        <v>8</v>
      </c>
      <c r="C1647" s="11">
        <f>+WEEKNUM(A1647)</f>
        <v>33</v>
      </c>
      <c r="D1647" s="4" t="s">
        <v>569</v>
      </c>
      <c r="E1647" s="4" t="s">
        <v>570</v>
      </c>
      <c r="F1647" s="4">
        <v>573204493496</v>
      </c>
      <c r="G1647" s="4">
        <v>66224</v>
      </c>
      <c r="H1647" s="8"/>
      <c r="I1647" s="4"/>
      <c r="J1647" s="4"/>
      <c r="K1647" s="4"/>
      <c r="L1647" s="8"/>
      <c r="M1647" s="7"/>
      <c r="N1647" s="7"/>
      <c r="O1647" s="7"/>
    </row>
    <row r="1648" spans="1:15" ht="25.5" x14ac:dyDescent="0.2">
      <c r="A1648" s="6">
        <v>45883</v>
      </c>
      <c r="B1648" s="11">
        <f>+MONTH(A1648)</f>
        <v>8</v>
      </c>
      <c r="C1648" s="11">
        <f>+WEEKNUM(A1648)</f>
        <v>33</v>
      </c>
      <c r="D1648" s="4" t="s">
        <v>567</v>
      </c>
      <c r="E1648" s="4" t="s">
        <v>568</v>
      </c>
      <c r="F1648" s="4">
        <v>573125263320</v>
      </c>
      <c r="G1648" s="4">
        <v>66538</v>
      </c>
      <c r="H1648" s="8"/>
      <c r="I1648" s="4"/>
      <c r="J1648" s="4"/>
      <c r="K1648" s="4"/>
      <c r="L1648" s="8"/>
      <c r="M1648" s="7"/>
      <c r="N1648" s="7"/>
      <c r="O1648" s="7"/>
    </row>
    <row r="1649" spans="1:15" ht="12.75" x14ac:dyDescent="0.2">
      <c r="A1649" s="6">
        <v>45882</v>
      </c>
      <c r="B1649" s="11">
        <f>+MONTH(A1649)</f>
        <v>8</v>
      </c>
      <c r="C1649" s="11">
        <f>+WEEKNUM(A1649)</f>
        <v>33</v>
      </c>
      <c r="D1649" s="4" t="s">
        <v>234</v>
      </c>
      <c r="E1649" s="4" t="s">
        <v>190</v>
      </c>
      <c r="F1649" s="4">
        <v>573102992153</v>
      </c>
      <c r="G1649" s="4">
        <v>66625</v>
      </c>
      <c r="H1649" s="8"/>
      <c r="I1649" s="4"/>
      <c r="J1649" s="4"/>
      <c r="K1649" s="4"/>
      <c r="L1649" s="8"/>
      <c r="M1649" s="7"/>
      <c r="N1649" s="7"/>
      <c r="O1649" s="7"/>
    </row>
    <row r="1650" spans="1:15" ht="12.75" x14ac:dyDescent="0.2">
      <c r="A1650" s="6">
        <v>45882</v>
      </c>
      <c r="B1650" s="11">
        <f>+MONTH(A1650)</f>
        <v>8</v>
      </c>
      <c r="C1650" s="11">
        <f>+WEEKNUM(A1650)</f>
        <v>33</v>
      </c>
      <c r="D1650" s="4" t="s">
        <v>565</v>
      </c>
      <c r="E1650" s="4" t="s">
        <v>566</v>
      </c>
      <c r="F1650" s="4">
        <v>573103162003</v>
      </c>
      <c r="G1650" s="4">
        <v>66683</v>
      </c>
      <c r="H1650" s="8"/>
      <c r="I1650" s="4"/>
      <c r="J1650" s="4"/>
      <c r="K1650" s="4"/>
      <c r="L1650" s="8"/>
      <c r="M1650" s="7"/>
      <c r="N1650" s="7"/>
      <c r="O1650" s="7"/>
    </row>
    <row r="1651" spans="1:15" ht="12.75" x14ac:dyDescent="0.2">
      <c r="A1651" s="6">
        <v>45882</v>
      </c>
      <c r="B1651" s="11">
        <f>+MONTH(A1651)</f>
        <v>8</v>
      </c>
      <c r="C1651" s="11">
        <f>+WEEKNUM(A1651)</f>
        <v>33</v>
      </c>
      <c r="D1651" s="4" t="s">
        <v>63</v>
      </c>
      <c r="E1651" s="4" t="s">
        <v>564</v>
      </c>
      <c r="F1651" s="4">
        <v>573102990301</v>
      </c>
      <c r="G1651" s="4">
        <v>66605</v>
      </c>
      <c r="H1651" s="8"/>
      <c r="I1651" s="4"/>
      <c r="J1651" s="4"/>
      <c r="K1651" s="4"/>
      <c r="L1651" s="8"/>
      <c r="M1651" s="7"/>
      <c r="N1651" s="7"/>
      <c r="O1651" s="7"/>
    </row>
    <row r="1652" spans="1:15" ht="12.75" x14ac:dyDescent="0.2">
      <c r="A1652" s="6">
        <v>45882</v>
      </c>
      <c r="B1652" s="11">
        <f>+MONTH(A1652)</f>
        <v>8</v>
      </c>
      <c r="C1652" s="11">
        <f>+WEEKNUM(A1652)</f>
        <v>33</v>
      </c>
      <c r="D1652" s="4" t="s">
        <v>562</v>
      </c>
      <c r="E1652" s="4" t="s">
        <v>563</v>
      </c>
      <c r="F1652" s="4">
        <v>573123770520</v>
      </c>
      <c r="G1652" s="4">
        <v>66577</v>
      </c>
      <c r="H1652" s="8"/>
      <c r="I1652" s="4"/>
      <c r="J1652" s="4"/>
      <c r="K1652" s="4"/>
      <c r="L1652" s="8"/>
      <c r="M1652" s="7"/>
      <c r="N1652" s="7"/>
      <c r="O1652" s="7"/>
    </row>
    <row r="1653" spans="1:15" ht="12.75" x14ac:dyDescent="0.2">
      <c r="A1653" s="6">
        <v>45882</v>
      </c>
      <c r="B1653" s="11">
        <f>+MONTH(A1653)</f>
        <v>8</v>
      </c>
      <c r="C1653" s="11">
        <f>+WEEKNUM(A1653)</f>
        <v>33</v>
      </c>
      <c r="D1653" s="4" t="s">
        <v>29</v>
      </c>
      <c r="E1653" s="4" t="s">
        <v>239</v>
      </c>
      <c r="F1653" s="4">
        <v>573235844707</v>
      </c>
      <c r="G1653" s="4">
        <v>65675</v>
      </c>
      <c r="H1653" s="8"/>
      <c r="I1653" s="4"/>
      <c r="J1653" s="4"/>
      <c r="K1653" s="4"/>
      <c r="L1653" s="8"/>
      <c r="M1653" s="7"/>
      <c r="N1653" s="7"/>
      <c r="O1653" s="7"/>
    </row>
    <row r="1654" spans="1:15" ht="12.75" x14ac:dyDescent="0.2">
      <c r="A1654" s="6">
        <v>45882</v>
      </c>
      <c r="B1654" s="11">
        <f>+MONTH(A1654)</f>
        <v>8</v>
      </c>
      <c r="C1654" s="11">
        <f>+WEEKNUM(A1654)</f>
        <v>33</v>
      </c>
      <c r="D1654" s="4" t="s">
        <v>560</v>
      </c>
      <c r="E1654" s="4" t="s">
        <v>561</v>
      </c>
      <c r="F1654" s="4">
        <v>573173642766</v>
      </c>
      <c r="G1654" s="4">
        <v>66531</v>
      </c>
      <c r="H1654" s="8"/>
      <c r="I1654" s="4"/>
      <c r="J1654" s="4"/>
      <c r="K1654" s="4"/>
      <c r="L1654" s="8"/>
      <c r="M1654" s="7"/>
      <c r="N1654" s="7"/>
      <c r="O1654" s="7"/>
    </row>
    <row r="1655" spans="1:15" ht="12.75" x14ac:dyDescent="0.2">
      <c r="A1655" s="6">
        <v>45882</v>
      </c>
      <c r="B1655" s="11">
        <f>+MONTH(A1655)</f>
        <v>8</v>
      </c>
      <c r="C1655" s="11">
        <f>+WEEKNUM(A1655)</f>
        <v>33</v>
      </c>
      <c r="D1655" s="4" t="s">
        <v>160</v>
      </c>
      <c r="E1655" s="4" t="s">
        <v>263</v>
      </c>
      <c r="F1655" s="4">
        <v>573204908249</v>
      </c>
      <c r="G1655" s="4">
        <v>66488</v>
      </c>
      <c r="H1655" s="8"/>
      <c r="I1655" s="4"/>
      <c r="J1655" s="4"/>
      <c r="K1655" s="4"/>
      <c r="L1655" s="8"/>
      <c r="M1655" s="7"/>
      <c r="N1655" s="7"/>
      <c r="O1655" s="7"/>
    </row>
    <row r="1656" spans="1:15" ht="12.75" x14ac:dyDescent="0.2">
      <c r="A1656" s="6">
        <v>45882</v>
      </c>
      <c r="B1656" s="11">
        <f>+MONTH(A1656)</f>
        <v>8</v>
      </c>
      <c r="C1656" s="11">
        <f>+WEEKNUM(A1656)</f>
        <v>33</v>
      </c>
      <c r="D1656" s="4" t="s">
        <v>125</v>
      </c>
      <c r="E1656" s="4" t="s">
        <v>559</v>
      </c>
      <c r="F1656" s="4">
        <v>573244223821</v>
      </c>
      <c r="G1656" s="4">
        <v>66642</v>
      </c>
      <c r="H1656" s="8"/>
      <c r="I1656" s="4"/>
      <c r="J1656" s="4"/>
      <c r="K1656" s="4"/>
      <c r="L1656" s="8"/>
      <c r="M1656" s="7"/>
      <c r="N1656" s="7"/>
      <c r="O1656" s="7"/>
    </row>
    <row r="1657" spans="1:15" ht="25.5" x14ac:dyDescent="0.2">
      <c r="A1657" s="6">
        <v>45882</v>
      </c>
      <c r="B1657" s="11">
        <f>+MONTH(A1657)</f>
        <v>8</v>
      </c>
      <c r="C1657" s="11">
        <f>+WEEKNUM(A1657)</f>
        <v>33</v>
      </c>
      <c r="D1657" s="4" t="s">
        <v>195</v>
      </c>
      <c r="E1657" s="4" t="s">
        <v>558</v>
      </c>
      <c r="F1657" s="4">
        <v>573156348329</v>
      </c>
      <c r="G1657" s="4">
        <v>66563</v>
      </c>
      <c r="H1657" s="8"/>
      <c r="I1657" s="4"/>
      <c r="J1657" s="4"/>
      <c r="K1657" s="4"/>
      <c r="L1657" s="8"/>
      <c r="M1657" s="7"/>
      <c r="N1657" s="7"/>
      <c r="O1657" s="7"/>
    </row>
    <row r="1658" spans="1:15" ht="12.75" x14ac:dyDescent="0.2">
      <c r="A1658" s="6">
        <v>45882</v>
      </c>
      <c r="B1658" s="11">
        <f>+MONTH(A1658)</f>
        <v>8</v>
      </c>
      <c r="C1658" s="11">
        <f>+WEEKNUM(A1658)</f>
        <v>33</v>
      </c>
      <c r="D1658" s="4" t="s">
        <v>236</v>
      </c>
      <c r="E1658" s="4" t="s">
        <v>224</v>
      </c>
      <c r="F1658" s="4">
        <v>573108128412</v>
      </c>
      <c r="G1658" s="4">
        <v>64264</v>
      </c>
      <c r="H1658" s="8"/>
      <c r="I1658" s="4"/>
      <c r="J1658" s="4"/>
      <c r="K1658" s="4"/>
      <c r="L1658" s="8"/>
      <c r="M1658" s="7"/>
      <c r="N1658" s="7"/>
      <c r="O1658" s="7"/>
    </row>
    <row r="1659" spans="1:15" ht="12.75" x14ac:dyDescent="0.2">
      <c r="A1659" s="6">
        <v>45882</v>
      </c>
      <c r="B1659" s="11">
        <f>+MONTH(A1659)</f>
        <v>8</v>
      </c>
      <c r="C1659" s="11">
        <f>+WEEKNUM(A1659)</f>
        <v>33</v>
      </c>
      <c r="D1659" s="4" t="s">
        <v>231</v>
      </c>
      <c r="E1659" s="4" t="s">
        <v>557</v>
      </c>
      <c r="F1659" s="4">
        <v>573043808465</v>
      </c>
      <c r="G1659" s="4">
        <v>66514</v>
      </c>
      <c r="H1659" s="8"/>
      <c r="I1659" s="4"/>
      <c r="J1659" s="4"/>
      <c r="K1659" s="4"/>
      <c r="L1659" s="8"/>
      <c r="M1659" s="7"/>
      <c r="N1659" s="7"/>
      <c r="O1659" s="7"/>
    </row>
    <row r="1660" spans="1:15" ht="38.25" x14ac:dyDescent="0.2">
      <c r="A1660" s="6">
        <v>45882</v>
      </c>
      <c r="B1660" s="11">
        <f>+MONTH(A1660)</f>
        <v>8</v>
      </c>
      <c r="C1660" s="11">
        <f>+WEEKNUM(A1660)</f>
        <v>33</v>
      </c>
      <c r="D1660" s="4" t="s">
        <v>130</v>
      </c>
      <c r="E1660" s="4" t="s">
        <v>283</v>
      </c>
      <c r="F1660" s="4">
        <v>573143376516</v>
      </c>
      <c r="G1660" s="4">
        <v>66515</v>
      </c>
      <c r="H1660" s="8" t="s">
        <v>13</v>
      </c>
      <c r="I1660" s="4" t="s">
        <v>556</v>
      </c>
      <c r="J1660" s="4" t="s">
        <v>23</v>
      </c>
      <c r="K1660" s="4"/>
      <c r="L1660" s="8" t="s">
        <v>12</v>
      </c>
      <c r="M1660" s="7"/>
      <c r="N1660" s="7"/>
      <c r="O1660" s="7"/>
    </row>
    <row r="1661" spans="1:15" ht="12.75" x14ac:dyDescent="0.2">
      <c r="A1661" s="6">
        <v>45882</v>
      </c>
      <c r="B1661" s="11">
        <f>+MONTH(A1661)</f>
        <v>8</v>
      </c>
      <c r="C1661" s="11">
        <f>+WEEKNUM(A1661)</f>
        <v>33</v>
      </c>
      <c r="D1661" s="4" t="s">
        <v>551</v>
      </c>
      <c r="E1661" s="4" t="s">
        <v>552</v>
      </c>
      <c r="F1661" s="4">
        <v>573183382101</v>
      </c>
      <c r="G1661" s="4">
        <v>64668</v>
      </c>
      <c r="H1661" s="8"/>
      <c r="I1661" s="4"/>
      <c r="J1661" s="4"/>
      <c r="K1661" s="4"/>
      <c r="L1661" s="8"/>
      <c r="M1661" s="7"/>
      <c r="N1661" s="7"/>
      <c r="O1661" s="7"/>
    </row>
    <row r="1662" spans="1:15" ht="25.5" x14ac:dyDescent="0.2">
      <c r="A1662" s="6">
        <v>45882</v>
      </c>
      <c r="B1662" s="11">
        <f>+MONTH(A1662)</f>
        <v>8</v>
      </c>
      <c r="C1662" s="11">
        <f>+WEEKNUM(A1662)</f>
        <v>33</v>
      </c>
      <c r="D1662" s="4" t="s">
        <v>549</v>
      </c>
      <c r="E1662" s="4" t="s">
        <v>550</v>
      </c>
      <c r="F1662" s="4">
        <v>573018601491</v>
      </c>
      <c r="G1662" s="4">
        <v>66507</v>
      </c>
      <c r="H1662" s="8"/>
      <c r="I1662" s="4"/>
      <c r="J1662" s="4"/>
      <c r="K1662" s="4"/>
      <c r="L1662" s="8"/>
      <c r="M1662" s="7"/>
      <c r="N1662" s="7"/>
      <c r="O1662" s="7"/>
    </row>
    <row r="1663" spans="1:15" ht="38.25" x14ac:dyDescent="0.2">
      <c r="A1663" s="6">
        <v>45882</v>
      </c>
      <c r="B1663" s="11">
        <f>+MONTH(A1663)</f>
        <v>8</v>
      </c>
      <c r="C1663" s="11">
        <f>+WEEKNUM(A1663)</f>
        <v>33</v>
      </c>
      <c r="D1663" s="4" t="s">
        <v>553</v>
      </c>
      <c r="E1663" s="4" t="s">
        <v>554</v>
      </c>
      <c r="F1663" s="4">
        <v>573024611512</v>
      </c>
      <c r="G1663" s="4">
        <v>65031</v>
      </c>
      <c r="H1663" s="8" t="s">
        <v>13</v>
      </c>
      <c r="I1663" s="4" t="s">
        <v>174</v>
      </c>
      <c r="J1663" s="5" t="s">
        <v>555</v>
      </c>
      <c r="K1663" s="4"/>
      <c r="L1663" s="8" t="s">
        <v>12</v>
      </c>
      <c r="M1663" s="7"/>
      <c r="N1663" s="7"/>
      <c r="O1663" s="7"/>
    </row>
    <row r="1664" spans="1:15" ht="12.75" x14ac:dyDescent="0.2">
      <c r="A1664" s="6">
        <v>45881</v>
      </c>
      <c r="B1664" s="11">
        <f>+MONTH(A1664)</f>
        <v>8</v>
      </c>
      <c r="C1664" s="11">
        <f>+WEEKNUM(A1664)</f>
        <v>33</v>
      </c>
      <c r="D1664" s="4" t="s">
        <v>24</v>
      </c>
      <c r="E1664" s="4" t="s">
        <v>548</v>
      </c>
      <c r="F1664" s="4">
        <v>573126222283</v>
      </c>
      <c r="G1664" s="4">
        <v>65626</v>
      </c>
      <c r="H1664" s="8"/>
      <c r="I1664" s="4"/>
      <c r="J1664" s="4"/>
      <c r="K1664" s="4"/>
      <c r="L1664" s="8"/>
      <c r="M1664" s="7"/>
      <c r="N1664" s="7"/>
      <c r="O1664" s="7"/>
    </row>
    <row r="1665" spans="1:15" ht="12.75" x14ac:dyDescent="0.2">
      <c r="A1665" s="6">
        <v>45881</v>
      </c>
      <c r="B1665" s="11">
        <f>+MONTH(A1665)</f>
        <v>8</v>
      </c>
      <c r="C1665" s="11">
        <f>+WEEKNUM(A1665)</f>
        <v>33</v>
      </c>
      <c r="D1665" s="4" t="s">
        <v>546</v>
      </c>
      <c r="E1665" s="4" t="s">
        <v>547</v>
      </c>
      <c r="F1665" s="4">
        <v>573122162145</v>
      </c>
      <c r="G1665" s="4">
        <v>65095</v>
      </c>
      <c r="H1665" s="8"/>
      <c r="I1665" s="4"/>
      <c r="J1665" s="4"/>
      <c r="K1665" s="4"/>
      <c r="L1665" s="8"/>
      <c r="M1665" s="7"/>
      <c r="N1665" s="7"/>
      <c r="O1665" s="7"/>
    </row>
    <row r="1666" spans="1:15" ht="12.75" x14ac:dyDescent="0.2">
      <c r="A1666" s="6">
        <v>45881</v>
      </c>
      <c r="B1666" s="11">
        <f>+MONTH(A1666)</f>
        <v>8</v>
      </c>
      <c r="C1666" s="11">
        <f>+WEEKNUM(A1666)</f>
        <v>33</v>
      </c>
      <c r="D1666" s="4" t="s">
        <v>544</v>
      </c>
      <c r="E1666" s="4" t="s">
        <v>545</v>
      </c>
      <c r="F1666" s="4">
        <v>573216662117</v>
      </c>
      <c r="G1666" s="4">
        <v>65016</v>
      </c>
      <c r="H1666" s="8"/>
      <c r="I1666" s="4"/>
      <c r="J1666" s="4"/>
      <c r="K1666" s="4"/>
      <c r="L1666" s="8"/>
      <c r="M1666" s="7"/>
      <c r="N1666" s="7"/>
      <c r="O1666" s="7"/>
    </row>
    <row r="1667" spans="1:15" ht="114.75" x14ac:dyDescent="0.2">
      <c r="A1667" s="6">
        <v>45881</v>
      </c>
      <c r="B1667" s="11">
        <f>+MONTH(A1667)</f>
        <v>8</v>
      </c>
      <c r="C1667" s="11">
        <f>+WEEKNUM(A1667)</f>
        <v>33</v>
      </c>
      <c r="D1667" s="4" t="s">
        <v>541</v>
      </c>
      <c r="E1667" s="4" t="s">
        <v>542</v>
      </c>
      <c r="F1667" s="4">
        <v>573238368622</v>
      </c>
      <c r="G1667" s="4">
        <v>66375</v>
      </c>
      <c r="H1667" s="8" t="s">
        <v>13</v>
      </c>
      <c r="I1667" s="4" t="s">
        <v>3364</v>
      </c>
      <c r="J1667" s="5" t="s">
        <v>543</v>
      </c>
      <c r="K1667" s="4" t="s">
        <v>82</v>
      </c>
      <c r="L1667" s="8" t="s">
        <v>12</v>
      </c>
      <c r="M1667" s="7">
        <v>45882.33488425926</v>
      </c>
      <c r="N1667" s="7"/>
      <c r="O1667" s="7"/>
    </row>
    <row r="1668" spans="1:15" ht="12.75" x14ac:dyDescent="0.2">
      <c r="A1668" s="6">
        <v>45881</v>
      </c>
      <c r="B1668" s="11">
        <f>+MONTH(A1668)</f>
        <v>8</v>
      </c>
      <c r="C1668" s="11">
        <f>+WEEKNUM(A1668)</f>
        <v>33</v>
      </c>
      <c r="D1668" s="4" t="s">
        <v>76</v>
      </c>
      <c r="E1668" s="4" t="s">
        <v>316</v>
      </c>
      <c r="F1668" s="4">
        <v>573145359233</v>
      </c>
      <c r="G1668" s="4">
        <v>64590</v>
      </c>
      <c r="H1668" s="8"/>
      <c r="I1668" s="4"/>
      <c r="J1668" s="4"/>
      <c r="K1668" s="4"/>
      <c r="L1668" s="8"/>
      <c r="M1668" s="7"/>
      <c r="N1668" s="7"/>
      <c r="O1668" s="7"/>
    </row>
    <row r="1669" spans="1:15" ht="25.5" x14ac:dyDescent="0.2">
      <c r="A1669" s="6">
        <v>45881</v>
      </c>
      <c r="B1669" s="11">
        <f>+MONTH(A1669)</f>
        <v>8</v>
      </c>
      <c r="C1669" s="11">
        <f>+WEEKNUM(A1669)</f>
        <v>33</v>
      </c>
      <c r="D1669" s="4" t="s">
        <v>270</v>
      </c>
      <c r="E1669" s="4" t="s">
        <v>540</v>
      </c>
      <c r="F1669" s="4">
        <v>573184071227</v>
      </c>
      <c r="G1669" s="4">
        <v>66301</v>
      </c>
      <c r="H1669" s="8"/>
      <c r="I1669" s="4"/>
      <c r="J1669" s="4"/>
      <c r="K1669" s="4"/>
      <c r="L1669" s="8"/>
      <c r="M1669" s="7"/>
      <c r="N1669" s="7"/>
      <c r="O1669" s="7"/>
    </row>
    <row r="1670" spans="1:15" ht="25.5" x14ac:dyDescent="0.2">
      <c r="A1670" s="6">
        <v>45881</v>
      </c>
      <c r="B1670" s="11">
        <f>+MONTH(A1670)</f>
        <v>8</v>
      </c>
      <c r="C1670" s="11">
        <f>+WEEKNUM(A1670)</f>
        <v>33</v>
      </c>
      <c r="D1670" s="4" t="s">
        <v>538</v>
      </c>
      <c r="E1670" s="4" t="s">
        <v>539</v>
      </c>
      <c r="F1670" s="4">
        <v>573054815291</v>
      </c>
      <c r="G1670" s="4">
        <v>66491</v>
      </c>
      <c r="H1670" s="8"/>
      <c r="I1670" s="4"/>
      <c r="J1670" s="4"/>
      <c r="K1670" s="4"/>
      <c r="L1670" s="8"/>
      <c r="M1670" s="7"/>
      <c r="N1670" s="7"/>
      <c r="O1670" s="7"/>
    </row>
    <row r="1671" spans="1:15" ht="12.75" x14ac:dyDescent="0.2">
      <c r="A1671" s="6">
        <v>45881</v>
      </c>
      <c r="B1671" s="11">
        <f>+MONTH(A1671)</f>
        <v>8</v>
      </c>
      <c r="C1671" s="11">
        <f>+WEEKNUM(A1671)</f>
        <v>33</v>
      </c>
      <c r="D1671" s="4" t="s">
        <v>536</v>
      </c>
      <c r="E1671" s="4" t="s">
        <v>537</v>
      </c>
      <c r="F1671" s="4">
        <v>573134877703</v>
      </c>
      <c r="G1671" s="4">
        <v>66557</v>
      </c>
      <c r="H1671" s="8"/>
      <c r="I1671" s="4"/>
      <c r="J1671" s="4"/>
      <c r="K1671" s="4"/>
      <c r="L1671" s="8"/>
      <c r="M1671" s="7"/>
      <c r="N1671" s="7"/>
      <c r="O1671" s="7"/>
    </row>
    <row r="1672" spans="1:15" ht="12.75" x14ac:dyDescent="0.2">
      <c r="A1672" s="6">
        <v>45881</v>
      </c>
      <c r="B1672" s="11">
        <f>+MONTH(A1672)</f>
        <v>8</v>
      </c>
      <c r="C1672" s="11">
        <f>+WEEKNUM(A1672)</f>
        <v>33</v>
      </c>
      <c r="D1672" s="4" t="s">
        <v>132</v>
      </c>
      <c r="E1672" s="4" t="s">
        <v>535</v>
      </c>
      <c r="F1672" s="4">
        <v>573115706290</v>
      </c>
      <c r="G1672" s="4">
        <v>66439</v>
      </c>
      <c r="H1672" s="8" t="s">
        <v>13</v>
      </c>
      <c r="I1672" s="4"/>
      <c r="J1672" s="4"/>
      <c r="K1672" s="4"/>
      <c r="L1672" s="8" t="s">
        <v>12</v>
      </c>
      <c r="M1672" s="7"/>
      <c r="N1672" s="7"/>
      <c r="O1672" s="7"/>
    </row>
    <row r="1673" spans="1:15" ht="178.5" x14ac:dyDescent="0.2">
      <c r="A1673" s="6">
        <v>45881</v>
      </c>
      <c r="B1673" s="11">
        <f>+MONTH(A1673)</f>
        <v>8</v>
      </c>
      <c r="C1673" s="11">
        <f>+WEEKNUM(A1673)</f>
        <v>33</v>
      </c>
      <c r="D1673" s="4" t="s">
        <v>59</v>
      </c>
      <c r="E1673" s="4" t="s">
        <v>227</v>
      </c>
      <c r="F1673" s="4">
        <v>573156169355</v>
      </c>
      <c r="G1673" s="4">
        <v>66434</v>
      </c>
      <c r="H1673" s="8" t="s">
        <v>13</v>
      </c>
      <c r="I1673" s="4" t="s">
        <v>534</v>
      </c>
      <c r="J1673" s="4"/>
      <c r="K1673" s="4"/>
      <c r="L1673" s="8" t="s">
        <v>22</v>
      </c>
      <c r="M1673" s="7"/>
      <c r="N1673" s="7"/>
      <c r="O1673" s="7"/>
    </row>
    <row r="1674" spans="1:15" ht="12.75" x14ac:dyDescent="0.2">
      <c r="A1674" s="6">
        <v>45881</v>
      </c>
      <c r="B1674" s="11">
        <f>+MONTH(A1674)</f>
        <v>8</v>
      </c>
      <c r="C1674" s="11">
        <f>+WEEKNUM(A1674)</f>
        <v>33</v>
      </c>
      <c r="D1674" s="4" t="s">
        <v>532</v>
      </c>
      <c r="E1674" s="4" t="s">
        <v>533</v>
      </c>
      <c r="F1674" s="4">
        <v>573209622174</v>
      </c>
      <c r="G1674" s="4">
        <v>66530</v>
      </c>
      <c r="H1674" s="8"/>
      <c r="I1674" s="4"/>
      <c r="J1674" s="4"/>
      <c r="K1674" s="4"/>
      <c r="L1674" s="8"/>
      <c r="M1674" s="7"/>
      <c r="N1674" s="7"/>
      <c r="O1674" s="7"/>
    </row>
    <row r="1675" spans="1:15" ht="38.25" x14ac:dyDescent="0.2">
      <c r="A1675" s="6">
        <v>45881</v>
      </c>
      <c r="B1675" s="11">
        <f>+MONTH(A1675)</f>
        <v>8</v>
      </c>
      <c r="C1675" s="11">
        <f>+WEEKNUM(A1675)</f>
        <v>33</v>
      </c>
      <c r="D1675" s="4" t="s">
        <v>531</v>
      </c>
      <c r="E1675" s="4" t="s">
        <v>531</v>
      </c>
      <c r="F1675" s="4">
        <v>573125065709</v>
      </c>
      <c r="G1675" s="4">
        <v>66425</v>
      </c>
      <c r="H1675" s="8"/>
      <c r="I1675" s="4"/>
      <c r="J1675" s="4"/>
      <c r="K1675" s="4"/>
      <c r="L1675" s="8"/>
      <c r="M1675" s="7"/>
      <c r="N1675" s="7"/>
      <c r="O1675" s="7"/>
    </row>
    <row r="1676" spans="1:15" ht="51" x14ac:dyDescent="0.2">
      <c r="A1676" s="6">
        <v>45881</v>
      </c>
      <c r="B1676" s="11">
        <f>+MONTH(A1676)</f>
        <v>8</v>
      </c>
      <c r="C1676" s="11">
        <f>+WEEKNUM(A1676)</f>
        <v>33</v>
      </c>
      <c r="D1676" s="4" t="s">
        <v>528</v>
      </c>
      <c r="E1676" s="4" t="s">
        <v>529</v>
      </c>
      <c r="F1676" s="4">
        <v>573112180681</v>
      </c>
      <c r="G1676" s="4">
        <v>66548</v>
      </c>
      <c r="H1676" s="8" t="s">
        <v>13</v>
      </c>
      <c r="I1676" s="4" t="s">
        <v>530</v>
      </c>
      <c r="J1676" s="4" t="s">
        <v>14</v>
      </c>
      <c r="K1676" s="4"/>
      <c r="L1676" s="8" t="s">
        <v>12</v>
      </c>
      <c r="M1676" s="7"/>
      <c r="N1676" s="7"/>
      <c r="O1676" s="7"/>
    </row>
    <row r="1677" spans="1:15" ht="12.75" x14ac:dyDescent="0.2">
      <c r="A1677" s="6">
        <v>45881</v>
      </c>
      <c r="B1677" s="11">
        <f>+MONTH(A1677)</f>
        <v>8</v>
      </c>
      <c r="C1677" s="11">
        <f>+WEEKNUM(A1677)</f>
        <v>33</v>
      </c>
      <c r="D1677" s="4" t="s">
        <v>526</v>
      </c>
      <c r="E1677" s="4" t="s">
        <v>527</v>
      </c>
      <c r="F1677" s="4">
        <v>573014039373</v>
      </c>
      <c r="G1677" s="4">
        <v>66192</v>
      </c>
      <c r="H1677" s="8"/>
      <c r="I1677" s="4"/>
      <c r="J1677" s="4"/>
      <c r="K1677" s="4"/>
      <c r="L1677" s="8"/>
      <c r="M1677" s="7"/>
      <c r="N1677" s="7"/>
      <c r="O1677" s="7"/>
    </row>
    <row r="1678" spans="1:15" ht="51" x14ac:dyDescent="0.2">
      <c r="A1678" s="6">
        <v>45881</v>
      </c>
      <c r="B1678" s="11">
        <f>+MONTH(A1678)</f>
        <v>8</v>
      </c>
      <c r="C1678" s="11">
        <f>+WEEKNUM(A1678)</f>
        <v>33</v>
      </c>
      <c r="D1678" s="4" t="s">
        <v>67</v>
      </c>
      <c r="E1678" s="4" t="s">
        <v>173</v>
      </c>
      <c r="F1678" s="4">
        <v>573005542059</v>
      </c>
      <c r="G1678" s="4">
        <v>66141</v>
      </c>
      <c r="H1678" s="8" t="s">
        <v>13</v>
      </c>
      <c r="I1678" s="4" t="s">
        <v>525</v>
      </c>
      <c r="J1678" s="4" t="s">
        <v>23</v>
      </c>
      <c r="K1678" s="4"/>
      <c r="L1678" s="8" t="s">
        <v>12</v>
      </c>
      <c r="M1678" s="7"/>
      <c r="N1678" s="7"/>
      <c r="O1678" s="7"/>
    </row>
    <row r="1679" spans="1:15" ht="12.75" x14ac:dyDescent="0.2">
      <c r="A1679" s="6">
        <v>45881</v>
      </c>
      <c r="B1679" s="11">
        <f>+MONTH(A1679)</f>
        <v>8</v>
      </c>
      <c r="C1679" s="11">
        <f>+WEEKNUM(A1679)</f>
        <v>33</v>
      </c>
      <c r="D1679" s="4" t="s">
        <v>81</v>
      </c>
      <c r="E1679" s="4" t="s">
        <v>181</v>
      </c>
      <c r="F1679" s="4">
        <v>573125654921</v>
      </c>
      <c r="G1679" s="4">
        <v>65854</v>
      </c>
      <c r="H1679" s="8"/>
      <c r="I1679" s="4"/>
      <c r="J1679" s="4"/>
      <c r="K1679" s="4"/>
      <c r="L1679" s="8"/>
      <c r="M1679" s="7"/>
      <c r="N1679" s="7"/>
      <c r="O1679" s="7"/>
    </row>
    <row r="1680" spans="1:15" ht="25.5" x14ac:dyDescent="0.2">
      <c r="A1680" s="6">
        <v>45881</v>
      </c>
      <c r="B1680" s="11">
        <f>+MONTH(A1680)</f>
        <v>8</v>
      </c>
      <c r="C1680" s="11">
        <f>+WEEKNUM(A1680)</f>
        <v>33</v>
      </c>
      <c r="D1680" s="4" t="s">
        <v>45</v>
      </c>
      <c r="E1680" s="4" t="s">
        <v>208</v>
      </c>
      <c r="F1680" s="4">
        <v>573113109634</v>
      </c>
      <c r="G1680" s="4">
        <v>65802</v>
      </c>
      <c r="H1680" s="8"/>
      <c r="I1680" s="4"/>
      <c r="J1680" s="4"/>
      <c r="K1680" s="4"/>
      <c r="L1680" s="8"/>
      <c r="M1680" s="7"/>
      <c r="N1680" s="7"/>
      <c r="O1680" s="7"/>
    </row>
    <row r="1681" spans="1:15" ht="12.75" x14ac:dyDescent="0.2">
      <c r="A1681" s="6">
        <v>45881</v>
      </c>
      <c r="B1681" s="11">
        <f>+MONTH(A1681)</f>
        <v>8</v>
      </c>
      <c r="C1681" s="11">
        <f>+WEEKNUM(A1681)</f>
        <v>33</v>
      </c>
      <c r="D1681" s="4" t="s">
        <v>523</v>
      </c>
      <c r="E1681" s="4" t="s">
        <v>524</v>
      </c>
      <c r="F1681" s="4">
        <v>573195678992</v>
      </c>
      <c r="G1681" s="4">
        <v>66450</v>
      </c>
      <c r="H1681" s="8"/>
      <c r="I1681" s="4"/>
      <c r="J1681" s="4"/>
      <c r="K1681" s="4"/>
      <c r="L1681" s="8"/>
      <c r="M1681" s="7"/>
      <c r="N1681" s="7"/>
      <c r="O1681" s="7"/>
    </row>
    <row r="1682" spans="1:15" ht="114.75" x14ac:dyDescent="0.2">
      <c r="A1682" s="6">
        <v>45881</v>
      </c>
      <c r="B1682" s="11">
        <f>+MONTH(A1682)</f>
        <v>8</v>
      </c>
      <c r="C1682" s="11">
        <f>+WEEKNUM(A1682)</f>
        <v>33</v>
      </c>
      <c r="D1682" s="4" t="s">
        <v>45</v>
      </c>
      <c r="E1682" s="4" t="s">
        <v>521</v>
      </c>
      <c r="F1682" s="4">
        <v>573165208998</v>
      </c>
      <c r="G1682" s="4">
        <v>66186</v>
      </c>
      <c r="H1682" s="8" t="s">
        <v>13</v>
      </c>
      <c r="I1682" s="4" t="s">
        <v>522</v>
      </c>
      <c r="J1682" s="4"/>
      <c r="K1682" s="4"/>
      <c r="L1682" s="8" t="s">
        <v>22</v>
      </c>
      <c r="M1682" s="7"/>
      <c r="N1682" s="7"/>
      <c r="O1682" s="7"/>
    </row>
    <row r="1683" spans="1:15" ht="12.75" x14ac:dyDescent="0.2">
      <c r="A1683" s="6">
        <v>45881</v>
      </c>
      <c r="B1683" s="11">
        <f>+MONTH(A1683)</f>
        <v>8</v>
      </c>
      <c r="C1683" s="11">
        <f>+WEEKNUM(A1683)</f>
        <v>33</v>
      </c>
      <c r="D1683" s="4" t="s">
        <v>25</v>
      </c>
      <c r="E1683" s="4" t="s">
        <v>520</v>
      </c>
      <c r="F1683" s="4">
        <v>573143950045</v>
      </c>
      <c r="G1683" s="4">
        <v>65317</v>
      </c>
      <c r="H1683" s="8"/>
      <c r="I1683" s="4"/>
      <c r="J1683" s="4"/>
      <c r="K1683" s="4"/>
      <c r="L1683" s="8"/>
      <c r="M1683" s="7"/>
      <c r="N1683" s="7"/>
      <c r="O1683" s="7"/>
    </row>
    <row r="1684" spans="1:15" ht="140.25" x14ac:dyDescent="0.2">
      <c r="A1684" s="6">
        <v>45881</v>
      </c>
      <c r="B1684" s="11">
        <f>+MONTH(A1684)</f>
        <v>8</v>
      </c>
      <c r="C1684" s="11">
        <f>+WEEKNUM(A1684)</f>
        <v>33</v>
      </c>
      <c r="D1684" s="4" t="s">
        <v>518</v>
      </c>
      <c r="E1684" s="4" t="s">
        <v>167</v>
      </c>
      <c r="F1684" s="4">
        <v>573175444742</v>
      </c>
      <c r="G1684" s="4">
        <v>66072</v>
      </c>
      <c r="H1684" s="8" t="s">
        <v>44</v>
      </c>
      <c r="I1684" s="4" t="s">
        <v>519</v>
      </c>
      <c r="J1684" s="4"/>
      <c r="K1684" s="4"/>
      <c r="L1684" s="8" t="s">
        <v>71</v>
      </c>
      <c r="M1684" s="7"/>
      <c r="N1684" s="7"/>
      <c r="O1684" s="7"/>
    </row>
    <row r="1685" spans="1:15" ht="12.75" x14ac:dyDescent="0.2">
      <c r="A1685" s="6">
        <v>45881</v>
      </c>
      <c r="B1685" s="11">
        <f>+MONTH(A1685)</f>
        <v>8</v>
      </c>
      <c r="C1685" s="11">
        <f>+WEEKNUM(A1685)</f>
        <v>33</v>
      </c>
      <c r="D1685" s="4" t="s">
        <v>516</v>
      </c>
      <c r="E1685" s="4" t="s">
        <v>517</v>
      </c>
      <c r="F1685" s="4">
        <v>573108518107</v>
      </c>
      <c r="G1685" s="4">
        <v>66366</v>
      </c>
      <c r="H1685" s="8"/>
      <c r="I1685" s="4"/>
      <c r="J1685" s="4"/>
      <c r="K1685" s="4"/>
      <c r="L1685" s="8"/>
      <c r="M1685" s="7"/>
      <c r="N1685" s="7"/>
      <c r="O1685" s="7"/>
    </row>
    <row r="1686" spans="1:15" ht="382.5" x14ac:dyDescent="0.2">
      <c r="A1686" s="6">
        <v>45881</v>
      </c>
      <c r="B1686" s="11">
        <f>+MONTH(A1686)</f>
        <v>8</v>
      </c>
      <c r="C1686" s="11">
        <f>+WEEKNUM(A1686)</f>
        <v>33</v>
      </c>
      <c r="D1686" s="4" t="s">
        <v>24</v>
      </c>
      <c r="E1686" s="4" t="s">
        <v>515</v>
      </c>
      <c r="F1686" s="4">
        <v>573012284204</v>
      </c>
      <c r="G1686" s="4">
        <v>66453</v>
      </c>
      <c r="H1686" s="8" t="s">
        <v>13</v>
      </c>
      <c r="I1686" s="4" t="s">
        <v>3340</v>
      </c>
      <c r="J1686" s="4" t="s">
        <v>14</v>
      </c>
      <c r="K1686" s="4"/>
      <c r="L1686" s="8" t="s">
        <v>12</v>
      </c>
      <c r="M1686" s="7"/>
      <c r="N1686" s="7"/>
      <c r="O1686" s="7"/>
    </row>
    <row r="1687" spans="1:15" ht="25.5" x14ac:dyDescent="0.2">
      <c r="A1687" s="6">
        <v>45880</v>
      </c>
      <c r="B1687" s="11">
        <f>+MONTH(A1687)</f>
        <v>8</v>
      </c>
      <c r="C1687" s="11">
        <f>+WEEKNUM(A1687)</f>
        <v>33</v>
      </c>
      <c r="D1687" s="4" t="s">
        <v>513</v>
      </c>
      <c r="E1687" s="4" t="s">
        <v>514</v>
      </c>
      <c r="F1687" s="4">
        <v>573057777990</v>
      </c>
      <c r="G1687" s="4">
        <v>66392</v>
      </c>
      <c r="H1687" s="8"/>
      <c r="I1687" s="4"/>
      <c r="J1687" s="4"/>
      <c r="K1687" s="4"/>
      <c r="L1687" s="8"/>
      <c r="M1687" s="7"/>
      <c r="N1687" s="7"/>
      <c r="O1687" s="7"/>
    </row>
    <row r="1688" spans="1:15" ht="12.75" x14ac:dyDescent="0.2">
      <c r="A1688" s="6">
        <v>45880</v>
      </c>
      <c r="B1688" s="11">
        <f>+MONTH(A1688)</f>
        <v>8</v>
      </c>
      <c r="C1688" s="11">
        <f>+WEEKNUM(A1688)</f>
        <v>33</v>
      </c>
      <c r="D1688" s="4" t="s">
        <v>101</v>
      </c>
      <c r="E1688" s="4" t="s">
        <v>512</v>
      </c>
      <c r="F1688" s="4">
        <v>573013765550</v>
      </c>
      <c r="G1688" s="4">
        <v>66386</v>
      </c>
      <c r="H1688" s="8"/>
      <c r="I1688" s="4"/>
      <c r="J1688" s="4"/>
      <c r="K1688" s="4"/>
      <c r="L1688" s="8"/>
      <c r="M1688" s="7"/>
      <c r="N1688" s="7"/>
      <c r="O1688" s="7"/>
    </row>
    <row r="1689" spans="1:15" ht="12.75" x14ac:dyDescent="0.2">
      <c r="A1689" s="6">
        <v>45880</v>
      </c>
      <c r="B1689" s="11">
        <f>+MONTH(A1689)</f>
        <v>8</v>
      </c>
      <c r="C1689" s="11">
        <f>+WEEKNUM(A1689)</f>
        <v>33</v>
      </c>
      <c r="D1689" s="4" t="s">
        <v>510</v>
      </c>
      <c r="E1689" s="4" t="s">
        <v>511</v>
      </c>
      <c r="F1689" s="4">
        <v>573118720986</v>
      </c>
      <c r="G1689" s="4">
        <v>66483</v>
      </c>
      <c r="H1689" s="8"/>
      <c r="I1689" s="4"/>
      <c r="J1689" s="4"/>
      <c r="K1689" s="4"/>
      <c r="L1689" s="8"/>
      <c r="M1689" s="7"/>
      <c r="N1689" s="7"/>
      <c r="O1689" s="7"/>
    </row>
    <row r="1690" spans="1:15" ht="204" x14ac:dyDescent="0.2">
      <c r="A1690" s="6">
        <v>45880</v>
      </c>
      <c r="B1690" s="11">
        <f>+MONTH(A1690)</f>
        <v>8</v>
      </c>
      <c r="C1690" s="11">
        <f>+WEEKNUM(A1690)</f>
        <v>33</v>
      </c>
      <c r="D1690" s="4" t="s">
        <v>508</v>
      </c>
      <c r="E1690" s="4" t="s">
        <v>509</v>
      </c>
      <c r="F1690" s="4">
        <v>573152267319</v>
      </c>
      <c r="G1690" s="4">
        <v>66339</v>
      </c>
      <c r="H1690" s="8" t="s">
        <v>13</v>
      </c>
      <c r="I1690" s="4" t="s">
        <v>3365</v>
      </c>
      <c r="J1690" s="4" t="s">
        <v>23</v>
      </c>
      <c r="K1690" s="4"/>
      <c r="L1690" s="8" t="s">
        <v>12</v>
      </c>
      <c r="M1690" s="7"/>
      <c r="N1690" s="7"/>
      <c r="O1690" s="7"/>
    </row>
    <row r="1691" spans="1:15" ht="12.75" x14ac:dyDescent="0.2">
      <c r="A1691" s="6">
        <v>45880</v>
      </c>
      <c r="B1691" s="11">
        <f>+MONTH(A1691)</f>
        <v>8</v>
      </c>
      <c r="C1691" s="11">
        <f>+WEEKNUM(A1691)</f>
        <v>33</v>
      </c>
      <c r="D1691" s="4" t="s">
        <v>26</v>
      </c>
      <c r="E1691" s="4" t="s">
        <v>507</v>
      </c>
      <c r="F1691" s="4">
        <v>573170646587</v>
      </c>
      <c r="G1691" s="4">
        <v>63695</v>
      </c>
      <c r="H1691" s="8"/>
      <c r="I1691" s="4"/>
      <c r="J1691" s="4"/>
      <c r="K1691" s="4"/>
      <c r="L1691" s="8"/>
      <c r="M1691" s="7"/>
      <c r="N1691" s="7"/>
      <c r="O1691" s="7"/>
    </row>
    <row r="1692" spans="1:15" ht="127.5" x14ac:dyDescent="0.2">
      <c r="A1692" s="6">
        <v>45880</v>
      </c>
      <c r="B1692" s="11">
        <f>+MONTH(A1692)</f>
        <v>8</v>
      </c>
      <c r="C1692" s="11">
        <f>+WEEKNUM(A1692)</f>
        <v>33</v>
      </c>
      <c r="D1692" s="4" t="s">
        <v>505</v>
      </c>
      <c r="E1692" s="4" t="s">
        <v>506</v>
      </c>
      <c r="F1692" s="4">
        <v>573103533091</v>
      </c>
      <c r="G1692" s="4">
        <v>66410</v>
      </c>
      <c r="H1692" s="8" t="s">
        <v>44</v>
      </c>
      <c r="I1692" s="4" t="s">
        <v>3374</v>
      </c>
      <c r="J1692" s="4"/>
      <c r="K1692" s="4"/>
      <c r="L1692" s="8" t="s">
        <v>71</v>
      </c>
      <c r="M1692" s="7"/>
      <c r="N1692" s="7"/>
      <c r="O1692" s="7"/>
    </row>
    <row r="1693" spans="1:15" ht="12.75" x14ac:dyDescent="0.2">
      <c r="A1693" s="6">
        <v>45880</v>
      </c>
      <c r="B1693" s="11">
        <f>+MONTH(A1693)</f>
        <v>8</v>
      </c>
      <c r="C1693" s="11">
        <f>+WEEKNUM(A1693)</f>
        <v>33</v>
      </c>
      <c r="D1693" s="4" t="s">
        <v>96</v>
      </c>
      <c r="E1693" s="4" t="s">
        <v>504</v>
      </c>
      <c r="F1693" s="4">
        <v>573202922822</v>
      </c>
      <c r="G1693" s="4">
        <v>66455</v>
      </c>
      <c r="H1693" s="8"/>
      <c r="I1693" s="4"/>
      <c r="J1693" s="4"/>
      <c r="K1693" s="4"/>
      <c r="L1693" s="8"/>
      <c r="M1693" s="7"/>
      <c r="N1693" s="7"/>
      <c r="O1693" s="7"/>
    </row>
    <row r="1694" spans="1:15" ht="12.75" x14ac:dyDescent="0.2">
      <c r="A1694" s="6">
        <v>45880</v>
      </c>
      <c r="B1694" s="11">
        <f>+MONTH(A1694)</f>
        <v>8</v>
      </c>
      <c r="C1694" s="11">
        <f>+WEEKNUM(A1694)</f>
        <v>33</v>
      </c>
      <c r="D1694" s="4" t="s">
        <v>88</v>
      </c>
      <c r="E1694" s="4" t="s">
        <v>503</v>
      </c>
      <c r="F1694" s="4">
        <v>573118997845</v>
      </c>
      <c r="G1694" s="4">
        <v>66435</v>
      </c>
      <c r="H1694" s="8"/>
      <c r="I1694" s="4"/>
      <c r="J1694" s="4"/>
      <c r="K1694" s="4"/>
      <c r="L1694" s="8"/>
      <c r="M1694" s="7"/>
      <c r="N1694" s="7"/>
      <c r="O1694" s="7"/>
    </row>
    <row r="1695" spans="1:15" ht="38.25" x14ac:dyDescent="0.2">
      <c r="A1695" s="6">
        <v>45880</v>
      </c>
      <c r="B1695" s="11">
        <f>+MONTH(A1695)</f>
        <v>8</v>
      </c>
      <c r="C1695" s="11">
        <f>+WEEKNUM(A1695)</f>
        <v>33</v>
      </c>
      <c r="D1695" s="4" t="s">
        <v>499</v>
      </c>
      <c r="E1695" s="4" t="s">
        <v>500</v>
      </c>
      <c r="F1695" s="4">
        <v>573014889952</v>
      </c>
      <c r="G1695" s="4">
        <v>65930</v>
      </c>
      <c r="H1695" s="8" t="s">
        <v>13</v>
      </c>
      <c r="I1695" s="4" t="s">
        <v>501</v>
      </c>
      <c r="J1695" s="5" t="s">
        <v>502</v>
      </c>
      <c r="K1695" s="4"/>
      <c r="L1695" s="8" t="s">
        <v>12</v>
      </c>
      <c r="M1695" s="7"/>
      <c r="N1695" s="7"/>
      <c r="O1695" s="7"/>
    </row>
    <row r="1696" spans="1:15" ht="12.75" x14ac:dyDescent="0.2">
      <c r="A1696" s="6">
        <v>45880</v>
      </c>
      <c r="B1696" s="11">
        <f>+MONTH(A1696)</f>
        <v>8</v>
      </c>
      <c r="C1696" s="11">
        <f>+WEEKNUM(A1696)</f>
        <v>33</v>
      </c>
      <c r="D1696" s="4" t="s">
        <v>66</v>
      </c>
      <c r="E1696" s="4" t="s">
        <v>278</v>
      </c>
      <c r="F1696" s="4">
        <v>573115928440</v>
      </c>
      <c r="G1696" s="4">
        <v>66357</v>
      </c>
      <c r="H1696" s="8"/>
      <c r="I1696" s="4"/>
      <c r="J1696" s="4"/>
      <c r="K1696" s="4"/>
      <c r="L1696" s="8"/>
      <c r="M1696" s="7"/>
      <c r="N1696" s="7"/>
      <c r="O1696" s="7"/>
    </row>
    <row r="1697" spans="1:15" ht="12.75" x14ac:dyDescent="0.2">
      <c r="A1697" s="6">
        <v>45880</v>
      </c>
      <c r="B1697" s="11">
        <f>+MONTH(A1697)</f>
        <v>8</v>
      </c>
      <c r="C1697" s="11">
        <f>+WEEKNUM(A1697)</f>
        <v>33</v>
      </c>
      <c r="D1697" s="4" t="s">
        <v>497</v>
      </c>
      <c r="E1697" s="4" t="s">
        <v>498</v>
      </c>
      <c r="F1697" s="4">
        <v>573104100957</v>
      </c>
      <c r="G1697" s="4">
        <v>66333</v>
      </c>
      <c r="H1697" s="8"/>
      <c r="I1697" s="4"/>
      <c r="J1697" s="4"/>
      <c r="K1697" s="4"/>
      <c r="L1697" s="8"/>
      <c r="M1697" s="7"/>
      <c r="N1697" s="7"/>
      <c r="O1697" s="7"/>
    </row>
    <row r="1698" spans="1:15" ht="25.5" x14ac:dyDescent="0.2">
      <c r="A1698" s="6">
        <v>45880</v>
      </c>
      <c r="B1698" s="11">
        <f>+MONTH(A1698)</f>
        <v>8</v>
      </c>
      <c r="C1698" s="11">
        <f>+WEEKNUM(A1698)</f>
        <v>33</v>
      </c>
      <c r="D1698" s="4" t="s">
        <v>495</v>
      </c>
      <c r="E1698" s="4" t="s">
        <v>496</v>
      </c>
      <c r="F1698" s="4">
        <v>573016713522</v>
      </c>
      <c r="G1698" s="4">
        <v>66269</v>
      </c>
      <c r="H1698" s="8"/>
      <c r="I1698" s="4"/>
      <c r="J1698" s="4"/>
      <c r="K1698" s="4"/>
      <c r="L1698" s="8"/>
      <c r="M1698" s="7"/>
      <c r="N1698" s="7"/>
      <c r="O1698" s="7"/>
    </row>
    <row r="1699" spans="1:15" ht="25.5" x14ac:dyDescent="0.2">
      <c r="A1699" s="6">
        <v>45880</v>
      </c>
      <c r="B1699" s="11">
        <f>+MONTH(A1699)</f>
        <v>8</v>
      </c>
      <c r="C1699" s="11">
        <f>+WEEKNUM(A1699)</f>
        <v>33</v>
      </c>
      <c r="D1699" s="4" t="s">
        <v>200</v>
      </c>
      <c r="E1699" s="4" t="s">
        <v>494</v>
      </c>
      <c r="F1699" s="4">
        <v>573504482705</v>
      </c>
      <c r="G1699" s="4">
        <v>66233</v>
      </c>
      <c r="H1699" s="8"/>
      <c r="I1699" s="4"/>
      <c r="J1699" s="4"/>
      <c r="K1699" s="4"/>
      <c r="L1699" s="8"/>
      <c r="M1699" s="7"/>
      <c r="N1699" s="7"/>
      <c r="O1699" s="7"/>
    </row>
    <row r="1700" spans="1:15" ht="12.75" x14ac:dyDescent="0.2">
      <c r="A1700" s="6">
        <v>45880</v>
      </c>
      <c r="B1700" s="11">
        <f>+MONTH(A1700)</f>
        <v>8</v>
      </c>
      <c r="C1700" s="11">
        <f>+WEEKNUM(A1700)</f>
        <v>33</v>
      </c>
      <c r="D1700" s="4" t="s">
        <v>287</v>
      </c>
      <c r="E1700" s="4" t="s">
        <v>493</v>
      </c>
      <c r="F1700" s="4">
        <v>573106634507</v>
      </c>
      <c r="G1700" s="4">
        <v>65707</v>
      </c>
      <c r="H1700" s="8"/>
      <c r="I1700" s="4"/>
      <c r="J1700" s="4"/>
      <c r="K1700" s="4"/>
      <c r="L1700" s="8"/>
      <c r="M1700" s="7"/>
      <c r="N1700" s="7"/>
      <c r="O1700" s="7"/>
    </row>
    <row r="1701" spans="1:15" ht="25.5" x14ac:dyDescent="0.2">
      <c r="A1701" s="6">
        <v>45880</v>
      </c>
      <c r="B1701" s="11">
        <f>+MONTH(A1701)</f>
        <v>8</v>
      </c>
      <c r="C1701" s="11">
        <f>+WEEKNUM(A1701)</f>
        <v>33</v>
      </c>
      <c r="D1701" s="4" t="s">
        <v>490</v>
      </c>
      <c r="E1701" s="4" t="s">
        <v>491</v>
      </c>
      <c r="F1701" s="4">
        <v>573208425970</v>
      </c>
      <c r="G1701" s="4">
        <v>66151</v>
      </c>
      <c r="H1701" s="8" t="s">
        <v>13</v>
      </c>
      <c r="I1701" s="4" t="s">
        <v>492</v>
      </c>
      <c r="J1701" s="4" t="s">
        <v>23</v>
      </c>
      <c r="K1701" s="4"/>
      <c r="L1701" s="8" t="s">
        <v>12</v>
      </c>
      <c r="M1701" s="7"/>
      <c r="N1701" s="7"/>
      <c r="O1701" s="7"/>
    </row>
    <row r="1702" spans="1:15" ht="12.75" x14ac:dyDescent="0.2">
      <c r="A1702" s="6">
        <v>45880</v>
      </c>
      <c r="B1702" s="11">
        <f>+MONTH(A1702)</f>
        <v>8</v>
      </c>
      <c r="C1702" s="11">
        <f>+WEEKNUM(A1702)</f>
        <v>33</v>
      </c>
      <c r="D1702" s="4" t="s">
        <v>275</v>
      </c>
      <c r="E1702" s="4" t="s">
        <v>276</v>
      </c>
      <c r="F1702" s="4">
        <v>573104463950</v>
      </c>
      <c r="G1702" s="4">
        <v>66251</v>
      </c>
      <c r="H1702" s="8"/>
      <c r="I1702" s="4"/>
      <c r="J1702" s="4"/>
      <c r="K1702" s="4"/>
      <c r="L1702" s="8"/>
      <c r="M1702" s="7"/>
      <c r="N1702" s="7"/>
      <c r="O1702" s="7"/>
    </row>
    <row r="1703" spans="1:15" ht="12.75" x14ac:dyDescent="0.2">
      <c r="A1703" s="6">
        <v>45880</v>
      </c>
      <c r="B1703" s="11">
        <f>+MONTH(A1703)</f>
        <v>8</v>
      </c>
      <c r="C1703" s="11">
        <f>+WEEKNUM(A1703)</f>
        <v>33</v>
      </c>
      <c r="D1703" s="4" t="s">
        <v>166</v>
      </c>
      <c r="E1703" s="4" t="s">
        <v>281</v>
      </c>
      <c r="F1703" s="4">
        <v>573153321400</v>
      </c>
      <c r="G1703" s="4">
        <v>66414</v>
      </c>
      <c r="H1703" s="8"/>
      <c r="I1703" s="4"/>
      <c r="J1703" s="4"/>
      <c r="K1703" s="4"/>
      <c r="L1703" s="8"/>
      <c r="M1703" s="7"/>
      <c r="N1703" s="7"/>
      <c r="O1703" s="7"/>
    </row>
    <row r="1704" spans="1:15" ht="38.25" x14ac:dyDescent="0.2">
      <c r="A1704" s="6">
        <v>45880</v>
      </c>
      <c r="B1704" s="11">
        <f>+MONTH(A1704)</f>
        <v>8</v>
      </c>
      <c r="C1704" s="11">
        <f>+WEEKNUM(A1704)</f>
        <v>33</v>
      </c>
      <c r="D1704" s="4" t="s">
        <v>487</v>
      </c>
      <c r="E1704" s="4" t="s">
        <v>488</v>
      </c>
      <c r="F1704" s="4">
        <v>573163093369</v>
      </c>
      <c r="G1704" s="4">
        <v>66419</v>
      </c>
      <c r="H1704" s="8" t="s">
        <v>13</v>
      </c>
      <c r="I1704" s="4" t="s">
        <v>3341</v>
      </c>
      <c r="J1704" s="5" t="s">
        <v>489</v>
      </c>
      <c r="K1704" s="4"/>
      <c r="L1704" s="8" t="s">
        <v>12</v>
      </c>
      <c r="M1704" s="7"/>
      <c r="N1704" s="7"/>
      <c r="O1704" s="7"/>
    </row>
    <row r="1705" spans="1:15" ht="12.75" x14ac:dyDescent="0.2">
      <c r="A1705" s="6">
        <v>45880</v>
      </c>
      <c r="B1705" s="11">
        <f>+MONTH(A1705)</f>
        <v>8</v>
      </c>
      <c r="C1705" s="11">
        <f>+WEEKNUM(A1705)</f>
        <v>33</v>
      </c>
      <c r="D1705" s="4" t="s">
        <v>42</v>
      </c>
      <c r="E1705" s="4" t="s">
        <v>486</v>
      </c>
      <c r="F1705" s="4">
        <v>573118320770</v>
      </c>
      <c r="G1705" s="4">
        <v>65997</v>
      </c>
      <c r="H1705" s="8"/>
      <c r="I1705" s="4"/>
      <c r="J1705" s="4"/>
      <c r="K1705" s="4"/>
      <c r="L1705" s="8"/>
      <c r="M1705" s="7"/>
      <c r="N1705" s="7"/>
      <c r="O1705" s="7"/>
    </row>
    <row r="1706" spans="1:15" ht="25.5" x14ac:dyDescent="0.2">
      <c r="A1706" s="6">
        <v>45880</v>
      </c>
      <c r="B1706" s="11">
        <f>+MONTH(A1706)</f>
        <v>8</v>
      </c>
      <c r="C1706" s="11">
        <f>+WEEKNUM(A1706)</f>
        <v>33</v>
      </c>
      <c r="D1706" s="4" t="s">
        <v>84</v>
      </c>
      <c r="E1706" s="4" t="s">
        <v>485</v>
      </c>
      <c r="F1706" s="4">
        <v>573193299434</v>
      </c>
      <c r="G1706" s="4">
        <v>66000</v>
      </c>
      <c r="H1706" s="8" t="s">
        <v>13</v>
      </c>
      <c r="I1706" s="4"/>
      <c r="J1706" s="4"/>
      <c r="K1706" s="4"/>
      <c r="L1706" s="8" t="s">
        <v>22</v>
      </c>
      <c r="M1706" s="7"/>
      <c r="N1706" s="7"/>
      <c r="O1706" s="7"/>
    </row>
    <row r="1707" spans="1:15" ht="102" x14ac:dyDescent="0.2">
      <c r="A1707" s="6">
        <v>45880</v>
      </c>
      <c r="B1707" s="11">
        <f>+MONTH(A1707)</f>
        <v>8</v>
      </c>
      <c r="C1707" s="11">
        <f>+WEEKNUM(A1707)</f>
        <v>33</v>
      </c>
      <c r="D1707" s="4" t="s">
        <v>482</v>
      </c>
      <c r="E1707" s="4" t="s">
        <v>483</v>
      </c>
      <c r="F1707" s="4">
        <v>573224567266</v>
      </c>
      <c r="G1707" s="4">
        <v>66396</v>
      </c>
      <c r="H1707" s="8" t="s">
        <v>22</v>
      </c>
      <c r="I1707" s="4" t="s">
        <v>484</v>
      </c>
      <c r="J1707" s="4"/>
      <c r="K1707" s="4"/>
      <c r="L1707" s="8" t="s">
        <v>12</v>
      </c>
      <c r="M1707" s="7"/>
      <c r="N1707" s="7"/>
      <c r="O1707" s="7"/>
    </row>
    <row r="1708" spans="1:15" ht="38.25" x14ac:dyDescent="0.2">
      <c r="A1708" s="6">
        <v>45880</v>
      </c>
      <c r="B1708" s="11">
        <f>+MONTH(A1708)</f>
        <v>8</v>
      </c>
      <c r="C1708" s="11">
        <f>+WEEKNUM(A1708)</f>
        <v>33</v>
      </c>
      <c r="D1708" s="4" t="s">
        <v>19</v>
      </c>
      <c r="E1708" s="4" t="s">
        <v>184</v>
      </c>
      <c r="F1708" s="4">
        <v>573108088069</v>
      </c>
      <c r="G1708" s="4">
        <v>66169</v>
      </c>
      <c r="H1708" s="8" t="s">
        <v>13</v>
      </c>
      <c r="I1708" s="4" t="s">
        <v>480</v>
      </c>
      <c r="J1708" s="5" t="s">
        <v>481</v>
      </c>
      <c r="K1708" s="4"/>
      <c r="L1708" s="8" t="s">
        <v>12</v>
      </c>
      <c r="M1708" s="7"/>
      <c r="N1708" s="7"/>
      <c r="O1708" s="7"/>
    </row>
    <row r="1709" spans="1:15" ht="25.5" x14ac:dyDescent="0.2">
      <c r="A1709" s="6">
        <v>45878</v>
      </c>
      <c r="B1709" s="11">
        <f>+MONTH(A1709)</f>
        <v>8</v>
      </c>
      <c r="C1709" s="11">
        <f>+WEEKNUM(A1709)</f>
        <v>32</v>
      </c>
      <c r="D1709" s="4" t="s">
        <v>49</v>
      </c>
      <c r="E1709" s="4" t="s">
        <v>479</v>
      </c>
      <c r="F1709" s="4">
        <v>573102762267</v>
      </c>
      <c r="G1709" s="4">
        <v>66314</v>
      </c>
      <c r="H1709" s="8"/>
      <c r="I1709" s="4"/>
      <c r="J1709" s="4"/>
      <c r="K1709" s="4"/>
      <c r="L1709" s="8"/>
      <c r="M1709" s="7"/>
      <c r="N1709" s="7"/>
      <c r="O1709" s="7"/>
    </row>
    <row r="1710" spans="1:15" ht="25.5" x14ac:dyDescent="0.2">
      <c r="A1710" s="6">
        <v>45878</v>
      </c>
      <c r="B1710" s="11">
        <f>+MONTH(A1710)</f>
        <v>8</v>
      </c>
      <c r="C1710" s="11">
        <f>+WEEKNUM(A1710)</f>
        <v>32</v>
      </c>
      <c r="D1710" s="4" t="s">
        <v>477</v>
      </c>
      <c r="E1710" s="4" t="s">
        <v>478</v>
      </c>
      <c r="F1710" s="4">
        <v>573167446487</v>
      </c>
      <c r="G1710" s="4">
        <v>66334</v>
      </c>
      <c r="H1710" s="8"/>
      <c r="I1710" s="4"/>
      <c r="J1710" s="4"/>
      <c r="K1710" s="4"/>
      <c r="L1710" s="8"/>
      <c r="M1710" s="7"/>
      <c r="N1710" s="7"/>
      <c r="O1710" s="7"/>
    </row>
    <row r="1711" spans="1:15" ht="178.5" x14ac:dyDescent="0.2">
      <c r="A1711" s="6">
        <v>45878</v>
      </c>
      <c r="B1711" s="11">
        <f>+MONTH(A1711)</f>
        <v>8</v>
      </c>
      <c r="C1711" s="11">
        <f>+WEEKNUM(A1711)</f>
        <v>32</v>
      </c>
      <c r="D1711" s="4" t="s">
        <v>48</v>
      </c>
      <c r="E1711" s="4" t="s">
        <v>476</v>
      </c>
      <c r="F1711" s="4">
        <v>573217926529</v>
      </c>
      <c r="G1711" s="4">
        <v>63149</v>
      </c>
      <c r="H1711" s="8" t="s">
        <v>13</v>
      </c>
      <c r="I1711" s="4" t="s">
        <v>3366</v>
      </c>
      <c r="J1711" s="4" t="s">
        <v>14</v>
      </c>
      <c r="K1711" s="4"/>
      <c r="L1711" s="8" t="s">
        <v>12</v>
      </c>
      <c r="M1711" s="7"/>
      <c r="N1711" s="7"/>
      <c r="O1711" s="7"/>
    </row>
    <row r="1712" spans="1:15" ht="12.75" x14ac:dyDescent="0.2">
      <c r="A1712" s="6">
        <v>45878</v>
      </c>
      <c r="B1712" s="11">
        <f>+MONTH(A1712)</f>
        <v>8</v>
      </c>
      <c r="C1712" s="11">
        <f>+WEEKNUM(A1712)</f>
        <v>32</v>
      </c>
      <c r="D1712" s="4" t="s">
        <v>474</v>
      </c>
      <c r="E1712" s="4" t="s">
        <v>475</v>
      </c>
      <c r="F1712" s="4">
        <v>573043588087</v>
      </c>
      <c r="G1712" s="4">
        <v>66220</v>
      </c>
      <c r="H1712" s="8"/>
      <c r="I1712" s="4"/>
      <c r="J1712" s="4"/>
      <c r="K1712" s="4"/>
      <c r="L1712" s="8"/>
      <c r="M1712" s="7"/>
      <c r="N1712" s="7"/>
      <c r="O1712" s="7"/>
    </row>
    <row r="1713" spans="1:15" ht="12.75" x14ac:dyDescent="0.2">
      <c r="A1713" s="6">
        <v>45878</v>
      </c>
      <c r="B1713" s="11">
        <f>+MONTH(A1713)</f>
        <v>8</v>
      </c>
      <c r="C1713" s="11">
        <f>+WEEKNUM(A1713)</f>
        <v>32</v>
      </c>
      <c r="D1713" s="4" t="s">
        <v>136</v>
      </c>
      <c r="E1713" s="4" t="s">
        <v>473</v>
      </c>
      <c r="F1713" s="4">
        <v>573028156554</v>
      </c>
      <c r="G1713" s="4">
        <v>66180</v>
      </c>
      <c r="H1713" s="8"/>
      <c r="I1713" s="4"/>
      <c r="J1713" s="4"/>
      <c r="K1713" s="4"/>
      <c r="L1713" s="8"/>
      <c r="M1713" s="7"/>
      <c r="N1713" s="7"/>
      <c r="O1713" s="7"/>
    </row>
    <row r="1714" spans="1:15" ht="12.75" x14ac:dyDescent="0.2">
      <c r="A1714" s="6">
        <v>45878</v>
      </c>
      <c r="B1714" s="11">
        <f>+MONTH(A1714)</f>
        <v>8</v>
      </c>
      <c r="C1714" s="11">
        <f>+WEEKNUM(A1714)</f>
        <v>32</v>
      </c>
      <c r="D1714" s="4" t="s">
        <v>471</v>
      </c>
      <c r="E1714" s="4" t="s">
        <v>472</v>
      </c>
      <c r="F1714" s="4">
        <v>573125568373</v>
      </c>
      <c r="G1714" s="4">
        <v>63446</v>
      </c>
      <c r="H1714" s="8"/>
      <c r="I1714" s="4"/>
      <c r="J1714" s="4"/>
      <c r="K1714" s="4"/>
      <c r="L1714" s="8"/>
      <c r="M1714" s="7"/>
      <c r="N1714" s="7"/>
      <c r="O1714" s="7"/>
    </row>
    <row r="1715" spans="1:15" ht="25.5" x14ac:dyDescent="0.2">
      <c r="A1715" s="6">
        <v>45878</v>
      </c>
      <c r="B1715" s="11">
        <f>+MONTH(A1715)</f>
        <v>8</v>
      </c>
      <c r="C1715" s="11">
        <f>+WEEKNUM(A1715)</f>
        <v>32</v>
      </c>
      <c r="D1715" s="4" t="s">
        <v>469</v>
      </c>
      <c r="E1715" s="4" t="s">
        <v>470</v>
      </c>
      <c r="F1715" s="4">
        <v>573186448563</v>
      </c>
      <c r="G1715" s="4">
        <v>66156</v>
      </c>
      <c r="H1715" s="8" t="s">
        <v>13</v>
      </c>
      <c r="I1715" s="4" t="s">
        <v>61</v>
      </c>
      <c r="J1715" s="4" t="s">
        <v>23</v>
      </c>
      <c r="K1715" s="4"/>
      <c r="L1715" s="8" t="s">
        <v>12</v>
      </c>
      <c r="M1715" s="7"/>
      <c r="N1715" s="7"/>
      <c r="O1715" s="7"/>
    </row>
    <row r="1716" spans="1:15" ht="12.75" x14ac:dyDescent="0.2">
      <c r="A1716" s="6">
        <v>45878</v>
      </c>
      <c r="B1716" s="11">
        <f>+MONTH(A1716)</f>
        <v>8</v>
      </c>
      <c r="C1716" s="11">
        <f>+WEEKNUM(A1716)</f>
        <v>32</v>
      </c>
      <c r="D1716" s="4" t="s">
        <v>37</v>
      </c>
      <c r="E1716" s="4" t="s">
        <v>277</v>
      </c>
      <c r="F1716" s="4">
        <v>573132961722</v>
      </c>
      <c r="G1716" s="4">
        <v>63049</v>
      </c>
      <c r="H1716" s="8"/>
      <c r="I1716" s="4"/>
      <c r="J1716" s="4"/>
      <c r="K1716" s="4"/>
      <c r="L1716" s="8"/>
      <c r="M1716" s="7"/>
      <c r="N1716" s="7"/>
      <c r="O1716" s="7"/>
    </row>
    <row r="1717" spans="1:15" ht="12.75" x14ac:dyDescent="0.2">
      <c r="A1717" s="6">
        <v>45878</v>
      </c>
      <c r="B1717" s="11">
        <f>+MONTH(A1717)</f>
        <v>8</v>
      </c>
      <c r="C1717" s="11">
        <f>+WEEKNUM(A1717)</f>
        <v>32</v>
      </c>
      <c r="D1717" s="4" t="s">
        <v>306</v>
      </c>
      <c r="E1717" s="4" t="s">
        <v>468</v>
      </c>
      <c r="F1717" s="4">
        <v>573218974138</v>
      </c>
      <c r="G1717" s="4">
        <v>66262</v>
      </c>
      <c r="H1717" s="8"/>
      <c r="I1717" s="4"/>
      <c r="J1717" s="4"/>
      <c r="K1717" s="4"/>
      <c r="L1717" s="8"/>
      <c r="M1717" s="7"/>
      <c r="N1717" s="7"/>
      <c r="O1717" s="7"/>
    </row>
    <row r="1718" spans="1:15" ht="127.5" x14ac:dyDescent="0.2">
      <c r="A1718" s="6">
        <v>45878</v>
      </c>
      <c r="B1718" s="11">
        <f>+MONTH(A1718)</f>
        <v>8</v>
      </c>
      <c r="C1718" s="11">
        <f>+WEEKNUM(A1718)</f>
        <v>32</v>
      </c>
      <c r="D1718" s="4" t="s">
        <v>465</v>
      </c>
      <c r="E1718" s="4" t="s">
        <v>466</v>
      </c>
      <c r="F1718" s="4">
        <v>573228178929</v>
      </c>
      <c r="G1718" s="4">
        <v>66304</v>
      </c>
      <c r="H1718" s="8" t="s">
        <v>22</v>
      </c>
      <c r="I1718" s="4" t="s">
        <v>467</v>
      </c>
      <c r="J1718" s="4"/>
      <c r="K1718" s="4"/>
      <c r="L1718" s="8" t="s">
        <v>22</v>
      </c>
      <c r="M1718" s="7"/>
      <c r="N1718" s="7"/>
      <c r="O1718" s="7"/>
    </row>
    <row r="1719" spans="1:15" ht="25.5" x14ac:dyDescent="0.2">
      <c r="A1719" s="6">
        <v>45878</v>
      </c>
      <c r="B1719" s="11">
        <f>+MONTH(A1719)</f>
        <v>8</v>
      </c>
      <c r="C1719" s="11">
        <f>+WEEKNUM(A1719)</f>
        <v>32</v>
      </c>
      <c r="D1719" s="4" t="s">
        <v>89</v>
      </c>
      <c r="E1719" s="4" t="s">
        <v>464</v>
      </c>
      <c r="F1719" s="4">
        <v>573124145191</v>
      </c>
      <c r="G1719" s="4">
        <v>65804</v>
      </c>
      <c r="H1719" s="8"/>
      <c r="I1719" s="4"/>
      <c r="J1719" s="4"/>
      <c r="K1719" s="4"/>
      <c r="L1719" s="8"/>
      <c r="M1719" s="7"/>
      <c r="N1719" s="7"/>
      <c r="O1719" s="7"/>
    </row>
    <row r="1720" spans="1:15" ht="51" x14ac:dyDescent="0.2">
      <c r="A1720" s="6">
        <v>45878</v>
      </c>
      <c r="B1720" s="11">
        <f>+MONTH(A1720)</f>
        <v>8</v>
      </c>
      <c r="C1720" s="11">
        <f>+WEEKNUM(A1720)</f>
        <v>32</v>
      </c>
      <c r="D1720" s="4" t="s">
        <v>461</v>
      </c>
      <c r="E1720" s="4" t="s">
        <v>462</v>
      </c>
      <c r="F1720" s="4">
        <v>573203316724</v>
      </c>
      <c r="G1720" s="4">
        <v>66214</v>
      </c>
      <c r="H1720" s="8" t="s">
        <v>13</v>
      </c>
      <c r="I1720" s="4" t="s">
        <v>463</v>
      </c>
      <c r="J1720" s="4" t="s">
        <v>23</v>
      </c>
      <c r="K1720" s="4"/>
      <c r="L1720" s="8" t="s">
        <v>12</v>
      </c>
      <c r="M1720" s="7"/>
      <c r="N1720" s="7"/>
      <c r="O1720" s="7"/>
    </row>
    <row r="1721" spans="1:15" ht="12.75" x14ac:dyDescent="0.2">
      <c r="A1721" s="6">
        <v>45878</v>
      </c>
      <c r="B1721" s="11">
        <f>+MONTH(A1721)</f>
        <v>8</v>
      </c>
      <c r="C1721" s="11">
        <f>+WEEKNUM(A1721)</f>
        <v>32</v>
      </c>
      <c r="D1721" s="4" t="s">
        <v>145</v>
      </c>
      <c r="E1721" s="4" t="s">
        <v>460</v>
      </c>
      <c r="F1721" s="4">
        <v>573168828607</v>
      </c>
      <c r="G1721" s="4">
        <v>66231</v>
      </c>
      <c r="H1721" s="8"/>
      <c r="I1721" s="4"/>
      <c r="J1721" s="4"/>
      <c r="K1721" s="4"/>
      <c r="L1721" s="8"/>
      <c r="M1721" s="7"/>
      <c r="N1721" s="7"/>
      <c r="O1721" s="7"/>
    </row>
    <row r="1722" spans="1:15" ht="25.5" x14ac:dyDescent="0.2">
      <c r="A1722" s="6">
        <v>45877</v>
      </c>
      <c r="B1722" s="11">
        <f>+MONTH(A1722)</f>
        <v>8</v>
      </c>
      <c r="C1722" s="11">
        <f>+WEEKNUM(A1722)</f>
        <v>32</v>
      </c>
      <c r="D1722" s="4" t="s">
        <v>458</v>
      </c>
      <c r="E1722" s="4" t="s">
        <v>459</v>
      </c>
      <c r="F1722" s="4">
        <v>573192209499</v>
      </c>
      <c r="G1722" s="4">
        <v>66237</v>
      </c>
      <c r="H1722" s="8"/>
      <c r="I1722" s="4"/>
      <c r="J1722" s="4"/>
      <c r="K1722" s="4"/>
      <c r="L1722" s="8"/>
      <c r="M1722" s="7"/>
      <c r="N1722" s="7"/>
      <c r="O1722" s="7"/>
    </row>
    <row r="1723" spans="1:15" ht="12.75" x14ac:dyDescent="0.2">
      <c r="A1723" s="6">
        <v>45877</v>
      </c>
      <c r="B1723" s="11">
        <f>+MONTH(A1723)</f>
        <v>8</v>
      </c>
      <c r="C1723" s="11">
        <f>+WEEKNUM(A1723)</f>
        <v>32</v>
      </c>
      <c r="D1723" s="4" t="s">
        <v>293</v>
      </c>
      <c r="E1723" s="4" t="s">
        <v>457</v>
      </c>
      <c r="F1723" s="4">
        <v>573218004180</v>
      </c>
      <c r="G1723" s="4">
        <v>66274</v>
      </c>
      <c r="H1723" s="8"/>
      <c r="I1723" s="4"/>
      <c r="J1723" s="4"/>
      <c r="K1723" s="4"/>
      <c r="L1723" s="8"/>
      <c r="M1723" s="7"/>
      <c r="N1723" s="7"/>
      <c r="O1723" s="7"/>
    </row>
    <row r="1724" spans="1:15" ht="12.75" x14ac:dyDescent="0.2">
      <c r="A1724" s="6">
        <v>45877</v>
      </c>
      <c r="B1724" s="11">
        <f>+MONTH(A1724)</f>
        <v>8</v>
      </c>
      <c r="C1724" s="11">
        <f>+WEEKNUM(A1724)</f>
        <v>32</v>
      </c>
      <c r="D1724" s="4" t="s">
        <v>297</v>
      </c>
      <c r="E1724" s="4" t="s">
        <v>456</v>
      </c>
      <c r="F1724" s="4">
        <v>573015567112</v>
      </c>
      <c r="G1724" s="4">
        <v>66203</v>
      </c>
      <c r="H1724" s="8"/>
      <c r="I1724" s="4"/>
      <c r="J1724" s="4"/>
      <c r="K1724" s="4"/>
      <c r="L1724" s="8"/>
      <c r="M1724" s="7"/>
      <c r="N1724" s="7"/>
      <c r="O1724" s="7"/>
    </row>
    <row r="1725" spans="1:15" ht="12.75" x14ac:dyDescent="0.2">
      <c r="A1725" s="6">
        <v>45877</v>
      </c>
      <c r="B1725" s="11">
        <f>+MONTH(A1725)</f>
        <v>8</v>
      </c>
      <c r="C1725" s="11">
        <f>+WEEKNUM(A1725)</f>
        <v>32</v>
      </c>
      <c r="D1725" s="4" t="s">
        <v>168</v>
      </c>
      <c r="E1725" s="4" t="s">
        <v>455</v>
      </c>
      <c r="F1725" s="4">
        <v>573115542389</v>
      </c>
      <c r="G1725" s="4">
        <v>66103</v>
      </c>
      <c r="H1725" s="8"/>
      <c r="I1725" s="4"/>
      <c r="J1725" s="4"/>
      <c r="K1725" s="4"/>
      <c r="L1725" s="8"/>
      <c r="M1725" s="7"/>
      <c r="N1725" s="7"/>
      <c r="O1725" s="7"/>
    </row>
    <row r="1726" spans="1:15" ht="12.75" x14ac:dyDescent="0.2">
      <c r="A1726" s="6">
        <v>45877</v>
      </c>
      <c r="B1726" s="11">
        <f>+MONTH(A1726)</f>
        <v>8</v>
      </c>
      <c r="C1726" s="11">
        <f>+WEEKNUM(A1726)</f>
        <v>32</v>
      </c>
      <c r="D1726" s="4" t="s">
        <v>453</v>
      </c>
      <c r="E1726" s="4" t="s">
        <v>454</v>
      </c>
      <c r="F1726" s="4">
        <v>573114831327</v>
      </c>
      <c r="G1726" s="4">
        <v>66170</v>
      </c>
      <c r="H1726" s="8"/>
      <c r="I1726" s="4"/>
      <c r="J1726" s="4"/>
      <c r="K1726" s="4"/>
      <c r="L1726" s="8"/>
      <c r="M1726" s="7"/>
      <c r="N1726" s="7"/>
      <c r="O1726" s="7"/>
    </row>
    <row r="1727" spans="1:15" ht="12.75" x14ac:dyDescent="0.2">
      <c r="A1727" s="6">
        <v>45877</v>
      </c>
      <c r="B1727" s="11">
        <f>+MONTH(A1727)</f>
        <v>8</v>
      </c>
      <c r="C1727" s="11">
        <f>+WEEKNUM(A1727)</f>
        <v>32</v>
      </c>
      <c r="D1727" s="4" t="s">
        <v>108</v>
      </c>
      <c r="E1727" s="4" t="s">
        <v>452</v>
      </c>
      <c r="F1727" s="4">
        <v>573146080626</v>
      </c>
      <c r="G1727" s="4">
        <v>66081</v>
      </c>
      <c r="H1727" s="8"/>
      <c r="I1727" s="4"/>
      <c r="J1727" s="4"/>
      <c r="K1727" s="4"/>
      <c r="L1727" s="8"/>
      <c r="M1727" s="7"/>
      <c r="N1727" s="7"/>
      <c r="O1727" s="7"/>
    </row>
    <row r="1728" spans="1:15" ht="12.75" x14ac:dyDescent="0.2">
      <c r="A1728" s="6">
        <v>45877</v>
      </c>
      <c r="B1728" s="11">
        <f>+MONTH(A1728)</f>
        <v>8</v>
      </c>
      <c r="C1728" s="11">
        <f>+WEEKNUM(A1728)</f>
        <v>32</v>
      </c>
      <c r="D1728" s="4" t="s">
        <v>450</v>
      </c>
      <c r="E1728" s="4" t="s">
        <v>451</v>
      </c>
      <c r="F1728" s="4">
        <v>573214956620</v>
      </c>
      <c r="G1728" s="4">
        <v>58182</v>
      </c>
      <c r="H1728" s="8"/>
      <c r="I1728" s="4"/>
      <c r="J1728" s="4"/>
      <c r="K1728" s="4"/>
      <c r="L1728" s="8"/>
      <c r="M1728" s="7"/>
      <c r="N1728" s="7"/>
      <c r="O1728" s="7"/>
    </row>
    <row r="1729" spans="1:15" ht="12.75" x14ac:dyDescent="0.2">
      <c r="A1729" s="6">
        <v>45877</v>
      </c>
      <c r="B1729" s="11">
        <f>+MONTH(A1729)</f>
        <v>8</v>
      </c>
      <c r="C1729" s="11">
        <f>+WEEKNUM(A1729)</f>
        <v>32</v>
      </c>
      <c r="D1729" s="4" t="s">
        <v>448</v>
      </c>
      <c r="E1729" s="4" t="s">
        <v>449</v>
      </c>
      <c r="F1729" s="4">
        <v>573144829433</v>
      </c>
      <c r="G1729" s="4">
        <v>66001</v>
      </c>
      <c r="H1729" s="8" t="s">
        <v>13</v>
      </c>
      <c r="I1729" s="4"/>
      <c r="J1729" s="4"/>
      <c r="K1729" s="4"/>
      <c r="L1729" s="8" t="s">
        <v>12</v>
      </c>
      <c r="M1729" s="7"/>
      <c r="N1729" s="7"/>
      <c r="O1729" s="7"/>
    </row>
    <row r="1730" spans="1:15" ht="76.5" x14ac:dyDescent="0.2">
      <c r="A1730" s="6">
        <v>45877</v>
      </c>
      <c r="B1730" s="11">
        <f>+MONTH(A1730)</f>
        <v>8</v>
      </c>
      <c r="C1730" s="11">
        <f>+WEEKNUM(A1730)</f>
        <v>32</v>
      </c>
      <c r="D1730" s="4" t="s">
        <v>33</v>
      </c>
      <c r="E1730" s="4" t="s">
        <v>445</v>
      </c>
      <c r="F1730" s="4">
        <v>573044497936</v>
      </c>
      <c r="G1730" s="4">
        <v>66239</v>
      </c>
      <c r="H1730" s="8" t="s">
        <v>13</v>
      </c>
      <c r="I1730" s="4" t="s">
        <v>446</v>
      </c>
      <c r="J1730" s="5" t="s">
        <v>447</v>
      </c>
      <c r="K1730" s="4"/>
      <c r="L1730" s="8" t="s">
        <v>12</v>
      </c>
      <c r="M1730" s="7"/>
      <c r="N1730" s="7"/>
      <c r="O1730" s="7"/>
    </row>
    <row r="1731" spans="1:15" ht="12.75" x14ac:dyDescent="0.2">
      <c r="A1731" s="6">
        <v>45877</v>
      </c>
      <c r="B1731" s="11">
        <f>+MONTH(A1731)</f>
        <v>8</v>
      </c>
      <c r="C1731" s="11">
        <f>+WEEKNUM(A1731)</f>
        <v>32</v>
      </c>
      <c r="D1731" s="4" t="s">
        <v>94</v>
      </c>
      <c r="E1731" s="4" t="s">
        <v>443</v>
      </c>
      <c r="F1731" s="4">
        <v>573112737373</v>
      </c>
      <c r="G1731" s="4">
        <v>66217</v>
      </c>
      <c r="H1731" s="8" t="s">
        <v>13</v>
      </c>
      <c r="I1731" s="4" t="s">
        <v>444</v>
      </c>
      <c r="J1731" s="4" t="s">
        <v>14</v>
      </c>
      <c r="K1731" s="4"/>
      <c r="L1731" s="8" t="s">
        <v>12</v>
      </c>
      <c r="M1731" s="7"/>
      <c r="N1731" s="7"/>
      <c r="O1731" s="7"/>
    </row>
    <row r="1732" spans="1:15" ht="12.75" x14ac:dyDescent="0.2">
      <c r="A1732" s="6">
        <v>45877</v>
      </c>
      <c r="B1732" s="11">
        <f>+MONTH(A1732)</f>
        <v>8</v>
      </c>
      <c r="C1732" s="11">
        <f>+WEEKNUM(A1732)</f>
        <v>32</v>
      </c>
      <c r="D1732" s="4" t="s">
        <v>441</v>
      </c>
      <c r="E1732" s="4" t="s">
        <v>442</v>
      </c>
      <c r="F1732" s="4">
        <v>573015356013</v>
      </c>
      <c r="G1732" s="4">
        <v>66038</v>
      </c>
      <c r="H1732" s="8"/>
      <c r="I1732" s="4"/>
      <c r="J1732" s="4"/>
      <c r="K1732" s="4"/>
      <c r="L1732" s="8"/>
      <c r="M1732" s="7"/>
      <c r="N1732" s="7"/>
      <c r="O1732" s="7"/>
    </row>
    <row r="1733" spans="1:15" ht="114.75" x14ac:dyDescent="0.2">
      <c r="A1733" s="6">
        <v>45877</v>
      </c>
      <c r="B1733" s="11">
        <f>+MONTH(A1733)</f>
        <v>8</v>
      </c>
      <c r="C1733" s="11">
        <f>+WEEKNUM(A1733)</f>
        <v>32</v>
      </c>
      <c r="D1733" s="4" t="s">
        <v>17</v>
      </c>
      <c r="E1733" s="4" t="s">
        <v>438</v>
      </c>
      <c r="F1733" s="4">
        <v>573006272392</v>
      </c>
      <c r="G1733" s="4">
        <v>65964</v>
      </c>
      <c r="H1733" s="8" t="s">
        <v>13</v>
      </c>
      <c r="I1733" s="4" t="s">
        <v>439</v>
      </c>
      <c r="J1733" s="4"/>
      <c r="K1733" s="4" t="s">
        <v>440</v>
      </c>
      <c r="L1733" s="8" t="s">
        <v>71</v>
      </c>
      <c r="M1733" s="7">
        <v>45877.554212962961</v>
      </c>
      <c r="N1733" s="7"/>
      <c r="O1733" s="7"/>
    </row>
    <row r="1734" spans="1:15" ht="12.75" x14ac:dyDescent="0.2">
      <c r="A1734" s="6">
        <v>45877</v>
      </c>
      <c r="B1734" s="11">
        <f>+MONTH(A1734)</f>
        <v>8</v>
      </c>
      <c r="C1734" s="11">
        <f>+WEEKNUM(A1734)</f>
        <v>32</v>
      </c>
      <c r="D1734" s="4" t="s">
        <v>436</v>
      </c>
      <c r="E1734" s="4" t="s">
        <v>437</v>
      </c>
      <c r="F1734" s="4">
        <v>573133782383</v>
      </c>
      <c r="G1734" s="4">
        <v>66011</v>
      </c>
      <c r="H1734" s="8"/>
      <c r="I1734" s="4"/>
      <c r="J1734" s="4"/>
      <c r="K1734" s="4"/>
      <c r="L1734" s="8"/>
      <c r="M1734" s="7"/>
      <c r="N1734" s="7"/>
      <c r="O1734" s="7"/>
    </row>
    <row r="1735" spans="1:15" ht="76.5" x14ac:dyDescent="0.2">
      <c r="A1735" s="6">
        <v>45877</v>
      </c>
      <c r="B1735" s="11">
        <f>+MONTH(A1735)</f>
        <v>8</v>
      </c>
      <c r="C1735" s="11">
        <f>+WEEKNUM(A1735)</f>
        <v>32</v>
      </c>
      <c r="D1735" s="4" t="s">
        <v>432</v>
      </c>
      <c r="E1735" s="4" t="s">
        <v>433</v>
      </c>
      <c r="F1735" s="4">
        <v>573144392734</v>
      </c>
      <c r="G1735" s="4">
        <v>66236</v>
      </c>
      <c r="H1735" s="8" t="s">
        <v>13</v>
      </c>
      <c r="I1735" s="4" t="s">
        <v>434</v>
      </c>
      <c r="J1735" s="5" t="s">
        <v>435</v>
      </c>
      <c r="K1735" s="4"/>
      <c r="L1735" s="8" t="s">
        <v>12</v>
      </c>
      <c r="M1735" s="7"/>
      <c r="N1735" s="7"/>
      <c r="O1735" s="7"/>
    </row>
    <row r="1736" spans="1:15" ht="12.75" x14ac:dyDescent="0.2">
      <c r="A1736" s="6">
        <v>45877</v>
      </c>
      <c r="B1736" s="11">
        <f>+MONTH(A1736)</f>
        <v>8</v>
      </c>
      <c r="C1736" s="11">
        <f>+WEEKNUM(A1736)</f>
        <v>32</v>
      </c>
      <c r="D1736" s="4" t="s">
        <v>57</v>
      </c>
      <c r="E1736" s="4" t="s">
        <v>431</v>
      </c>
      <c r="F1736" s="4">
        <v>573028564998</v>
      </c>
      <c r="G1736" s="4">
        <v>61606</v>
      </c>
      <c r="H1736" s="8"/>
      <c r="I1736" s="4"/>
      <c r="J1736" s="4"/>
      <c r="K1736" s="4"/>
      <c r="L1736" s="8"/>
      <c r="M1736" s="7"/>
      <c r="N1736" s="7"/>
      <c r="O1736" s="7"/>
    </row>
    <row r="1737" spans="1:15" ht="12.75" x14ac:dyDescent="0.2">
      <c r="A1737" s="6">
        <v>45877</v>
      </c>
      <c r="B1737" s="11">
        <f>+MONTH(A1737)</f>
        <v>8</v>
      </c>
      <c r="C1737" s="11">
        <f>+WEEKNUM(A1737)</f>
        <v>32</v>
      </c>
      <c r="D1737" s="4" t="s">
        <v>429</v>
      </c>
      <c r="E1737" s="4" t="s">
        <v>430</v>
      </c>
      <c r="F1737" s="4">
        <v>573212946781</v>
      </c>
      <c r="G1737" s="4">
        <v>66219</v>
      </c>
      <c r="H1737" s="8"/>
      <c r="I1737" s="4"/>
      <c r="J1737" s="4"/>
      <c r="K1737" s="4"/>
      <c r="L1737" s="8"/>
      <c r="M1737" s="7"/>
      <c r="N1737" s="7"/>
      <c r="O1737" s="7"/>
    </row>
    <row r="1738" spans="1:15" ht="12.75" x14ac:dyDescent="0.2">
      <c r="A1738" s="6">
        <v>45877</v>
      </c>
      <c r="B1738" s="11">
        <f>+MONTH(A1738)</f>
        <v>8</v>
      </c>
      <c r="C1738" s="11">
        <f>+WEEKNUM(A1738)</f>
        <v>32</v>
      </c>
      <c r="D1738" s="4" t="s">
        <v>427</v>
      </c>
      <c r="E1738" s="4" t="s">
        <v>428</v>
      </c>
      <c r="F1738" s="4">
        <v>573178218458</v>
      </c>
      <c r="G1738" s="4">
        <v>62932</v>
      </c>
      <c r="H1738" s="8"/>
      <c r="I1738" s="4"/>
      <c r="J1738" s="4"/>
      <c r="K1738" s="4"/>
      <c r="L1738" s="8"/>
      <c r="M1738" s="7"/>
      <c r="N1738" s="7"/>
      <c r="O1738" s="7"/>
    </row>
    <row r="1739" spans="1:15" ht="12.75" x14ac:dyDescent="0.2">
      <c r="A1739" s="6">
        <v>45877</v>
      </c>
      <c r="B1739" s="11">
        <f>+MONTH(A1739)</f>
        <v>8</v>
      </c>
      <c r="C1739" s="11">
        <f>+WEEKNUM(A1739)</f>
        <v>32</v>
      </c>
      <c r="D1739" s="4" t="s">
        <v>425</v>
      </c>
      <c r="E1739" s="4" t="s">
        <v>426</v>
      </c>
      <c r="F1739" s="4">
        <v>573246873320</v>
      </c>
      <c r="G1739" s="4">
        <v>66110</v>
      </c>
      <c r="H1739" s="8"/>
      <c r="I1739" s="4"/>
      <c r="J1739" s="4"/>
      <c r="K1739" s="4"/>
      <c r="L1739" s="8"/>
      <c r="M1739" s="7"/>
      <c r="N1739" s="7"/>
      <c r="O1739" s="7"/>
    </row>
    <row r="1740" spans="1:15" ht="25.5" x14ac:dyDescent="0.2">
      <c r="A1740" s="6">
        <v>45877</v>
      </c>
      <c r="B1740" s="11">
        <f>+MONTH(A1740)</f>
        <v>8</v>
      </c>
      <c r="C1740" s="11">
        <f>+WEEKNUM(A1740)</f>
        <v>32</v>
      </c>
      <c r="D1740" s="4" t="s">
        <v>115</v>
      </c>
      <c r="E1740" s="4" t="s">
        <v>424</v>
      </c>
      <c r="F1740" s="4">
        <v>573002860826</v>
      </c>
      <c r="G1740" s="4">
        <v>65940</v>
      </c>
      <c r="H1740" s="8"/>
      <c r="I1740" s="4"/>
      <c r="J1740" s="4"/>
      <c r="K1740" s="4"/>
      <c r="L1740" s="8"/>
      <c r="M1740" s="7"/>
      <c r="N1740" s="7"/>
      <c r="O1740" s="7"/>
    </row>
    <row r="1741" spans="1:15" ht="12.75" x14ac:dyDescent="0.2">
      <c r="A1741" s="6">
        <v>45875</v>
      </c>
      <c r="B1741" s="11">
        <f>+MONTH(A1741)</f>
        <v>8</v>
      </c>
      <c r="C1741" s="11">
        <f>+WEEKNUM(A1741)</f>
        <v>32</v>
      </c>
      <c r="D1741" s="4" t="s">
        <v>422</v>
      </c>
      <c r="E1741" s="4" t="s">
        <v>423</v>
      </c>
      <c r="F1741" s="4">
        <v>573107545436</v>
      </c>
      <c r="G1741" s="4">
        <v>65775</v>
      </c>
      <c r="H1741" s="8"/>
      <c r="I1741" s="4"/>
      <c r="J1741" s="4"/>
      <c r="K1741" s="4"/>
      <c r="L1741" s="8"/>
      <c r="M1741" s="7"/>
      <c r="N1741" s="7"/>
      <c r="O1741" s="7"/>
    </row>
    <row r="1742" spans="1:15" ht="51" x14ac:dyDescent="0.2">
      <c r="A1742" s="6">
        <v>45875</v>
      </c>
      <c r="B1742" s="11">
        <f>+MONTH(A1742)</f>
        <v>8</v>
      </c>
      <c r="C1742" s="11">
        <f>+WEEKNUM(A1742)</f>
        <v>32</v>
      </c>
      <c r="D1742" s="4" t="s">
        <v>420</v>
      </c>
      <c r="E1742" s="4" t="s">
        <v>421</v>
      </c>
      <c r="F1742" s="4">
        <v>573057126463</v>
      </c>
      <c r="G1742" s="4">
        <v>65635</v>
      </c>
      <c r="H1742" s="8" t="s">
        <v>13</v>
      </c>
      <c r="I1742" s="4" t="s">
        <v>3367</v>
      </c>
      <c r="J1742" s="4" t="s">
        <v>14</v>
      </c>
      <c r="K1742" s="4"/>
      <c r="L1742" s="8" t="s">
        <v>12</v>
      </c>
      <c r="M1742" s="7"/>
      <c r="N1742" s="7"/>
      <c r="O1742" s="7"/>
    </row>
    <row r="1743" spans="1:15" ht="12.75" x14ac:dyDescent="0.2">
      <c r="A1743" s="6">
        <v>45875</v>
      </c>
      <c r="B1743" s="11">
        <f>+MONTH(A1743)</f>
        <v>8</v>
      </c>
      <c r="C1743" s="11">
        <f>+WEEKNUM(A1743)</f>
        <v>32</v>
      </c>
      <c r="D1743" s="4" t="s">
        <v>418</v>
      </c>
      <c r="E1743" s="4" t="s">
        <v>419</v>
      </c>
      <c r="F1743" s="4">
        <v>573013129220</v>
      </c>
      <c r="G1743" s="4">
        <v>65987</v>
      </c>
      <c r="H1743" s="8"/>
      <c r="I1743" s="4"/>
      <c r="J1743" s="4"/>
      <c r="K1743" s="4"/>
      <c r="L1743" s="8"/>
      <c r="M1743" s="7"/>
      <c r="N1743" s="7"/>
      <c r="O1743" s="7"/>
    </row>
    <row r="1744" spans="1:15" ht="12.75" x14ac:dyDescent="0.2">
      <c r="A1744" s="6">
        <v>45875</v>
      </c>
      <c r="B1744" s="11">
        <f>+MONTH(A1744)</f>
        <v>8</v>
      </c>
      <c r="C1744" s="11">
        <f>+WEEKNUM(A1744)</f>
        <v>32</v>
      </c>
      <c r="D1744" s="4" t="s">
        <v>286</v>
      </c>
      <c r="E1744" s="4" t="s">
        <v>417</v>
      </c>
      <c r="F1744" s="4">
        <v>573107059203</v>
      </c>
      <c r="G1744" s="4">
        <v>65405</v>
      </c>
      <c r="H1744" s="8"/>
      <c r="I1744" s="4"/>
      <c r="J1744" s="4"/>
      <c r="K1744" s="4"/>
      <c r="L1744" s="8"/>
      <c r="M1744" s="7"/>
      <c r="N1744" s="7"/>
      <c r="O1744" s="7"/>
    </row>
    <row r="1745" spans="1:15" ht="12.75" x14ac:dyDescent="0.2">
      <c r="A1745" s="6">
        <v>45875</v>
      </c>
      <c r="B1745" s="11">
        <f>+MONTH(A1745)</f>
        <v>8</v>
      </c>
      <c r="C1745" s="11">
        <f>+WEEKNUM(A1745)</f>
        <v>32</v>
      </c>
      <c r="D1745" s="4" t="s">
        <v>415</v>
      </c>
      <c r="E1745" s="4" t="s">
        <v>416</v>
      </c>
      <c r="F1745" s="4">
        <v>573016235165</v>
      </c>
      <c r="G1745" s="4">
        <v>66138</v>
      </c>
      <c r="H1745" s="8"/>
      <c r="I1745" s="4"/>
      <c r="J1745" s="4"/>
      <c r="K1745" s="4"/>
      <c r="L1745" s="8"/>
      <c r="M1745" s="7"/>
      <c r="N1745" s="7"/>
      <c r="O1745" s="7"/>
    </row>
    <row r="1746" spans="1:15" ht="12.75" x14ac:dyDescent="0.2">
      <c r="A1746" s="6">
        <v>45875</v>
      </c>
      <c r="B1746" s="11">
        <f>+MONTH(A1746)</f>
        <v>8</v>
      </c>
      <c r="C1746" s="11">
        <f>+WEEKNUM(A1746)</f>
        <v>32</v>
      </c>
      <c r="D1746" s="4" t="s">
        <v>413</v>
      </c>
      <c r="E1746" s="4" t="s">
        <v>414</v>
      </c>
      <c r="F1746" s="4">
        <v>573214961269</v>
      </c>
      <c r="G1746" s="4">
        <v>65916</v>
      </c>
      <c r="H1746" s="8"/>
      <c r="I1746" s="4"/>
      <c r="J1746" s="4"/>
      <c r="K1746" s="4"/>
      <c r="L1746" s="8"/>
      <c r="M1746" s="7"/>
      <c r="N1746" s="7"/>
      <c r="O1746" s="7"/>
    </row>
    <row r="1747" spans="1:15" ht="255" x14ac:dyDescent="0.2">
      <c r="A1747" s="6">
        <v>45875</v>
      </c>
      <c r="B1747" s="11">
        <f>+MONTH(A1747)</f>
        <v>8</v>
      </c>
      <c r="C1747" s="11">
        <f>+WEEKNUM(A1747)</f>
        <v>32</v>
      </c>
      <c r="D1747" s="4" t="s">
        <v>293</v>
      </c>
      <c r="E1747" s="4" t="s">
        <v>411</v>
      </c>
      <c r="F1747" s="4">
        <v>573114990888</v>
      </c>
      <c r="G1747" s="4">
        <v>65578</v>
      </c>
      <c r="H1747" s="8" t="s">
        <v>13</v>
      </c>
      <c r="I1747" s="4" t="s">
        <v>3342</v>
      </c>
      <c r="J1747" s="5" t="s">
        <v>412</v>
      </c>
      <c r="K1747" s="4"/>
      <c r="L1747" s="8" t="s">
        <v>12</v>
      </c>
      <c r="M1747" s="7"/>
      <c r="N1747" s="7"/>
      <c r="O1747" s="7"/>
    </row>
    <row r="1748" spans="1:15" ht="229.5" x14ac:dyDescent="0.2">
      <c r="A1748" s="6">
        <v>45875</v>
      </c>
      <c r="B1748" s="11">
        <f>+MONTH(A1748)</f>
        <v>8</v>
      </c>
      <c r="C1748" s="11">
        <f>+WEEKNUM(A1748)</f>
        <v>32</v>
      </c>
      <c r="D1748" s="4" t="s">
        <v>21</v>
      </c>
      <c r="E1748" s="4" t="s">
        <v>409</v>
      </c>
      <c r="F1748" s="4">
        <v>573222167223</v>
      </c>
      <c r="G1748" s="4">
        <v>65853</v>
      </c>
      <c r="H1748" s="8" t="s">
        <v>13</v>
      </c>
      <c r="I1748" s="4" t="s">
        <v>410</v>
      </c>
      <c r="J1748" s="4"/>
      <c r="K1748" s="4"/>
      <c r="L1748" s="8" t="s">
        <v>22</v>
      </c>
      <c r="M1748" s="7"/>
      <c r="N1748" s="7"/>
      <c r="O1748" s="7"/>
    </row>
    <row r="1749" spans="1:15" ht="12.75" x14ac:dyDescent="0.2">
      <c r="A1749" s="6">
        <v>45875</v>
      </c>
      <c r="B1749" s="11">
        <f>+MONTH(A1749)</f>
        <v>8</v>
      </c>
      <c r="C1749" s="11">
        <f>+WEEKNUM(A1749)</f>
        <v>32</v>
      </c>
      <c r="D1749" s="4" t="s">
        <v>170</v>
      </c>
      <c r="E1749" s="4" t="s">
        <v>408</v>
      </c>
      <c r="F1749" s="4">
        <v>573166168106</v>
      </c>
      <c r="G1749" s="4">
        <v>65651</v>
      </c>
      <c r="H1749" s="8"/>
      <c r="I1749" s="4"/>
      <c r="J1749" s="4"/>
      <c r="K1749" s="4"/>
      <c r="L1749" s="8"/>
      <c r="M1749" s="7"/>
      <c r="N1749" s="7"/>
      <c r="O1749" s="7"/>
    </row>
    <row r="1750" spans="1:15" ht="12.75" x14ac:dyDescent="0.2">
      <c r="A1750" s="6">
        <v>45875</v>
      </c>
      <c r="B1750" s="11">
        <f>+MONTH(A1750)</f>
        <v>8</v>
      </c>
      <c r="C1750" s="11">
        <f>+WEEKNUM(A1750)</f>
        <v>32</v>
      </c>
      <c r="D1750" s="4" t="s">
        <v>192</v>
      </c>
      <c r="E1750" s="4" t="s">
        <v>407</v>
      </c>
      <c r="F1750" s="4">
        <v>573054141564</v>
      </c>
      <c r="G1750" s="4">
        <v>65954</v>
      </c>
      <c r="H1750" s="8"/>
      <c r="I1750" s="4"/>
      <c r="J1750" s="4"/>
      <c r="K1750" s="4"/>
      <c r="L1750" s="8"/>
      <c r="M1750" s="7"/>
      <c r="N1750" s="7"/>
      <c r="O1750" s="7"/>
    </row>
    <row r="1751" spans="1:15" ht="12.75" x14ac:dyDescent="0.2">
      <c r="A1751" s="6">
        <v>45875</v>
      </c>
      <c r="B1751" s="11">
        <f>+MONTH(A1751)</f>
        <v>8</v>
      </c>
      <c r="C1751" s="11">
        <f>+WEEKNUM(A1751)</f>
        <v>32</v>
      </c>
      <c r="D1751" s="4" t="s">
        <v>406</v>
      </c>
      <c r="E1751" s="4" t="s">
        <v>152</v>
      </c>
      <c r="F1751" s="4">
        <v>573112888672</v>
      </c>
      <c r="G1751" s="4">
        <v>66037</v>
      </c>
      <c r="H1751" s="8"/>
      <c r="I1751" s="4"/>
      <c r="J1751" s="4"/>
      <c r="K1751" s="4"/>
      <c r="L1751" s="8"/>
      <c r="M1751" s="7"/>
      <c r="N1751" s="7"/>
      <c r="O1751" s="7"/>
    </row>
    <row r="1752" spans="1:15" ht="12.75" x14ac:dyDescent="0.2">
      <c r="A1752" s="6">
        <v>45875</v>
      </c>
      <c r="B1752" s="11">
        <f>+MONTH(A1752)</f>
        <v>8</v>
      </c>
      <c r="C1752" s="11">
        <f>+WEEKNUM(A1752)</f>
        <v>32</v>
      </c>
      <c r="D1752" s="4" t="s">
        <v>404</v>
      </c>
      <c r="E1752" s="4" t="s">
        <v>405</v>
      </c>
      <c r="F1752" s="4">
        <v>573053502379</v>
      </c>
      <c r="G1752" s="4">
        <v>66108</v>
      </c>
      <c r="H1752" s="8"/>
      <c r="I1752" s="4"/>
      <c r="J1752" s="4"/>
      <c r="K1752" s="4"/>
      <c r="L1752" s="8"/>
      <c r="M1752" s="7"/>
      <c r="N1752" s="7"/>
      <c r="O1752" s="7"/>
    </row>
    <row r="1753" spans="1:15" ht="12.75" x14ac:dyDescent="0.2">
      <c r="A1753" s="6">
        <v>45875</v>
      </c>
      <c r="B1753" s="11">
        <f>+MONTH(A1753)</f>
        <v>8</v>
      </c>
      <c r="C1753" s="11">
        <f>+WEEKNUM(A1753)</f>
        <v>32</v>
      </c>
      <c r="D1753" s="4" t="s">
        <v>403</v>
      </c>
      <c r="E1753" s="4" t="s">
        <v>133</v>
      </c>
      <c r="F1753" s="4">
        <v>573203426990</v>
      </c>
      <c r="G1753" s="4">
        <v>65519</v>
      </c>
      <c r="H1753" s="8" t="s">
        <v>13</v>
      </c>
      <c r="I1753" s="4"/>
      <c r="J1753" s="4"/>
      <c r="K1753" s="4"/>
      <c r="L1753" s="8" t="s">
        <v>22</v>
      </c>
      <c r="M1753" s="7"/>
      <c r="N1753" s="7"/>
      <c r="O1753" s="7"/>
    </row>
    <row r="1754" spans="1:15" ht="12.75" x14ac:dyDescent="0.2">
      <c r="A1754" s="6">
        <v>45875</v>
      </c>
      <c r="B1754" s="11">
        <f>+MONTH(A1754)</f>
        <v>8</v>
      </c>
      <c r="C1754" s="11">
        <f>+WEEKNUM(A1754)</f>
        <v>32</v>
      </c>
      <c r="D1754" s="4" t="s">
        <v>33</v>
      </c>
      <c r="E1754" s="4" t="s">
        <v>117</v>
      </c>
      <c r="F1754" s="4">
        <v>573133333797</v>
      </c>
      <c r="G1754" s="4">
        <v>62953</v>
      </c>
      <c r="H1754" s="8"/>
      <c r="I1754" s="4"/>
      <c r="J1754" s="4"/>
      <c r="K1754" s="4"/>
      <c r="L1754" s="8"/>
      <c r="M1754" s="7"/>
      <c r="N1754" s="7"/>
      <c r="O1754" s="7"/>
    </row>
    <row r="1755" spans="1:15" ht="12.75" x14ac:dyDescent="0.2">
      <c r="A1755" s="6">
        <v>45874</v>
      </c>
      <c r="B1755" s="11">
        <f>+MONTH(A1755)</f>
        <v>8</v>
      </c>
      <c r="C1755" s="11">
        <f>+WEEKNUM(A1755)</f>
        <v>32</v>
      </c>
      <c r="D1755" s="4" t="s">
        <v>59</v>
      </c>
      <c r="E1755" s="4" t="s">
        <v>245</v>
      </c>
      <c r="F1755" s="4">
        <v>573176551044</v>
      </c>
      <c r="G1755" s="4">
        <v>66019</v>
      </c>
      <c r="H1755" s="8"/>
      <c r="I1755" s="4"/>
      <c r="J1755" s="4"/>
      <c r="K1755" s="4"/>
      <c r="L1755" s="8"/>
      <c r="M1755" s="7"/>
      <c r="N1755" s="7"/>
      <c r="O1755" s="7"/>
    </row>
    <row r="1756" spans="1:15" ht="25.5" x14ac:dyDescent="0.2">
      <c r="A1756" s="6">
        <v>45874</v>
      </c>
      <c r="B1756" s="11">
        <f>+MONTH(A1756)</f>
        <v>8</v>
      </c>
      <c r="C1756" s="11">
        <f>+WEEKNUM(A1756)</f>
        <v>32</v>
      </c>
      <c r="D1756" s="4" t="s">
        <v>401</v>
      </c>
      <c r="E1756" s="4" t="s">
        <v>402</v>
      </c>
      <c r="F1756" s="4">
        <v>573116074293</v>
      </c>
      <c r="G1756" s="4">
        <v>66048</v>
      </c>
      <c r="H1756" s="8"/>
      <c r="I1756" s="4"/>
      <c r="J1756" s="4"/>
      <c r="K1756" s="4"/>
      <c r="L1756" s="8"/>
      <c r="M1756" s="7"/>
      <c r="N1756" s="7"/>
      <c r="O1756" s="7"/>
    </row>
    <row r="1757" spans="1:15" ht="51" x14ac:dyDescent="0.2">
      <c r="A1757" s="6">
        <v>45874</v>
      </c>
      <c r="B1757" s="11">
        <f>+MONTH(A1757)</f>
        <v>8</v>
      </c>
      <c r="C1757" s="11">
        <f>+WEEKNUM(A1757)</f>
        <v>32</v>
      </c>
      <c r="D1757" s="4" t="s">
        <v>398</v>
      </c>
      <c r="E1757" s="4" t="s">
        <v>399</v>
      </c>
      <c r="F1757" s="4">
        <v>573158544216</v>
      </c>
      <c r="G1757" s="4">
        <v>65982</v>
      </c>
      <c r="H1757" s="8" t="s">
        <v>13</v>
      </c>
      <c r="I1757" s="4" t="s">
        <v>400</v>
      </c>
      <c r="J1757" s="4" t="s">
        <v>23</v>
      </c>
      <c r="K1757" s="4"/>
      <c r="L1757" s="8" t="s">
        <v>12</v>
      </c>
      <c r="M1757" s="7"/>
      <c r="N1757" s="7"/>
      <c r="O1757" s="7"/>
    </row>
    <row r="1758" spans="1:15" ht="25.5" x14ac:dyDescent="0.2">
      <c r="A1758" s="6">
        <v>45874</v>
      </c>
      <c r="B1758" s="11">
        <f>+MONTH(A1758)</f>
        <v>8</v>
      </c>
      <c r="C1758" s="11">
        <f>+WEEKNUM(A1758)</f>
        <v>32</v>
      </c>
      <c r="D1758" s="4" t="s">
        <v>396</v>
      </c>
      <c r="E1758" s="4" t="s">
        <v>397</v>
      </c>
      <c r="F1758" s="4">
        <v>573013398579</v>
      </c>
      <c r="G1758" s="4">
        <v>66004</v>
      </c>
      <c r="H1758" s="8"/>
      <c r="I1758" s="4"/>
      <c r="J1758" s="4"/>
      <c r="K1758" s="4"/>
      <c r="L1758" s="8"/>
      <c r="M1758" s="7"/>
      <c r="N1758" s="7"/>
      <c r="O1758" s="7"/>
    </row>
    <row r="1759" spans="1:15" ht="12.75" x14ac:dyDescent="0.2">
      <c r="A1759" s="6">
        <v>45874</v>
      </c>
      <c r="B1759" s="11">
        <f>+MONTH(A1759)</f>
        <v>8</v>
      </c>
      <c r="C1759" s="11">
        <f>+WEEKNUM(A1759)</f>
        <v>32</v>
      </c>
      <c r="D1759" s="4" t="s">
        <v>170</v>
      </c>
      <c r="E1759" s="4" t="s">
        <v>395</v>
      </c>
      <c r="F1759" s="4">
        <v>573103494918</v>
      </c>
      <c r="G1759" s="4">
        <v>64908</v>
      </c>
      <c r="H1759" s="8"/>
      <c r="I1759" s="4"/>
      <c r="J1759" s="4"/>
      <c r="K1759" s="4"/>
      <c r="L1759" s="8"/>
      <c r="M1759" s="7"/>
      <c r="N1759" s="7"/>
      <c r="O1759" s="7"/>
    </row>
    <row r="1760" spans="1:15" ht="12.75" x14ac:dyDescent="0.2">
      <c r="A1760" s="6">
        <v>45874</v>
      </c>
      <c r="B1760" s="11">
        <f>+MONTH(A1760)</f>
        <v>8</v>
      </c>
      <c r="C1760" s="11">
        <f>+WEEKNUM(A1760)</f>
        <v>32</v>
      </c>
      <c r="D1760" s="4" t="s">
        <v>214</v>
      </c>
      <c r="E1760" s="4" t="s">
        <v>394</v>
      </c>
      <c r="F1760" s="4">
        <v>573124261689</v>
      </c>
      <c r="G1760" s="4">
        <v>65598</v>
      </c>
      <c r="H1760" s="8"/>
      <c r="I1760" s="4"/>
      <c r="J1760" s="4"/>
      <c r="K1760" s="4"/>
      <c r="L1760" s="8"/>
      <c r="M1760" s="7"/>
      <c r="N1760" s="7"/>
      <c r="O1760" s="7"/>
    </row>
    <row r="1761" spans="1:15" ht="12.75" x14ac:dyDescent="0.2">
      <c r="A1761" s="6">
        <v>45874</v>
      </c>
      <c r="B1761" s="11">
        <f>+MONTH(A1761)</f>
        <v>8</v>
      </c>
      <c r="C1761" s="11">
        <f>+WEEKNUM(A1761)</f>
        <v>32</v>
      </c>
      <c r="D1761" s="4" t="s">
        <v>56</v>
      </c>
      <c r="E1761" s="4" t="s">
        <v>210</v>
      </c>
      <c r="F1761" s="4">
        <v>573004736726</v>
      </c>
      <c r="G1761" s="4">
        <v>64311</v>
      </c>
      <c r="H1761" s="8" t="s">
        <v>13</v>
      </c>
      <c r="I1761" s="4"/>
      <c r="J1761" s="4"/>
      <c r="K1761" s="4"/>
      <c r="L1761" s="8" t="s">
        <v>12</v>
      </c>
      <c r="M1761" s="7"/>
      <c r="N1761" s="7"/>
      <c r="O1761" s="7"/>
    </row>
    <row r="1762" spans="1:15" ht="12.75" x14ac:dyDescent="0.2">
      <c r="A1762" s="6">
        <v>45874</v>
      </c>
      <c r="B1762" s="11">
        <f>+MONTH(A1762)</f>
        <v>8</v>
      </c>
      <c r="C1762" s="11">
        <f>+WEEKNUM(A1762)</f>
        <v>32</v>
      </c>
      <c r="D1762" s="4" t="s">
        <v>56</v>
      </c>
      <c r="E1762" s="4" t="s">
        <v>210</v>
      </c>
      <c r="F1762" s="4">
        <v>573004736726</v>
      </c>
      <c r="G1762" s="4">
        <v>64311</v>
      </c>
      <c r="H1762" s="8" t="s">
        <v>13</v>
      </c>
      <c r="I1762" s="4"/>
      <c r="J1762" s="4"/>
      <c r="K1762" s="4"/>
      <c r="L1762" s="8" t="s">
        <v>12</v>
      </c>
      <c r="M1762" s="7"/>
      <c r="N1762" s="7"/>
      <c r="O1762" s="7"/>
    </row>
    <row r="1763" spans="1:15" ht="12.75" x14ac:dyDescent="0.2">
      <c r="A1763" s="6">
        <v>45874</v>
      </c>
      <c r="B1763" s="11">
        <f>+MONTH(A1763)</f>
        <v>8</v>
      </c>
      <c r="C1763" s="11">
        <f>+WEEKNUM(A1763)</f>
        <v>32</v>
      </c>
      <c r="D1763" s="4" t="s">
        <v>33</v>
      </c>
      <c r="E1763" s="4" t="s">
        <v>393</v>
      </c>
      <c r="F1763" s="4">
        <v>573162271077</v>
      </c>
      <c r="G1763" s="4">
        <v>66012</v>
      </c>
      <c r="H1763" s="8"/>
      <c r="I1763" s="4"/>
      <c r="J1763" s="4"/>
      <c r="K1763" s="4"/>
      <c r="L1763" s="8"/>
      <c r="M1763" s="7"/>
      <c r="N1763" s="7"/>
      <c r="O1763" s="7"/>
    </row>
    <row r="1764" spans="1:15" ht="12.75" x14ac:dyDescent="0.2">
      <c r="A1764" s="6">
        <v>45874</v>
      </c>
      <c r="B1764" s="11">
        <f>+MONTH(A1764)</f>
        <v>8</v>
      </c>
      <c r="C1764" s="11">
        <f>+WEEKNUM(A1764)</f>
        <v>32</v>
      </c>
      <c r="D1764" s="4" t="s">
        <v>169</v>
      </c>
      <c r="E1764" s="4" t="s">
        <v>392</v>
      </c>
      <c r="F1764" s="4">
        <v>573208550382</v>
      </c>
      <c r="G1764" s="4">
        <v>65894</v>
      </c>
      <c r="H1764" s="8"/>
      <c r="I1764" s="4"/>
      <c r="J1764" s="4"/>
      <c r="K1764" s="4"/>
      <c r="L1764" s="8"/>
      <c r="M1764" s="7"/>
      <c r="N1764" s="7"/>
      <c r="O1764" s="7"/>
    </row>
    <row r="1765" spans="1:15" ht="127.5" x14ac:dyDescent="0.2">
      <c r="A1765" s="6">
        <v>45874</v>
      </c>
      <c r="B1765" s="11">
        <f>+MONTH(A1765)</f>
        <v>8</v>
      </c>
      <c r="C1765" s="11">
        <f>+WEEKNUM(A1765)</f>
        <v>32</v>
      </c>
      <c r="D1765" s="4" t="s">
        <v>389</v>
      </c>
      <c r="E1765" s="4" t="s">
        <v>390</v>
      </c>
      <c r="F1765" s="4">
        <v>573203202609</v>
      </c>
      <c r="G1765" s="4">
        <v>65938</v>
      </c>
      <c r="H1765" s="8" t="s">
        <v>13</v>
      </c>
      <c r="I1765" s="4" t="s">
        <v>3368</v>
      </c>
      <c r="J1765" s="5" t="s">
        <v>391</v>
      </c>
      <c r="K1765" s="4"/>
      <c r="L1765" s="8" t="s">
        <v>12</v>
      </c>
      <c r="M1765" s="7"/>
      <c r="N1765" s="7"/>
      <c r="O1765" s="7"/>
    </row>
    <row r="1766" spans="1:15" ht="12.75" x14ac:dyDescent="0.2">
      <c r="A1766" s="6">
        <v>45874</v>
      </c>
      <c r="B1766" s="11">
        <f>+MONTH(A1766)</f>
        <v>8</v>
      </c>
      <c r="C1766" s="11">
        <f>+WEEKNUM(A1766)</f>
        <v>32</v>
      </c>
      <c r="D1766" s="4" t="s">
        <v>108</v>
      </c>
      <c r="E1766" s="4" t="s">
        <v>388</v>
      </c>
      <c r="F1766" s="4">
        <v>573212236646</v>
      </c>
      <c r="G1766" s="4">
        <v>65690</v>
      </c>
      <c r="H1766" s="8"/>
      <c r="I1766" s="4"/>
      <c r="J1766" s="4"/>
      <c r="K1766" s="4"/>
      <c r="L1766" s="8"/>
      <c r="M1766" s="7"/>
      <c r="N1766" s="7"/>
      <c r="O1766" s="7"/>
    </row>
    <row r="1767" spans="1:15" ht="12.75" x14ac:dyDescent="0.2">
      <c r="A1767" s="6">
        <v>45873</v>
      </c>
      <c r="B1767" s="11">
        <f>+MONTH(A1767)</f>
        <v>8</v>
      </c>
      <c r="C1767" s="11">
        <f>+WEEKNUM(A1767)</f>
        <v>32</v>
      </c>
      <c r="D1767" s="4" t="s">
        <v>89</v>
      </c>
      <c r="E1767" s="4" t="s">
        <v>387</v>
      </c>
      <c r="F1767" s="4">
        <v>573054482109</v>
      </c>
      <c r="G1767" s="4">
        <v>64880</v>
      </c>
      <c r="H1767" s="8"/>
      <c r="I1767" s="4"/>
      <c r="J1767" s="4"/>
      <c r="K1767" s="4"/>
      <c r="L1767" s="8"/>
      <c r="M1767" s="7"/>
      <c r="N1767" s="7"/>
      <c r="O1767" s="7"/>
    </row>
    <row r="1768" spans="1:15" ht="12.75" x14ac:dyDescent="0.2">
      <c r="A1768" s="6">
        <v>45873</v>
      </c>
      <c r="B1768" s="11">
        <f>+MONTH(A1768)</f>
        <v>8</v>
      </c>
      <c r="C1768" s="11">
        <f>+WEEKNUM(A1768)</f>
        <v>32</v>
      </c>
      <c r="D1768" s="4" t="s">
        <v>60</v>
      </c>
      <c r="E1768" s="4" t="s">
        <v>386</v>
      </c>
      <c r="F1768" s="4">
        <v>573208860442</v>
      </c>
      <c r="G1768" s="4">
        <v>65566</v>
      </c>
      <c r="H1768" s="8"/>
      <c r="I1768" s="4"/>
      <c r="J1768" s="4"/>
      <c r="K1768" s="4"/>
      <c r="L1768" s="8"/>
      <c r="M1768" s="7"/>
      <c r="N1768" s="7"/>
      <c r="O1768" s="7"/>
    </row>
    <row r="1769" spans="1:15" ht="12.75" x14ac:dyDescent="0.2">
      <c r="A1769" s="6">
        <v>45873</v>
      </c>
      <c r="B1769" s="11">
        <f>+MONTH(A1769)</f>
        <v>8</v>
      </c>
      <c r="C1769" s="11">
        <f>+WEEKNUM(A1769)</f>
        <v>32</v>
      </c>
      <c r="D1769" s="4" t="s">
        <v>33</v>
      </c>
      <c r="E1769" s="4" t="s">
        <v>385</v>
      </c>
      <c r="F1769" s="4">
        <v>573227087450</v>
      </c>
      <c r="G1769" s="4">
        <v>65927</v>
      </c>
      <c r="H1769" s="8"/>
      <c r="I1769" s="4"/>
      <c r="J1769" s="4"/>
      <c r="K1769" s="4"/>
      <c r="L1769" s="8"/>
      <c r="M1769" s="7"/>
      <c r="N1769" s="7"/>
      <c r="O1769" s="7"/>
    </row>
    <row r="1770" spans="1:15" ht="25.5" x14ac:dyDescent="0.2">
      <c r="A1770" s="6">
        <v>45873</v>
      </c>
      <c r="B1770" s="11">
        <f>+MONTH(A1770)</f>
        <v>8</v>
      </c>
      <c r="C1770" s="11">
        <f>+WEEKNUM(A1770)</f>
        <v>32</v>
      </c>
      <c r="D1770" s="4" t="s">
        <v>383</v>
      </c>
      <c r="E1770" s="4" t="s">
        <v>384</v>
      </c>
      <c r="F1770" s="4">
        <v>573162653802</v>
      </c>
      <c r="G1770" s="4">
        <v>62657</v>
      </c>
      <c r="H1770" s="8"/>
      <c r="I1770" s="4"/>
      <c r="J1770" s="4"/>
      <c r="K1770" s="4"/>
      <c r="L1770" s="8"/>
      <c r="M1770" s="7"/>
      <c r="N1770" s="7"/>
      <c r="O1770" s="7"/>
    </row>
    <row r="1771" spans="1:15" ht="12.75" x14ac:dyDescent="0.2">
      <c r="A1771" s="6">
        <v>45873</v>
      </c>
      <c r="B1771" s="11">
        <f>+MONTH(A1771)</f>
        <v>8</v>
      </c>
      <c r="C1771" s="11">
        <f>+WEEKNUM(A1771)</f>
        <v>32</v>
      </c>
      <c r="D1771" s="4" t="s">
        <v>206</v>
      </c>
      <c r="E1771" s="4" t="s">
        <v>382</v>
      </c>
      <c r="F1771" s="4">
        <v>573015692042</v>
      </c>
      <c r="G1771" s="4">
        <v>65879</v>
      </c>
      <c r="H1771" s="8"/>
      <c r="I1771" s="4"/>
      <c r="J1771" s="4"/>
      <c r="K1771" s="4"/>
      <c r="L1771" s="8"/>
      <c r="M1771" s="7"/>
      <c r="N1771" s="7"/>
      <c r="O1771" s="7"/>
    </row>
    <row r="1772" spans="1:15" ht="38.25" x14ac:dyDescent="0.2">
      <c r="A1772" s="6">
        <v>45873</v>
      </c>
      <c r="B1772" s="11">
        <f>+MONTH(A1772)</f>
        <v>8</v>
      </c>
      <c r="C1772" s="11">
        <f>+WEEKNUM(A1772)</f>
        <v>32</v>
      </c>
      <c r="D1772" s="4" t="s">
        <v>135</v>
      </c>
      <c r="E1772" s="4" t="s">
        <v>380</v>
      </c>
      <c r="F1772" s="4">
        <v>573107573329</v>
      </c>
      <c r="G1772" s="4">
        <v>65692</v>
      </c>
      <c r="H1772" s="8" t="s">
        <v>13</v>
      </c>
      <c r="I1772" s="4" t="s">
        <v>64</v>
      </c>
      <c r="J1772" s="5" t="s">
        <v>381</v>
      </c>
      <c r="K1772" s="4"/>
      <c r="L1772" s="8" t="s">
        <v>12</v>
      </c>
      <c r="M1772" s="7"/>
      <c r="N1772" s="7"/>
      <c r="O1772" s="7"/>
    </row>
    <row r="1773" spans="1:15" ht="25.5" x14ac:dyDescent="0.2">
      <c r="A1773" s="6">
        <v>45873</v>
      </c>
      <c r="B1773" s="11">
        <f>+MONTH(A1773)</f>
        <v>8</v>
      </c>
      <c r="C1773" s="11">
        <f>+WEEKNUM(A1773)</f>
        <v>32</v>
      </c>
      <c r="D1773" s="4" t="s">
        <v>378</v>
      </c>
      <c r="E1773" s="4" t="s">
        <v>379</v>
      </c>
      <c r="F1773" s="4">
        <v>573117294144</v>
      </c>
      <c r="G1773" s="4">
        <v>65877</v>
      </c>
      <c r="H1773" s="8"/>
      <c r="I1773" s="4"/>
      <c r="J1773" s="4"/>
      <c r="K1773" s="4"/>
      <c r="L1773" s="8"/>
      <c r="M1773" s="7"/>
      <c r="N1773" s="7"/>
      <c r="O1773" s="7"/>
    </row>
    <row r="1774" spans="1:15" ht="12.75" x14ac:dyDescent="0.2">
      <c r="A1774" s="6">
        <v>45873</v>
      </c>
      <c r="B1774" s="11">
        <f>+MONTH(A1774)</f>
        <v>8</v>
      </c>
      <c r="C1774" s="11">
        <f>+WEEKNUM(A1774)</f>
        <v>32</v>
      </c>
      <c r="D1774" s="4" t="s">
        <v>273</v>
      </c>
      <c r="E1774" s="4" t="s">
        <v>377</v>
      </c>
      <c r="F1774" s="4">
        <v>573212011025</v>
      </c>
      <c r="G1774" s="4">
        <v>65280</v>
      </c>
      <c r="H1774" s="8"/>
      <c r="I1774" s="4"/>
      <c r="J1774" s="4"/>
      <c r="K1774" s="4"/>
      <c r="L1774" s="8"/>
      <c r="M1774" s="7"/>
      <c r="N1774" s="7"/>
      <c r="O1774" s="7"/>
    </row>
    <row r="1775" spans="1:15" ht="12.75" x14ac:dyDescent="0.2">
      <c r="A1775" s="6">
        <v>45873</v>
      </c>
      <c r="B1775" s="11">
        <f>+MONTH(A1775)</f>
        <v>8</v>
      </c>
      <c r="C1775" s="11">
        <f>+WEEKNUM(A1775)</f>
        <v>32</v>
      </c>
      <c r="D1775" s="4" t="s">
        <v>53</v>
      </c>
      <c r="E1775" s="4" t="s">
        <v>376</v>
      </c>
      <c r="F1775" s="4">
        <v>573122342153</v>
      </c>
      <c r="G1775" s="4">
        <v>65860</v>
      </c>
      <c r="H1775" s="8" t="s">
        <v>22</v>
      </c>
      <c r="I1775" s="4"/>
      <c r="J1775" s="4"/>
      <c r="K1775" s="4"/>
      <c r="L1775" s="8" t="s">
        <v>22</v>
      </c>
      <c r="M1775" s="7"/>
      <c r="N1775" s="7"/>
      <c r="O1775" s="7"/>
    </row>
    <row r="1776" spans="1:15" ht="102" x14ac:dyDescent="0.2">
      <c r="A1776" s="6">
        <v>45873</v>
      </c>
      <c r="B1776" s="11">
        <f>+MONTH(A1776)</f>
        <v>8</v>
      </c>
      <c r="C1776" s="11">
        <f>+WEEKNUM(A1776)</f>
        <v>32</v>
      </c>
      <c r="D1776" s="4" t="s">
        <v>374</v>
      </c>
      <c r="E1776" s="4" t="s">
        <v>375</v>
      </c>
      <c r="F1776" s="4">
        <v>573043227709</v>
      </c>
      <c r="G1776" s="4">
        <v>63844</v>
      </c>
      <c r="H1776" s="8" t="s">
        <v>13</v>
      </c>
      <c r="I1776" s="4" t="s">
        <v>3343</v>
      </c>
      <c r="J1776" s="4" t="s">
        <v>14</v>
      </c>
      <c r="K1776" s="4"/>
      <c r="L1776" s="8" t="s">
        <v>12</v>
      </c>
      <c r="M1776" s="7"/>
      <c r="N1776" s="7"/>
      <c r="O1776" s="7"/>
    </row>
    <row r="1777" spans="1:15" ht="12.75" x14ac:dyDescent="0.2">
      <c r="A1777" s="6">
        <v>45873</v>
      </c>
      <c r="B1777" s="11">
        <f>+MONTH(A1777)</f>
        <v>8</v>
      </c>
      <c r="C1777" s="11">
        <f>+WEEKNUM(A1777)</f>
        <v>32</v>
      </c>
      <c r="D1777" s="4" t="s">
        <v>136</v>
      </c>
      <c r="E1777" s="4" t="s">
        <v>373</v>
      </c>
      <c r="F1777" s="4">
        <v>573057751635</v>
      </c>
      <c r="G1777" s="4">
        <v>65852</v>
      </c>
      <c r="H1777" s="8"/>
      <c r="I1777" s="4"/>
      <c r="J1777" s="4"/>
      <c r="K1777" s="4"/>
      <c r="L1777" s="8"/>
      <c r="M1777" s="7"/>
      <c r="N1777" s="7"/>
      <c r="O1777" s="7"/>
    </row>
    <row r="1778" spans="1:15" ht="12.75" x14ac:dyDescent="0.2">
      <c r="A1778" s="6">
        <v>45873</v>
      </c>
      <c r="B1778" s="11">
        <f>+MONTH(A1778)</f>
        <v>8</v>
      </c>
      <c r="C1778" s="11">
        <f>+WEEKNUM(A1778)</f>
        <v>32</v>
      </c>
      <c r="D1778" s="4" t="s">
        <v>371</v>
      </c>
      <c r="E1778" s="4" t="s">
        <v>372</v>
      </c>
      <c r="F1778" s="4">
        <v>573125276939</v>
      </c>
      <c r="G1778" s="4">
        <v>65246</v>
      </c>
      <c r="H1778" s="8"/>
      <c r="I1778" s="4"/>
      <c r="J1778" s="4"/>
      <c r="K1778" s="4"/>
      <c r="L1778" s="8"/>
      <c r="M1778" s="7"/>
      <c r="N1778" s="7"/>
      <c r="O1778" s="7"/>
    </row>
    <row r="1779" spans="1:15" ht="12.75" x14ac:dyDescent="0.2">
      <c r="A1779" s="6">
        <v>45873</v>
      </c>
      <c r="B1779" s="11">
        <f>+MONTH(A1779)</f>
        <v>8</v>
      </c>
      <c r="C1779" s="11">
        <f>+WEEKNUM(A1779)</f>
        <v>32</v>
      </c>
      <c r="D1779" s="4" t="s">
        <v>370</v>
      </c>
      <c r="E1779" s="4" t="s">
        <v>216</v>
      </c>
      <c r="F1779" s="4">
        <v>573185242382</v>
      </c>
      <c r="G1779" s="4">
        <v>65883</v>
      </c>
      <c r="H1779" s="8"/>
      <c r="I1779" s="4"/>
      <c r="J1779" s="4"/>
      <c r="K1779" s="4"/>
      <c r="L1779" s="8"/>
      <c r="M1779" s="7"/>
      <c r="N1779" s="7"/>
      <c r="O1779" s="7"/>
    </row>
    <row r="1780" spans="1:15" ht="25.5" x14ac:dyDescent="0.2">
      <c r="A1780" s="6">
        <v>45873</v>
      </c>
      <c r="B1780" s="11">
        <f>+MONTH(A1780)</f>
        <v>8</v>
      </c>
      <c r="C1780" s="11">
        <f>+WEEKNUM(A1780)</f>
        <v>32</v>
      </c>
      <c r="D1780" s="4" t="s">
        <v>368</v>
      </c>
      <c r="E1780" s="4" t="s">
        <v>369</v>
      </c>
      <c r="F1780" s="4">
        <v>573214877766</v>
      </c>
      <c r="G1780" s="4">
        <v>65836</v>
      </c>
      <c r="H1780" s="8"/>
      <c r="I1780" s="4"/>
      <c r="J1780" s="4"/>
      <c r="K1780" s="4"/>
      <c r="L1780" s="8"/>
      <c r="M1780" s="7"/>
      <c r="N1780" s="7"/>
      <c r="O1780" s="7"/>
    </row>
    <row r="1781" spans="1:15" ht="38.25" x14ac:dyDescent="0.2">
      <c r="A1781" s="6">
        <v>45873</v>
      </c>
      <c r="B1781" s="11">
        <f>+MONTH(A1781)</f>
        <v>8</v>
      </c>
      <c r="C1781" s="11">
        <f>+WEEKNUM(A1781)</f>
        <v>32</v>
      </c>
      <c r="D1781" s="4" t="s">
        <v>365</v>
      </c>
      <c r="E1781" s="4" t="s">
        <v>366</v>
      </c>
      <c r="F1781" s="4">
        <v>573008594190</v>
      </c>
      <c r="G1781" s="4">
        <v>65839</v>
      </c>
      <c r="H1781" s="8" t="s">
        <v>13</v>
      </c>
      <c r="I1781" s="4" t="s">
        <v>367</v>
      </c>
      <c r="J1781" s="4" t="s">
        <v>14</v>
      </c>
      <c r="K1781" s="4"/>
      <c r="L1781" s="8" t="s">
        <v>12</v>
      </c>
      <c r="M1781" s="7"/>
      <c r="N1781" s="7"/>
      <c r="O1781" s="7"/>
    </row>
    <row r="1782" spans="1:15" ht="216.75" x14ac:dyDescent="0.2">
      <c r="A1782" s="6">
        <v>45873</v>
      </c>
      <c r="B1782" s="11">
        <f>+MONTH(A1782)</f>
        <v>8</v>
      </c>
      <c r="C1782" s="11">
        <f>+WEEKNUM(A1782)</f>
        <v>32</v>
      </c>
      <c r="D1782" s="4" t="s">
        <v>264</v>
      </c>
      <c r="E1782" s="4" t="s">
        <v>363</v>
      </c>
      <c r="F1782" s="4">
        <v>573208131940</v>
      </c>
      <c r="G1782" s="4">
        <v>65429</v>
      </c>
      <c r="H1782" s="8" t="s">
        <v>22</v>
      </c>
      <c r="I1782" s="4" t="s">
        <v>364</v>
      </c>
      <c r="J1782" s="4"/>
      <c r="K1782" s="4"/>
      <c r="L1782" s="8" t="s">
        <v>22</v>
      </c>
      <c r="M1782" s="7"/>
      <c r="N1782" s="7"/>
      <c r="O1782" s="7"/>
    </row>
    <row r="1783" spans="1:15" ht="25.5" x14ac:dyDescent="0.2">
      <c r="A1783" s="6">
        <v>45871</v>
      </c>
      <c r="B1783" s="11">
        <f>+MONTH(A1783)</f>
        <v>8</v>
      </c>
      <c r="C1783" s="11">
        <f>+WEEKNUM(A1783)</f>
        <v>31</v>
      </c>
      <c r="D1783" s="4" t="s">
        <v>361</v>
      </c>
      <c r="E1783" s="4" t="s">
        <v>362</v>
      </c>
      <c r="F1783" s="4">
        <v>573114724595</v>
      </c>
      <c r="G1783" s="4">
        <v>65822</v>
      </c>
      <c r="H1783" s="8"/>
      <c r="I1783" s="4"/>
      <c r="J1783" s="4"/>
      <c r="K1783" s="4"/>
      <c r="L1783" s="8"/>
      <c r="M1783" s="7"/>
      <c r="N1783" s="7"/>
      <c r="O1783" s="7"/>
    </row>
    <row r="1784" spans="1:15" ht="25.5" x14ac:dyDescent="0.2">
      <c r="A1784" s="6">
        <v>45871</v>
      </c>
      <c r="B1784" s="11">
        <f>+MONTH(A1784)</f>
        <v>8</v>
      </c>
      <c r="C1784" s="11">
        <f>+WEEKNUM(A1784)</f>
        <v>31</v>
      </c>
      <c r="D1784" s="4" t="s">
        <v>45</v>
      </c>
      <c r="E1784" s="4" t="s">
        <v>313</v>
      </c>
      <c r="F1784" s="4">
        <v>573014956741</v>
      </c>
      <c r="G1784" s="4">
        <v>64669</v>
      </c>
      <c r="H1784" s="8"/>
      <c r="I1784" s="4"/>
      <c r="J1784" s="4"/>
      <c r="K1784" s="4"/>
      <c r="L1784" s="8"/>
      <c r="M1784" s="7"/>
      <c r="N1784" s="7"/>
      <c r="O1784" s="7"/>
    </row>
    <row r="1785" spans="1:15" ht="12.75" x14ac:dyDescent="0.2">
      <c r="A1785" s="6">
        <v>45871</v>
      </c>
      <c r="B1785" s="11">
        <f>+MONTH(A1785)</f>
        <v>8</v>
      </c>
      <c r="C1785" s="11">
        <f>+WEEKNUM(A1785)</f>
        <v>31</v>
      </c>
      <c r="D1785" s="4" t="s">
        <v>360</v>
      </c>
      <c r="E1785" s="4" t="s">
        <v>99</v>
      </c>
      <c r="F1785" s="4">
        <v>573186296827</v>
      </c>
      <c r="G1785" s="4">
        <v>65446</v>
      </c>
      <c r="H1785" s="8"/>
      <c r="I1785" s="4"/>
      <c r="J1785" s="4"/>
      <c r="K1785" s="4"/>
      <c r="L1785" s="8"/>
      <c r="M1785" s="7"/>
      <c r="N1785" s="7"/>
      <c r="O1785" s="7"/>
    </row>
    <row r="1786" spans="1:15" ht="89.25" x14ac:dyDescent="0.2">
      <c r="A1786" s="6">
        <v>45871</v>
      </c>
      <c r="B1786" s="11">
        <f>+MONTH(A1786)</f>
        <v>8</v>
      </c>
      <c r="C1786" s="11">
        <f>+WEEKNUM(A1786)</f>
        <v>31</v>
      </c>
      <c r="D1786" s="4" t="s">
        <v>357</v>
      </c>
      <c r="E1786" s="4" t="s">
        <v>358</v>
      </c>
      <c r="F1786" s="4">
        <v>573213812680</v>
      </c>
      <c r="G1786" s="4">
        <v>65672</v>
      </c>
      <c r="H1786" s="8" t="s">
        <v>22</v>
      </c>
      <c r="I1786" s="4" t="s">
        <v>359</v>
      </c>
      <c r="J1786" s="4"/>
      <c r="K1786" s="4"/>
      <c r="L1786" s="8" t="s">
        <v>12</v>
      </c>
      <c r="M1786" s="7"/>
      <c r="N1786" s="7"/>
      <c r="O1786" s="7"/>
    </row>
    <row r="1787" spans="1:15" ht="12.75" x14ac:dyDescent="0.2">
      <c r="A1787" s="6">
        <v>45871</v>
      </c>
      <c r="B1787" s="11">
        <f>+MONTH(A1787)</f>
        <v>8</v>
      </c>
      <c r="C1787" s="11">
        <f>+WEEKNUM(A1787)</f>
        <v>31</v>
      </c>
      <c r="D1787" s="4" t="s">
        <v>355</v>
      </c>
      <c r="E1787" s="4" t="s">
        <v>356</v>
      </c>
      <c r="F1787" s="4">
        <v>573234390340</v>
      </c>
      <c r="G1787" s="4">
        <v>65800</v>
      </c>
      <c r="H1787" s="8"/>
      <c r="I1787" s="4"/>
      <c r="J1787" s="4"/>
      <c r="K1787" s="4"/>
      <c r="L1787" s="8"/>
      <c r="M1787" s="7"/>
      <c r="N1787" s="7"/>
      <c r="O1787" s="7"/>
    </row>
    <row r="1788" spans="1:15" ht="12.75" x14ac:dyDescent="0.2">
      <c r="A1788" s="6">
        <v>45870</v>
      </c>
      <c r="B1788" s="11">
        <f>+MONTH(A1788)</f>
        <v>8</v>
      </c>
      <c r="C1788" s="11">
        <f>+WEEKNUM(A1788)</f>
        <v>31</v>
      </c>
      <c r="D1788" s="4" t="s">
        <v>178</v>
      </c>
      <c r="E1788" s="4" t="s">
        <v>354</v>
      </c>
      <c r="F1788" s="4">
        <v>573118803658</v>
      </c>
      <c r="G1788" s="4">
        <v>65116</v>
      </c>
      <c r="H1788" s="8"/>
      <c r="I1788" s="4"/>
      <c r="J1788" s="4"/>
      <c r="K1788" s="4"/>
      <c r="L1788" s="8"/>
      <c r="M1788" s="7"/>
      <c r="N1788" s="7"/>
      <c r="O1788" s="7"/>
    </row>
    <row r="1789" spans="1:15" ht="12.75" x14ac:dyDescent="0.2">
      <c r="A1789" s="6">
        <v>45870</v>
      </c>
      <c r="B1789" s="11">
        <f>+MONTH(A1789)</f>
        <v>8</v>
      </c>
      <c r="C1789" s="11">
        <f>+WEEKNUM(A1789)</f>
        <v>31</v>
      </c>
      <c r="D1789" s="4" t="s">
        <v>351</v>
      </c>
      <c r="E1789" s="4" t="s">
        <v>352</v>
      </c>
      <c r="F1789" s="4">
        <v>573116991264</v>
      </c>
      <c r="G1789" s="4">
        <v>65740</v>
      </c>
      <c r="H1789" s="8" t="s">
        <v>13</v>
      </c>
      <c r="I1789" s="4" t="s">
        <v>353</v>
      </c>
      <c r="J1789" s="4" t="s">
        <v>14</v>
      </c>
      <c r="K1789" s="4"/>
      <c r="L1789" s="8" t="s">
        <v>12</v>
      </c>
      <c r="M1789" s="7"/>
      <c r="N1789" s="7"/>
      <c r="O1789" s="7"/>
    </row>
    <row r="1790" spans="1:15" ht="12.75" x14ac:dyDescent="0.2">
      <c r="A1790" s="6">
        <v>45870</v>
      </c>
      <c r="B1790" s="11">
        <f>+MONTH(A1790)</f>
        <v>8</v>
      </c>
      <c r="C1790" s="11">
        <f>+WEEKNUM(A1790)</f>
        <v>31</v>
      </c>
      <c r="D1790" s="4" t="s">
        <v>51</v>
      </c>
      <c r="E1790" s="4" t="s">
        <v>202</v>
      </c>
      <c r="F1790" s="4">
        <v>573125376168</v>
      </c>
      <c r="G1790" s="4">
        <v>64984</v>
      </c>
      <c r="H1790" s="8"/>
      <c r="I1790" s="4"/>
      <c r="J1790" s="4"/>
      <c r="K1790" s="4"/>
      <c r="L1790" s="8"/>
      <c r="M1790" s="7"/>
      <c r="N1790" s="7"/>
      <c r="O1790" s="7"/>
    </row>
    <row r="1791" spans="1:15" ht="12.75" x14ac:dyDescent="0.2">
      <c r="A1791" s="6">
        <v>45870</v>
      </c>
      <c r="B1791" s="11">
        <f>+MONTH(A1791)</f>
        <v>8</v>
      </c>
      <c r="C1791" s="11">
        <f>+WEEKNUM(A1791)</f>
        <v>31</v>
      </c>
      <c r="D1791" s="4" t="s">
        <v>349</v>
      </c>
      <c r="E1791" s="4" t="s">
        <v>350</v>
      </c>
      <c r="F1791" s="4">
        <v>573192372631</v>
      </c>
      <c r="G1791" s="4">
        <v>65677</v>
      </c>
      <c r="H1791" s="8"/>
      <c r="I1791" s="4"/>
      <c r="J1791" s="4"/>
      <c r="K1791" s="4"/>
      <c r="L1791" s="8"/>
      <c r="M1791" s="7"/>
      <c r="N1791" s="7"/>
      <c r="O1791" s="7"/>
    </row>
    <row r="1792" spans="1:15" ht="12.75" x14ac:dyDescent="0.2">
      <c r="A1792" s="6">
        <v>45870</v>
      </c>
      <c r="B1792" s="11">
        <f>+MONTH(A1792)</f>
        <v>8</v>
      </c>
      <c r="C1792" s="11">
        <f>+WEEKNUM(A1792)</f>
        <v>31</v>
      </c>
      <c r="D1792" s="4" t="s">
        <v>51</v>
      </c>
      <c r="E1792" s="4" t="s">
        <v>100</v>
      </c>
      <c r="F1792" s="4">
        <v>573122862921</v>
      </c>
      <c r="G1792" s="4">
        <v>58834</v>
      </c>
      <c r="H1792" s="8"/>
      <c r="I1792" s="4"/>
      <c r="J1792" s="4"/>
      <c r="K1792" s="4"/>
      <c r="L1792" s="8"/>
      <c r="M1792" s="7"/>
      <c r="N1792" s="7"/>
      <c r="O1792" s="7"/>
    </row>
    <row r="1793" spans="1:15" ht="25.5" x14ac:dyDescent="0.2">
      <c r="A1793" s="6">
        <v>45870</v>
      </c>
      <c r="B1793" s="11">
        <f>+MONTH(A1793)</f>
        <v>8</v>
      </c>
      <c r="C1793" s="11">
        <f>+WEEKNUM(A1793)</f>
        <v>31</v>
      </c>
      <c r="D1793" s="4" t="s">
        <v>347</v>
      </c>
      <c r="E1793" s="4" t="s">
        <v>348</v>
      </c>
      <c r="F1793" s="4">
        <v>573142094820</v>
      </c>
      <c r="G1793" s="4">
        <v>65693</v>
      </c>
      <c r="H1793" s="8"/>
      <c r="I1793" s="4"/>
      <c r="J1793" s="4"/>
      <c r="K1793" s="4"/>
      <c r="L1793" s="8"/>
      <c r="M1793" s="7"/>
      <c r="N1793" s="7"/>
      <c r="O1793" s="7"/>
    </row>
    <row r="1794" spans="1:15" ht="12.75" x14ac:dyDescent="0.2">
      <c r="A1794" s="6">
        <v>45870</v>
      </c>
      <c r="B1794" s="11">
        <f>+MONTH(A1794)</f>
        <v>8</v>
      </c>
      <c r="C1794" s="11">
        <f>+WEEKNUM(A1794)</f>
        <v>31</v>
      </c>
      <c r="D1794" s="4" t="s">
        <v>49</v>
      </c>
      <c r="E1794" s="4" t="s">
        <v>345</v>
      </c>
      <c r="F1794" s="4">
        <v>573166905629</v>
      </c>
      <c r="G1794" s="4">
        <v>65767</v>
      </c>
      <c r="H1794" s="8"/>
      <c r="I1794" s="4"/>
      <c r="J1794" s="4"/>
      <c r="K1794" s="4"/>
      <c r="L1794" s="8"/>
      <c r="M1794" s="7"/>
      <c r="N1794" s="7"/>
      <c r="O1794" s="7"/>
    </row>
    <row r="1795" spans="1:15" ht="25.5" x14ac:dyDescent="0.2">
      <c r="A1795" s="6">
        <v>45870</v>
      </c>
      <c r="B1795" s="11">
        <f>+MONTH(A1795)</f>
        <v>8</v>
      </c>
      <c r="C1795" s="11">
        <f>+WEEKNUM(A1795)</f>
        <v>31</v>
      </c>
      <c r="D1795" s="4" t="s">
        <v>118</v>
      </c>
      <c r="E1795" s="4" t="s">
        <v>346</v>
      </c>
      <c r="F1795" s="4">
        <v>573057057772</v>
      </c>
      <c r="G1795" s="4">
        <v>65768</v>
      </c>
      <c r="H1795" s="8"/>
      <c r="I1795" s="4"/>
      <c r="J1795" s="4"/>
      <c r="K1795" s="4"/>
      <c r="L1795" s="8"/>
      <c r="M1795" s="7"/>
      <c r="N1795" s="7"/>
      <c r="O1795" s="7"/>
    </row>
    <row r="1796" spans="1:15" ht="63.75" x14ac:dyDescent="0.2">
      <c r="A1796" s="6">
        <v>45870</v>
      </c>
      <c r="B1796" s="11">
        <f>+MONTH(A1796)</f>
        <v>8</v>
      </c>
      <c r="C1796" s="11">
        <f>+WEEKNUM(A1796)</f>
        <v>31</v>
      </c>
      <c r="D1796" s="4" t="s">
        <v>341</v>
      </c>
      <c r="E1796" s="4" t="s">
        <v>342</v>
      </c>
      <c r="F1796" s="4">
        <v>573242716522</v>
      </c>
      <c r="G1796" s="4">
        <v>65345</v>
      </c>
      <c r="H1796" s="8" t="s">
        <v>13</v>
      </c>
      <c r="I1796" s="4" t="s">
        <v>343</v>
      </c>
      <c r="J1796" s="5" t="s">
        <v>344</v>
      </c>
      <c r="K1796" s="4"/>
      <c r="L1796" s="8" t="s">
        <v>12</v>
      </c>
      <c r="M1796" s="7"/>
      <c r="N1796" s="7"/>
      <c r="O1796" s="7"/>
    </row>
    <row r="1797" spans="1:15" ht="51" x14ac:dyDescent="0.2">
      <c r="A1797" s="6">
        <v>45870</v>
      </c>
      <c r="B1797" s="11">
        <f>+MONTH(A1797)</f>
        <v>8</v>
      </c>
      <c r="C1797" s="11">
        <f>+WEEKNUM(A1797)</f>
        <v>31</v>
      </c>
      <c r="D1797" s="4" t="s">
        <v>237</v>
      </c>
      <c r="E1797" s="4" t="s">
        <v>339</v>
      </c>
      <c r="F1797" s="4">
        <v>573182767821</v>
      </c>
      <c r="G1797" s="4">
        <v>65649</v>
      </c>
      <c r="H1797" s="8" t="s">
        <v>13</v>
      </c>
      <c r="I1797" s="4" t="s">
        <v>3369</v>
      </c>
      <c r="J1797" s="5" t="s">
        <v>340</v>
      </c>
      <c r="K1797" s="4"/>
      <c r="L1797" s="8" t="s">
        <v>12</v>
      </c>
      <c r="M1797" s="7"/>
      <c r="N1797" s="7"/>
      <c r="O1797" s="7"/>
    </row>
    <row r="1798" spans="1:15" ht="12.75" x14ac:dyDescent="0.2">
      <c r="A1798" s="6">
        <v>45870</v>
      </c>
      <c r="B1798" s="11">
        <f>+MONTH(A1798)</f>
        <v>8</v>
      </c>
      <c r="C1798" s="11">
        <f>+WEEKNUM(A1798)</f>
        <v>31</v>
      </c>
      <c r="D1798" s="4" t="s">
        <v>337</v>
      </c>
      <c r="E1798" s="4" t="s">
        <v>338</v>
      </c>
      <c r="F1798" s="4">
        <v>573175120795</v>
      </c>
      <c r="G1798" s="4">
        <v>65644</v>
      </c>
      <c r="H1798" s="8"/>
      <c r="I1798" s="4"/>
      <c r="J1798" s="4"/>
      <c r="K1798" s="4"/>
      <c r="L1798" s="8"/>
      <c r="M1798" s="7"/>
      <c r="N1798" s="7"/>
      <c r="O1798" s="7"/>
    </row>
    <row r="1799" spans="1:15" ht="12.75" x14ac:dyDescent="0.2">
      <c r="A1799" s="6">
        <v>45870</v>
      </c>
      <c r="B1799" s="11">
        <f>+MONTH(A1799)</f>
        <v>8</v>
      </c>
      <c r="C1799" s="11">
        <f>+WEEKNUM(A1799)</f>
        <v>31</v>
      </c>
      <c r="D1799" s="4" t="s">
        <v>335</v>
      </c>
      <c r="E1799" s="4" t="s">
        <v>336</v>
      </c>
      <c r="F1799" s="4">
        <v>573209941994</v>
      </c>
      <c r="G1799" s="4">
        <v>65571</v>
      </c>
      <c r="H1799" s="8"/>
      <c r="I1799" s="4"/>
      <c r="J1799" s="4"/>
      <c r="K1799" s="4"/>
      <c r="L1799" s="8"/>
      <c r="M1799" s="7"/>
      <c r="N1799" s="7"/>
      <c r="O1799" s="7"/>
    </row>
    <row r="1800" spans="1:15" ht="12.75" x14ac:dyDescent="0.2">
      <c r="A1800" s="6">
        <v>45870</v>
      </c>
      <c r="B1800" s="11">
        <f>+MONTH(A1800)</f>
        <v>8</v>
      </c>
      <c r="C1800" s="11">
        <f>+WEEKNUM(A1800)</f>
        <v>31</v>
      </c>
      <c r="D1800" s="4" t="s">
        <v>89</v>
      </c>
      <c r="E1800" s="4" t="s">
        <v>334</v>
      </c>
      <c r="F1800" s="4">
        <v>573175768294</v>
      </c>
      <c r="G1800" s="4">
        <v>65497</v>
      </c>
      <c r="H1800" s="8"/>
      <c r="I1800" s="4"/>
      <c r="J1800" s="4"/>
      <c r="K1800" s="4"/>
      <c r="L1800" s="8"/>
      <c r="M1800" s="7"/>
      <c r="N1800" s="7"/>
      <c r="O1800" s="7"/>
    </row>
    <row r="1801" spans="1:15" ht="25.5" x14ac:dyDescent="0.2">
      <c r="A1801" s="6">
        <v>45870</v>
      </c>
      <c r="B1801" s="11">
        <f>+MONTH(A1801)</f>
        <v>8</v>
      </c>
      <c r="C1801" s="11">
        <f>+WEEKNUM(A1801)</f>
        <v>31</v>
      </c>
      <c r="D1801" s="4" t="s">
        <v>332</v>
      </c>
      <c r="E1801" s="4" t="s">
        <v>333</v>
      </c>
      <c r="F1801" s="4">
        <v>573212444981</v>
      </c>
      <c r="G1801" s="4">
        <v>65163</v>
      </c>
      <c r="H1801" s="8"/>
      <c r="I1801" s="4"/>
      <c r="J1801" s="4"/>
      <c r="K1801" s="4"/>
      <c r="L1801" s="8"/>
      <c r="M1801" s="7"/>
      <c r="N1801" s="7"/>
      <c r="O1801" s="7"/>
    </row>
    <row r="1802" spans="1:15" ht="12.75" x14ac:dyDescent="0.2">
      <c r="A1802" s="6">
        <v>45870</v>
      </c>
      <c r="B1802" s="11">
        <f>+MONTH(A1802)</f>
        <v>8</v>
      </c>
      <c r="C1802" s="11">
        <f>+WEEKNUM(A1802)</f>
        <v>31</v>
      </c>
      <c r="D1802" s="4" t="s">
        <v>279</v>
      </c>
      <c r="E1802" s="4" t="s">
        <v>331</v>
      </c>
      <c r="F1802" s="4">
        <v>573136418476</v>
      </c>
      <c r="G1802" s="4">
        <v>65330</v>
      </c>
      <c r="H1802" s="8"/>
      <c r="I1802" s="4"/>
      <c r="J1802" s="4"/>
      <c r="K1802" s="4"/>
      <c r="L1802" s="8"/>
      <c r="M1802" s="7"/>
      <c r="N1802" s="7"/>
      <c r="O1802" s="7"/>
    </row>
    <row r="1803" spans="1:15" ht="12.75" x14ac:dyDescent="0.2">
      <c r="A1803" s="6">
        <v>45870</v>
      </c>
      <c r="B1803" s="11">
        <f>+MONTH(A1803)</f>
        <v>8</v>
      </c>
      <c r="C1803" s="11">
        <f>+WEEKNUM(A1803)</f>
        <v>31</v>
      </c>
      <c r="D1803" s="4" t="s">
        <v>292</v>
      </c>
      <c r="E1803" s="4" t="s">
        <v>330</v>
      </c>
      <c r="F1803" s="4">
        <v>573107747558</v>
      </c>
      <c r="G1803" s="4">
        <v>65456</v>
      </c>
      <c r="H1803" s="8"/>
      <c r="I1803" s="4"/>
      <c r="J1803" s="4"/>
      <c r="K1803" s="4"/>
      <c r="L1803" s="8"/>
      <c r="M1803" s="7"/>
      <c r="N1803" s="7"/>
      <c r="O1803" s="7"/>
    </row>
    <row r="1804" spans="1:15" ht="12.75" x14ac:dyDescent="0.2">
      <c r="A1804" s="6">
        <v>45870</v>
      </c>
      <c r="B1804" s="11">
        <f>+MONTH(A1804)</f>
        <v>8</v>
      </c>
      <c r="C1804" s="11">
        <f>+WEEKNUM(A1804)</f>
        <v>31</v>
      </c>
      <c r="D1804" s="4" t="s">
        <v>98</v>
      </c>
      <c r="E1804" s="4" t="s">
        <v>285</v>
      </c>
      <c r="F1804" s="4">
        <v>573133504747</v>
      </c>
      <c r="G1804" s="4">
        <v>65360</v>
      </c>
      <c r="H1804" s="8"/>
      <c r="I1804" s="4"/>
      <c r="J1804" s="4"/>
      <c r="K1804" s="4"/>
      <c r="L1804" s="8"/>
      <c r="M1804" s="7"/>
      <c r="N1804" s="7"/>
      <c r="O1804" s="7"/>
    </row>
    <row r="1805" spans="1:15" ht="38.25" x14ac:dyDescent="0.2">
      <c r="A1805" s="6">
        <v>45870</v>
      </c>
      <c r="B1805" s="11">
        <f>+MONTH(A1805)</f>
        <v>8</v>
      </c>
      <c r="C1805" s="11">
        <f>+WEEKNUM(A1805)</f>
        <v>31</v>
      </c>
      <c r="D1805" s="4" t="s">
        <v>253</v>
      </c>
      <c r="E1805" s="4" t="s">
        <v>221</v>
      </c>
      <c r="F1805" s="4">
        <v>573059109729</v>
      </c>
      <c r="G1805" s="4">
        <v>64873</v>
      </c>
      <c r="H1805" s="8" t="s">
        <v>13</v>
      </c>
      <c r="I1805" s="4" t="s">
        <v>329</v>
      </c>
      <c r="J1805" s="4" t="s">
        <v>14</v>
      </c>
      <c r="K1805" s="4"/>
      <c r="L1805" s="8" t="s">
        <v>12</v>
      </c>
      <c r="M1805" s="7"/>
      <c r="N1805" s="7"/>
      <c r="O1805" s="7"/>
    </row>
    <row r="1806" spans="1:15" ht="25.5" x14ac:dyDescent="0.2">
      <c r="A1806" s="6">
        <v>45870</v>
      </c>
      <c r="B1806" s="11">
        <f>+MONTH(A1806)</f>
        <v>8</v>
      </c>
      <c r="C1806" s="11">
        <f>+WEEKNUM(A1806)</f>
        <v>31</v>
      </c>
      <c r="D1806" s="4" t="s">
        <v>327</v>
      </c>
      <c r="E1806" s="4" t="s">
        <v>328</v>
      </c>
      <c r="F1806" s="4">
        <v>573013771637</v>
      </c>
      <c r="G1806" s="4">
        <v>65506</v>
      </c>
      <c r="H1806" s="8"/>
      <c r="I1806" s="4"/>
      <c r="J1806" s="4"/>
      <c r="K1806" s="4"/>
      <c r="L1806" s="8"/>
      <c r="M1806" s="7"/>
      <c r="N1806" s="7"/>
      <c r="O1806" s="7"/>
    </row>
    <row r="1807" spans="1:15" ht="63.75" x14ac:dyDescent="0.2">
      <c r="A1807" s="6"/>
      <c r="B1807" s="6"/>
      <c r="C1807" s="6"/>
      <c r="D1807" s="3" t="s">
        <v>33</v>
      </c>
      <c r="E1807" s="3" t="s">
        <v>2661</v>
      </c>
      <c r="F1807" s="3">
        <v>573108686272</v>
      </c>
      <c r="G1807" s="3">
        <v>47034</v>
      </c>
      <c r="H1807" s="3" t="s">
        <v>3326</v>
      </c>
      <c r="I1807" s="3" t="s">
        <v>3326</v>
      </c>
      <c r="J1807" s="3" t="s">
        <v>2660</v>
      </c>
      <c r="K1807" s="5" t="s">
        <v>2659</v>
      </c>
      <c r="L1807" s="3"/>
      <c r="M1807" s="3" t="s">
        <v>34</v>
      </c>
      <c r="N1807" s="6">
        <v>45633.445810185185</v>
      </c>
      <c r="O1807" s="6"/>
    </row>
    <row r="1808" spans="1:15" ht="25.5" x14ac:dyDescent="0.2">
      <c r="A1808" s="6"/>
      <c r="B1808" s="6"/>
      <c r="C1808" s="6"/>
      <c r="D1808" s="3" t="s">
        <v>2621</v>
      </c>
      <c r="E1808" s="3" t="s">
        <v>2620</v>
      </c>
      <c r="F1808" s="3">
        <v>573103045619</v>
      </c>
      <c r="G1808" s="3">
        <v>47275</v>
      </c>
      <c r="H1808" s="3" t="s">
        <v>3326</v>
      </c>
      <c r="I1808" s="3" t="s">
        <v>3325</v>
      </c>
      <c r="J1808" s="3" t="s">
        <v>2619</v>
      </c>
      <c r="K1808" s="3" t="s">
        <v>2585</v>
      </c>
      <c r="L1808" s="3"/>
      <c r="M1808" s="3" t="s">
        <v>2585</v>
      </c>
      <c r="N1808" s="6"/>
      <c r="O1808" s="6"/>
    </row>
    <row r="1809" spans="1:15" ht="25.5" x14ac:dyDescent="0.2">
      <c r="A1809" s="51"/>
      <c r="B1809" s="51"/>
      <c r="C1809" s="51"/>
      <c r="D1809" s="46" t="s">
        <v>33</v>
      </c>
      <c r="E1809" s="46" t="s">
        <v>2661</v>
      </c>
      <c r="F1809" s="46">
        <v>573108686272</v>
      </c>
      <c r="G1809" s="46">
        <v>47034</v>
      </c>
      <c r="H1809" s="46" t="s">
        <v>3326</v>
      </c>
      <c r="I1809" s="46" t="s">
        <v>3326</v>
      </c>
      <c r="J1809" s="46" t="s">
        <v>2660</v>
      </c>
      <c r="K1809" s="46" t="s">
        <v>34</v>
      </c>
      <c r="L1809" s="16"/>
      <c r="M1809" s="17"/>
      <c r="N1809" s="17"/>
      <c r="O1809" s="17"/>
    </row>
    <row r="1810" spans="1:15" ht="25.5" x14ac:dyDescent="0.2">
      <c r="A1810" s="51"/>
      <c r="B1810" s="51"/>
      <c r="C1810" s="51"/>
      <c r="D1810" s="46" t="s">
        <v>2621</v>
      </c>
      <c r="E1810" s="46" t="s">
        <v>2620</v>
      </c>
      <c r="F1810" s="46">
        <v>573103045619</v>
      </c>
      <c r="G1810" s="46">
        <v>47275</v>
      </c>
      <c r="H1810" s="46" t="s">
        <v>3326</v>
      </c>
      <c r="I1810" s="46" t="s">
        <v>3325</v>
      </c>
      <c r="J1810" s="46" t="s">
        <v>2619</v>
      </c>
      <c r="K1810" s="46" t="s">
        <v>2585</v>
      </c>
      <c r="L1810" s="16"/>
      <c r="M1810" s="17"/>
      <c r="N1810" s="17"/>
      <c r="O1810" s="17"/>
    </row>
    <row r="1811" spans="1:15" ht="12.75" x14ac:dyDescent="0.2">
      <c r="A1811" s="51"/>
      <c r="B1811" s="51"/>
      <c r="C1811" s="51"/>
      <c r="D1811" s="46" t="s">
        <v>3028</v>
      </c>
      <c r="E1811" s="46" t="s">
        <v>3027</v>
      </c>
      <c r="F1811" s="46">
        <v>573177318003</v>
      </c>
      <c r="G1811" s="46">
        <v>46708</v>
      </c>
      <c r="H1811" s="46" t="s">
        <v>2585</v>
      </c>
      <c r="I1811" s="46" t="s">
        <v>2585</v>
      </c>
      <c r="J1811" s="46" t="s">
        <v>2585</v>
      </c>
      <c r="K1811" s="46" t="s">
        <v>2585</v>
      </c>
      <c r="L1811" s="16"/>
      <c r="M1811" s="17"/>
      <c r="N1811" s="17"/>
      <c r="O1811" s="17"/>
    </row>
    <row r="1812" spans="1:15" ht="12.75" x14ac:dyDescent="0.2">
      <c r="A1812" s="51"/>
      <c r="B1812" s="51"/>
      <c r="C1812" s="51"/>
      <c r="D1812" s="46" t="s">
        <v>3026</v>
      </c>
      <c r="E1812" s="46" t="s">
        <v>3025</v>
      </c>
      <c r="F1812" s="46">
        <v>573028329924</v>
      </c>
      <c r="G1812" s="46">
        <v>46665</v>
      </c>
      <c r="H1812" s="46" t="s">
        <v>2585</v>
      </c>
      <c r="I1812" s="46" t="s">
        <v>2585</v>
      </c>
      <c r="J1812" s="46" t="s">
        <v>2585</v>
      </c>
      <c r="K1812" s="46" t="s">
        <v>2585</v>
      </c>
      <c r="L1812" s="16"/>
      <c r="M1812" s="17"/>
      <c r="N1812" s="17"/>
      <c r="O1812" s="17"/>
    </row>
    <row r="1813" spans="1:15" ht="38.25" x14ac:dyDescent="0.2">
      <c r="A1813" s="51"/>
      <c r="B1813" s="51"/>
      <c r="C1813" s="51"/>
      <c r="D1813" s="46" t="s">
        <v>3024</v>
      </c>
      <c r="E1813" s="46" t="s">
        <v>3023</v>
      </c>
      <c r="F1813" s="46">
        <v>573116496128</v>
      </c>
      <c r="G1813" s="46">
        <v>44659</v>
      </c>
      <c r="H1813" s="46" t="s">
        <v>3326</v>
      </c>
      <c r="I1813" s="46" t="s">
        <v>3326</v>
      </c>
      <c r="J1813" s="46" t="s">
        <v>3022</v>
      </c>
      <c r="K1813" s="46" t="s">
        <v>2585</v>
      </c>
      <c r="L1813" s="16"/>
      <c r="M1813" s="17"/>
      <c r="N1813" s="17"/>
      <c r="O1813" s="17"/>
    </row>
    <row r="1814" spans="1:15" ht="25.5" x14ac:dyDescent="0.2">
      <c r="A1814" s="51"/>
      <c r="B1814" s="51"/>
      <c r="C1814" s="51"/>
      <c r="D1814" s="46" t="s">
        <v>60</v>
      </c>
      <c r="E1814" s="46" t="s">
        <v>3021</v>
      </c>
      <c r="F1814" s="46">
        <v>573112617625</v>
      </c>
      <c r="G1814" s="46">
        <v>47576</v>
      </c>
      <c r="H1814" s="46" t="s">
        <v>3326</v>
      </c>
      <c r="I1814" s="46" t="s">
        <v>3326</v>
      </c>
      <c r="J1814" s="46" t="s">
        <v>3020</v>
      </c>
      <c r="K1814" s="46" t="s">
        <v>58</v>
      </c>
      <c r="L1814" s="16"/>
      <c r="M1814" s="17"/>
      <c r="N1814" s="17"/>
      <c r="O1814" s="17"/>
    </row>
    <row r="1815" spans="1:15" ht="12.75" x14ac:dyDescent="0.2">
      <c r="A1815" s="51"/>
      <c r="B1815" s="51"/>
      <c r="C1815" s="51"/>
      <c r="D1815" s="46" t="s">
        <v>3019</v>
      </c>
      <c r="E1815" s="46" t="s">
        <v>65</v>
      </c>
      <c r="F1815" s="46">
        <v>573012338424</v>
      </c>
      <c r="G1815" s="46">
        <v>47744</v>
      </c>
      <c r="H1815" s="46" t="s">
        <v>3326</v>
      </c>
      <c r="I1815" s="46" t="s">
        <v>3326</v>
      </c>
      <c r="J1815" s="46" t="s">
        <v>3018</v>
      </c>
      <c r="K1815" s="46" t="s">
        <v>58</v>
      </c>
      <c r="L1815" s="16"/>
      <c r="M1815" s="17"/>
      <c r="N1815" s="17"/>
      <c r="O1815" s="17"/>
    </row>
    <row r="1816" spans="1:15" ht="38.25" x14ac:dyDescent="0.2">
      <c r="A1816" s="51"/>
      <c r="B1816" s="51"/>
      <c r="C1816" s="51"/>
      <c r="D1816" s="46" t="s">
        <v>72</v>
      </c>
      <c r="E1816" s="46" t="s">
        <v>73</v>
      </c>
      <c r="F1816" s="46">
        <v>573222001147</v>
      </c>
      <c r="G1816" s="46">
        <v>47053</v>
      </c>
      <c r="H1816" s="46" t="s">
        <v>22</v>
      </c>
      <c r="I1816" s="46" t="s">
        <v>3326</v>
      </c>
      <c r="J1816" s="46" t="s">
        <v>3017</v>
      </c>
      <c r="K1816" s="46" t="s">
        <v>74</v>
      </c>
      <c r="L1816" s="16"/>
      <c r="M1816" s="17"/>
      <c r="N1816" s="17"/>
      <c r="O1816" s="17"/>
    </row>
    <row r="1817" spans="1:15" ht="12.75" x14ac:dyDescent="0.2">
      <c r="A1817" s="51"/>
      <c r="B1817" s="51"/>
      <c r="C1817" s="51"/>
      <c r="D1817" s="46" t="s">
        <v>3016</v>
      </c>
      <c r="E1817" s="46" t="s">
        <v>3015</v>
      </c>
      <c r="F1817" s="46">
        <v>573132514928</v>
      </c>
      <c r="G1817" s="46">
        <v>43952</v>
      </c>
      <c r="H1817" s="46" t="s">
        <v>3326</v>
      </c>
      <c r="I1817" s="46" t="s">
        <v>3326</v>
      </c>
      <c r="J1817" s="46" t="s">
        <v>3014</v>
      </c>
      <c r="K1817" s="46" t="s">
        <v>90</v>
      </c>
      <c r="L1817" s="16"/>
      <c r="M1817" s="17"/>
      <c r="N1817" s="17"/>
      <c r="O1817" s="17"/>
    </row>
    <row r="1818" spans="1:15" ht="25.5" x14ac:dyDescent="0.2">
      <c r="A1818" s="51"/>
      <c r="B1818" s="51"/>
      <c r="C1818" s="51"/>
      <c r="D1818" s="46" t="s">
        <v>35</v>
      </c>
      <c r="E1818" s="46" t="s">
        <v>3013</v>
      </c>
      <c r="F1818" s="46">
        <v>573124284283</v>
      </c>
      <c r="G1818" s="46">
        <v>49700</v>
      </c>
      <c r="H1818" s="46" t="s">
        <v>3326</v>
      </c>
      <c r="I1818" s="46" t="s">
        <v>3326</v>
      </c>
      <c r="J1818" s="46" t="s">
        <v>3012</v>
      </c>
      <c r="K1818" s="46" t="s">
        <v>74</v>
      </c>
      <c r="L1818" s="16"/>
      <c r="M1818" s="17"/>
      <c r="N1818" s="17"/>
      <c r="O1818" s="17"/>
    </row>
    <row r="1819" spans="1:15" ht="25.5" x14ac:dyDescent="0.2">
      <c r="A1819" s="51"/>
      <c r="B1819" s="51"/>
      <c r="C1819" s="51"/>
      <c r="D1819" s="46" t="s">
        <v>3011</v>
      </c>
      <c r="E1819" s="46" t="s">
        <v>3010</v>
      </c>
      <c r="F1819" s="46">
        <v>573506587126</v>
      </c>
      <c r="G1819" s="46">
        <v>50417</v>
      </c>
      <c r="H1819" s="47" t="s">
        <v>3325</v>
      </c>
      <c r="I1819" s="47" t="s">
        <v>3325</v>
      </c>
      <c r="J1819" s="46" t="s">
        <v>3009</v>
      </c>
      <c r="K1819" s="46" t="s">
        <v>90</v>
      </c>
      <c r="L1819" s="16"/>
      <c r="M1819" s="17"/>
      <c r="N1819" s="17"/>
      <c r="O1819" s="17"/>
    </row>
    <row r="1820" spans="1:15" ht="51" x14ac:dyDescent="0.2">
      <c r="A1820" s="51"/>
      <c r="B1820" s="51"/>
      <c r="C1820" s="51"/>
      <c r="D1820" s="46" t="s">
        <v>3008</v>
      </c>
      <c r="E1820" s="46" t="s">
        <v>3007</v>
      </c>
      <c r="F1820" s="46">
        <v>573213477203</v>
      </c>
      <c r="G1820" s="46">
        <v>51663</v>
      </c>
      <c r="H1820" s="47" t="s">
        <v>3326</v>
      </c>
      <c r="I1820" s="47" t="s">
        <v>3326</v>
      </c>
      <c r="J1820" s="46" t="s">
        <v>3006</v>
      </c>
      <c r="K1820" s="46" t="s">
        <v>3005</v>
      </c>
      <c r="L1820" s="16"/>
      <c r="M1820" s="17"/>
      <c r="N1820" s="17"/>
      <c r="O1820" s="17"/>
    </row>
    <row r="1821" spans="1:15" ht="25.5" x14ac:dyDescent="0.2">
      <c r="A1821" s="51"/>
      <c r="B1821" s="51"/>
      <c r="C1821" s="51"/>
      <c r="D1821" s="46" t="s">
        <v>3004</v>
      </c>
      <c r="E1821" s="46" t="s">
        <v>3003</v>
      </c>
      <c r="F1821" s="46">
        <v>573124590810</v>
      </c>
      <c r="G1821" s="46">
        <v>52078</v>
      </c>
      <c r="H1821" s="47" t="s">
        <v>3326</v>
      </c>
      <c r="I1821" s="47" t="s">
        <v>3326</v>
      </c>
      <c r="J1821" s="46" t="s">
        <v>3002</v>
      </c>
      <c r="K1821" s="46" t="s">
        <v>186</v>
      </c>
      <c r="L1821" s="16"/>
      <c r="M1821" s="17"/>
      <c r="N1821" s="17"/>
      <c r="O1821" s="17"/>
    </row>
    <row r="1822" spans="1:15" ht="25.5" x14ac:dyDescent="0.2">
      <c r="A1822" s="51"/>
      <c r="B1822" s="51"/>
      <c r="C1822" s="51"/>
      <c r="D1822" s="46" t="s">
        <v>3001</v>
      </c>
      <c r="E1822" s="46" t="s">
        <v>3000</v>
      </c>
      <c r="F1822" s="46">
        <v>573112057523</v>
      </c>
      <c r="G1822" s="46">
        <v>51115</v>
      </c>
      <c r="H1822" s="47" t="s">
        <v>22</v>
      </c>
      <c r="I1822" s="47" t="s">
        <v>3326</v>
      </c>
      <c r="J1822" s="46" t="s">
        <v>2999</v>
      </c>
      <c r="K1822" s="46" t="s">
        <v>2998</v>
      </c>
      <c r="L1822" s="16"/>
      <c r="M1822" s="17"/>
      <c r="N1822" s="17"/>
      <c r="O1822" s="17"/>
    </row>
    <row r="1823" spans="1:15" ht="12.75" x14ac:dyDescent="0.2">
      <c r="A1823" s="51"/>
      <c r="B1823" s="51"/>
      <c r="C1823" s="51"/>
      <c r="D1823" s="46" t="s">
        <v>2997</v>
      </c>
      <c r="E1823" s="46" t="s">
        <v>2996</v>
      </c>
      <c r="F1823" s="46">
        <v>573228304536</v>
      </c>
      <c r="G1823" s="46">
        <v>52974</v>
      </c>
      <c r="H1823" s="47" t="s">
        <v>22</v>
      </c>
      <c r="I1823" s="47" t="s">
        <v>3326</v>
      </c>
      <c r="J1823" s="46" t="s">
        <v>2995</v>
      </c>
      <c r="K1823" s="46" t="s">
        <v>34</v>
      </c>
      <c r="L1823" s="16"/>
      <c r="M1823" s="17"/>
      <c r="N1823" s="17"/>
      <c r="O1823" s="17"/>
    </row>
    <row r="1824" spans="1:15" ht="25.5" x14ac:dyDescent="0.2">
      <c r="A1824" s="51"/>
      <c r="B1824" s="51"/>
      <c r="C1824" s="51"/>
      <c r="D1824" s="46" t="s">
        <v>2994</v>
      </c>
      <c r="E1824" s="46" t="s">
        <v>2993</v>
      </c>
      <c r="F1824" s="46">
        <v>573184949282</v>
      </c>
      <c r="G1824" s="46">
        <v>53049</v>
      </c>
      <c r="H1824" s="47" t="s">
        <v>3326</v>
      </c>
      <c r="I1824" s="47" t="s">
        <v>3326</v>
      </c>
      <c r="J1824" s="46" t="s">
        <v>2992</v>
      </c>
      <c r="K1824" s="46" t="s">
        <v>82</v>
      </c>
      <c r="L1824" s="16"/>
      <c r="M1824" s="17"/>
      <c r="N1824" s="17"/>
      <c r="O1824" s="17"/>
    </row>
    <row r="1825" spans="1:15" ht="25.5" x14ac:dyDescent="0.2">
      <c r="A1825" s="51"/>
      <c r="B1825" s="51"/>
      <c r="C1825" s="51"/>
      <c r="D1825" s="46" t="s">
        <v>45</v>
      </c>
      <c r="E1825" s="46" t="s">
        <v>2991</v>
      </c>
      <c r="F1825" s="46">
        <v>573204084575</v>
      </c>
      <c r="G1825" s="46">
        <v>51615</v>
      </c>
      <c r="H1825" s="47" t="s">
        <v>3326</v>
      </c>
      <c r="I1825" s="47" t="s">
        <v>3326</v>
      </c>
      <c r="J1825" s="46" t="s">
        <v>2990</v>
      </c>
      <c r="K1825" s="46" t="s">
        <v>82</v>
      </c>
      <c r="L1825" s="16"/>
      <c r="M1825" s="17"/>
      <c r="N1825" s="17"/>
      <c r="O1825" s="17"/>
    </row>
    <row r="1826" spans="1:15" ht="25.5" x14ac:dyDescent="0.2">
      <c r="A1826" s="51"/>
      <c r="B1826" s="51"/>
      <c r="C1826" s="51"/>
      <c r="D1826" s="46" t="s">
        <v>48</v>
      </c>
      <c r="E1826" s="46" t="s">
        <v>2989</v>
      </c>
      <c r="F1826" s="46">
        <v>573113431409</v>
      </c>
      <c r="G1826" s="46">
        <v>56205</v>
      </c>
      <c r="H1826" s="47" t="s">
        <v>3326</v>
      </c>
      <c r="I1826" s="47" t="s">
        <v>3326</v>
      </c>
      <c r="J1826" s="46" t="s">
        <v>2988</v>
      </c>
      <c r="K1826" s="46" t="s">
        <v>2987</v>
      </c>
      <c r="L1826" s="16"/>
      <c r="M1826" s="17"/>
      <c r="N1826" s="17"/>
      <c r="O1826" s="17"/>
    </row>
    <row r="1827" spans="1:15" ht="25.5" x14ac:dyDescent="0.2">
      <c r="A1827" s="51"/>
      <c r="B1827" s="51"/>
      <c r="C1827" s="51"/>
      <c r="D1827" s="46" t="s">
        <v>2986</v>
      </c>
      <c r="E1827" s="46" t="s">
        <v>2985</v>
      </c>
      <c r="F1827" s="46">
        <v>573228444632</v>
      </c>
      <c r="G1827" s="46">
        <v>56934</v>
      </c>
      <c r="H1827" s="47" t="s">
        <v>3326</v>
      </c>
      <c r="I1827" s="47" t="s">
        <v>3326</v>
      </c>
      <c r="J1827" s="46" t="s">
        <v>2984</v>
      </c>
      <c r="K1827" s="46" t="s">
        <v>82</v>
      </c>
      <c r="L1827" s="16"/>
      <c r="M1827" s="17"/>
      <c r="N1827" s="17"/>
      <c r="O1827" s="17"/>
    </row>
    <row r="1828" spans="1:15" ht="38.25" x14ac:dyDescent="0.2">
      <c r="A1828" s="51"/>
      <c r="B1828" s="51"/>
      <c r="C1828" s="51"/>
      <c r="D1828" s="46" t="s">
        <v>2983</v>
      </c>
      <c r="E1828" s="46" t="s">
        <v>2982</v>
      </c>
      <c r="F1828" s="46">
        <v>573213015592</v>
      </c>
      <c r="G1828" s="46">
        <v>57205</v>
      </c>
      <c r="H1828" s="47" t="s">
        <v>3326</v>
      </c>
      <c r="I1828" s="47" t="s">
        <v>3326</v>
      </c>
      <c r="J1828" s="46" t="s">
        <v>2981</v>
      </c>
      <c r="K1828" s="46" t="s">
        <v>2980</v>
      </c>
      <c r="L1828" s="16"/>
      <c r="M1828" s="17"/>
      <c r="N1828" s="17"/>
      <c r="O1828" s="17"/>
    </row>
    <row r="1829" spans="1:15" ht="12.75" x14ac:dyDescent="0.2">
      <c r="A1829" s="51"/>
      <c r="B1829" s="51"/>
      <c r="C1829" s="51"/>
      <c r="D1829" s="46" t="s">
        <v>2979</v>
      </c>
      <c r="E1829" s="46" t="s">
        <v>2978</v>
      </c>
      <c r="F1829" s="46">
        <v>573213223270</v>
      </c>
      <c r="G1829" s="46">
        <v>59853</v>
      </c>
      <c r="H1829" s="47" t="s">
        <v>3325</v>
      </c>
      <c r="I1829" s="47" t="s">
        <v>3325</v>
      </c>
      <c r="J1829" s="46" t="s">
        <v>2977</v>
      </c>
      <c r="K1829" s="46"/>
      <c r="L1829" s="16"/>
      <c r="M1829" s="17"/>
      <c r="N1829" s="17"/>
      <c r="O1829" s="17"/>
    </row>
    <row r="1830" spans="1:15" ht="12.75" x14ac:dyDescent="0.2">
      <c r="A1830" s="51"/>
      <c r="B1830" s="51"/>
      <c r="C1830" s="51"/>
      <c r="D1830" s="46" t="s">
        <v>2976</v>
      </c>
      <c r="E1830" s="46" t="s">
        <v>2975</v>
      </c>
      <c r="F1830" s="46">
        <v>573142520778</v>
      </c>
      <c r="G1830" s="46">
        <v>60140</v>
      </c>
      <c r="H1830" s="47" t="s">
        <v>3326</v>
      </c>
      <c r="I1830" s="47" t="s">
        <v>3326</v>
      </c>
      <c r="J1830" s="46" t="s">
        <v>2974</v>
      </c>
      <c r="K1830" s="46"/>
      <c r="L1830" s="16"/>
      <c r="M1830" s="17"/>
      <c r="N1830" s="17"/>
      <c r="O1830" s="17"/>
    </row>
    <row r="1831" spans="1:15" ht="25.5" x14ac:dyDescent="0.2">
      <c r="A1831" s="51"/>
      <c r="B1831" s="51"/>
      <c r="C1831" s="51"/>
      <c r="D1831" s="46" t="s">
        <v>2973</v>
      </c>
      <c r="E1831" s="46" t="s">
        <v>2972</v>
      </c>
      <c r="F1831" s="46">
        <v>573116977756</v>
      </c>
      <c r="G1831" s="46">
        <v>61172</v>
      </c>
      <c r="H1831" s="47" t="s">
        <v>3326</v>
      </c>
      <c r="I1831" s="47" t="s">
        <v>3326</v>
      </c>
      <c r="J1831" s="46" t="s">
        <v>2971</v>
      </c>
      <c r="K1831" s="46"/>
      <c r="L1831" s="16"/>
      <c r="M1831" s="17"/>
      <c r="N1831" s="17"/>
      <c r="O1831" s="17"/>
    </row>
    <row r="1832" spans="1:15" ht="25.5" x14ac:dyDescent="0.2">
      <c r="A1832" s="51"/>
      <c r="B1832" s="51"/>
      <c r="C1832" s="51"/>
      <c r="D1832" s="46" t="s">
        <v>2970</v>
      </c>
      <c r="E1832" s="46" t="s">
        <v>2969</v>
      </c>
      <c r="F1832" s="46">
        <v>573042238649</v>
      </c>
      <c r="G1832" s="46">
        <v>64159</v>
      </c>
      <c r="H1832" s="47" t="s">
        <v>3326</v>
      </c>
      <c r="I1832" s="47" t="s">
        <v>3326</v>
      </c>
      <c r="J1832" s="46" t="s">
        <v>2968</v>
      </c>
      <c r="K1832" s="46"/>
      <c r="L1832" s="16"/>
      <c r="M1832" s="17"/>
      <c r="N1832" s="17"/>
      <c r="O1832" s="17"/>
    </row>
    <row r="1833" spans="1:15" ht="25.5" x14ac:dyDescent="0.2">
      <c r="A1833" s="51"/>
      <c r="B1833" s="51"/>
      <c r="C1833" s="51"/>
      <c r="D1833" s="46" t="s">
        <v>177</v>
      </c>
      <c r="E1833" s="46" t="s">
        <v>2967</v>
      </c>
      <c r="F1833" s="46">
        <v>573202240909</v>
      </c>
      <c r="G1833" s="46">
        <v>64372</v>
      </c>
      <c r="H1833" s="47" t="s">
        <v>3326</v>
      </c>
      <c r="I1833" s="47" t="s">
        <v>3326</v>
      </c>
      <c r="J1833" s="46" t="s">
        <v>2966</v>
      </c>
      <c r="K1833" s="46" t="s">
        <v>186</v>
      </c>
      <c r="L1833" s="16"/>
      <c r="M1833" s="17"/>
      <c r="N1833" s="17"/>
      <c r="O1833" s="17"/>
    </row>
    <row r="1834" spans="1:15" ht="25.5" x14ac:dyDescent="0.2">
      <c r="A1834" s="51"/>
      <c r="B1834" s="51"/>
      <c r="C1834" s="51"/>
      <c r="D1834" s="46" t="s">
        <v>2965</v>
      </c>
      <c r="E1834" s="46" t="s">
        <v>2964</v>
      </c>
      <c r="F1834" s="46">
        <v>573118908787</v>
      </c>
      <c r="G1834" s="46">
        <v>64857</v>
      </c>
      <c r="H1834" s="47" t="s">
        <v>3326</v>
      </c>
      <c r="I1834" s="47" t="s">
        <v>3326</v>
      </c>
      <c r="J1834" s="46" t="s">
        <v>2963</v>
      </c>
      <c r="K1834" s="46"/>
      <c r="L1834" s="16"/>
      <c r="M1834" s="17"/>
      <c r="N1834" s="17"/>
      <c r="O1834" s="17"/>
    </row>
    <row r="1835" spans="1:15" ht="12.75" x14ac:dyDescent="0.2">
      <c r="A1835" s="51"/>
      <c r="B1835" s="51"/>
      <c r="C1835" s="51"/>
      <c r="D1835" s="46" t="s">
        <v>33</v>
      </c>
      <c r="E1835" s="46" t="s">
        <v>2962</v>
      </c>
      <c r="F1835" s="46">
        <v>573213931468</v>
      </c>
      <c r="G1835" s="46">
        <v>37753</v>
      </c>
      <c r="H1835" s="47" t="s">
        <v>3325</v>
      </c>
      <c r="I1835" s="47" t="s">
        <v>22</v>
      </c>
      <c r="J1835" s="46" t="s">
        <v>2961</v>
      </c>
      <c r="K1835" s="46" t="s">
        <v>2960</v>
      </c>
      <c r="L1835" s="16"/>
      <c r="M1835" s="17"/>
      <c r="N1835" s="17"/>
      <c r="O1835" s="17"/>
    </row>
    <row r="1836" spans="1:15" ht="12.75" x14ac:dyDescent="0.2">
      <c r="A1836" s="51"/>
      <c r="B1836" s="51"/>
      <c r="C1836" s="51"/>
      <c r="D1836" s="46" t="s">
        <v>665</v>
      </c>
      <c r="E1836" s="46" t="s">
        <v>666</v>
      </c>
      <c r="F1836" s="46">
        <v>573157941692</v>
      </c>
      <c r="G1836" s="46">
        <v>68744</v>
      </c>
      <c r="H1836" s="47" t="s">
        <v>3326</v>
      </c>
      <c r="I1836" s="47" t="s">
        <v>3326</v>
      </c>
      <c r="J1836" s="46" t="s">
        <v>667</v>
      </c>
      <c r="K1836" s="46" t="s">
        <v>2951</v>
      </c>
      <c r="L1836" s="16"/>
      <c r="M1836" s="17"/>
      <c r="N1836" s="17"/>
      <c r="O1836" s="17"/>
    </row>
    <row r="1837" spans="1:15" ht="25.5" x14ac:dyDescent="0.2">
      <c r="A1837" s="51"/>
      <c r="B1837" s="51"/>
      <c r="C1837" s="51"/>
      <c r="D1837" s="46" t="s">
        <v>2959</v>
      </c>
      <c r="E1837" s="46" t="s">
        <v>2958</v>
      </c>
      <c r="F1837" s="46">
        <v>573203788783</v>
      </c>
      <c r="G1837" s="46">
        <v>69567</v>
      </c>
      <c r="H1837" s="47" t="s">
        <v>3326</v>
      </c>
      <c r="I1837" s="47" t="s">
        <v>3326</v>
      </c>
      <c r="J1837" s="46" t="s">
        <v>2957</v>
      </c>
      <c r="K1837" s="46" t="s">
        <v>2956</v>
      </c>
      <c r="L1837" s="16"/>
      <c r="M1837" s="17"/>
      <c r="N1837" s="17"/>
      <c r="O1837" s="17"/>
    </row>
    <row r="1838" spans="1:15" ht="12.75" x14ac:dyDescent="0.2">
      <c r="A1838" s="48"/>
      <c r="B1838" s="48"/>
      <c r="C1838" s="48"/>
      <c r="D1838" s="46"/>
      <c r="E1838" s="46"/>
      <c r="F1838" s="46"/>
      <c r="G1838" s="46"/>
      <c r="H1838" s="47"/>
      <c r="I1838" s="47"/>
      <c r="J1838" s="46"/>
      <c r="K1838" s="46" t="s">
        <v>90</v>
      </c>
      <c r="L1838" s="16"/>
      <c r="M1838" s="17"/>
      <c r="N1838" s="17"/>
      <c r="O1838" s="17"/>
    </row>
    <row r="1839" spans="1:15" ht="12.75" x14ac:dyDescent="0.2">
      <c r="A1839" s="48"/>
      <c r="B1839" s="48"/>
      <c r="C1839" s="48"/>
      <c r="D1839" s="46"/>
      <c r="E1839" s="46"/>
      <c r="F1839" s="46"/>
      <c r="G1839" s="46"/>
      <c r="H1839" s="47"/>
      <c r="I1839" s="47"/>
      <c r="J1839" s="46"/>
      <c r="K1839" s="46" t="s">
        <v>2955</v>
      </c>
      <c r="L1839" s="16"/>
      <c r="M1839" s="17"/>
      <c r="N1839" s="17"/>
      <c r="O1839" s="17"/>
    </row>
    <row r="1840" spans="1:15" ht="76.5" x14ac:dyDescent="0.2">
      <c r="A1840" s="50"/>
      <c r="B1840" s="50"/>
      <c r="C1840" s="50"/>
      <c r="D1840" s="49" t="s">
        <v>1362</v>
      </c>
      <c r="E1840" s="49" t="s">
        <v>2954</v>
      </c>
      <c r="F1840" s="49">
        <v>573219100621</v>
      </c>
      <c r="G1840" s="49">
        <v>72256</v>
      </c>
      <c r="H1840" s="49" t="s">
        <v>3325</v>
      </c>
      <c r="I1840" s="49" t="s">
        <v>3326</v>
      </c>
      <c r="J1840" s="49" t="s">
        <v>2953</v>
      </c>
      <c r="K1840" s="46"/>
      <c r="L1840" s="16"/>
      <c r="M1840" s="17"/>
      <c r="N1840" s="17"/>
      <c r="O1840" s="17"/>
    </row>
    <row r="1841" spans="1:15" ht="12.75" x14ac:dyDescent="0.2">
      <c r="A1841" s="48"/>
      <c r="B1841" s="48"/>
      <c r="C1841" s="48"/>
      <c r="D1841" s="46"/>
      <c r="E1841" s="46"/>
      <c r="F1841" s="46"/>
      <c r="G1841" s="46"/>
      <c r="H1841" s="47"/>
      <c r="I1841" s="47"/>
      <c r="J1841" s="46"/>
      <c r="K1841" s="46" t="s">
        <v>2952</v>
      </c>
      <c r="L1841" s="16"/>
      <c r="M1841" s="17"/>
      <c r="N1841" s="17"/>
      <c r="O1841" s="17"/>
    </row>
    <row r="1842" spans="1:15" ht="12.75" x14ac:dyDescent="0.2">
      <c r="A1842" s="48"/>
      <c r="B1842" s="48"/>
      <c r="C1842" s="48"/>
      <c r="D1842" s="46"/>
      <c r="E1842" s="46"/>
      <c r="F1842" s="46"/>
      <c r="G1842" s="46"/>
      <c r="H1842" s="47"/>
      <c r="I1842" s="47"/>
      <c r="J1842" s="46"/>
      <c r="K1842" s="46" t="s">
        <v>82</v>
      </c>
      <c r="L1842" s="16"/>
      <c r="M1842" s="17"/>
      <c r="N1842" s="17"/>
      <c r="O1842" s="17"/>
    </row>
    <row r="1843" spans="1:15" ht="12.75" x14ac:dyDescent="0.2">
      <c r="A1843" s="48"/>
      <c r="B1843" s="48"/>
      <c r="C1843" s="48"/>
      <c r="D1843" s="46"/>
      <c r="E1843" s="46"/>
      <c r="F1843" s="46"/>
      <c r="G1843" s="46"/>
      <c r="H1843" s="47"/>
      <c r="I1843" s="47"/>
      <c r="J1843" s="46"/>
      <c r="K1843" s="46" t="s">
        <v>82</v>
      </c>
      <c r="L1843" s="16"/>
      <c r="M1843" s="17"/>
      <c r="N1843" s="17"/>
      <c r="O1843" s="17"/>
    </row>
    <row r="1844" spans="1:15" ht="12.75" x14ac:dyDescent="0.2">
      <c r="A1844" s="48"/>
      <c r="B1844" s="48"/>
      <c r="C1844" s="48"/>
      <c r="D1844" s="46"/>
      <c r="E1844" s="46"/>
      <c r="F1844" s="46"/>
      <c r="G1844" s="46"/>
      <c r="H1844" s="47"/>
      <c r="I1844" s="47"/>
      <c r="J1844" s="46"/>
      <c r="K1844" s="46" t="s">
        <v>2951</v>
      </c>
      <c r="L1844" s="16"/>
      <c r="M1844" s="17"/>
      <c r="N1844" s="17"/>
      <c r="O1844" s="17"/>
    </row>
    <row r="1845" spans="1:15" ht="63.75" x14ac:dyDescent="0.2">
      <c r="A1845" s="51"/>
      <c r="B1845" s="51"/>
      <c r="C1845" s="51"/>
      <c r="D1845" s="46" t="s">
        <v>33</v>
      </c>
      <c r="E1845" s="46" t="s">
        <v>2661</v>
      </c>
      <c r="F1845" s="46">
        <v>573108686272</v>
      </c>
      <c r="G1845" s="46">
        <v>47034</v>
      </c>
      <c r="H1845" s="46" t="s">
        <v>12</v>
      </c>
      <c r="I1845" s="46" t="s">
        <v>13</v>
      </c>
      <c r="J1845" s="46" t="s">
        <v>2660</v>
      </c>
      <c r="K1845" s="55" t="s">
        <v>2659</v>
      </c>
      <c r="L1845" s="46" t="s">
        <v>34</v>
      </c>
      <c r="M1845" s="46"/>
      <c r="N1845" s="17"/>
      <c r="O1845" s="17"/>
    </row>
    <row r="1846" spans="1:15" ht="25.5" x14ac:dyDescent="0.2">
      <c r="A1846" s="51"/>
      <c r="B1846" s="51"/>
      <c r="C1846" s="51"/>
      <c r="D1846" s="46" t="s">
        <v>2621</v>
      </c>
      <c r="E1846" s="46" t="s">
        <v>2620</v>
      </c>
      <c r="F1846" s="46">
        <v>573103045619</v>
      </c>
      <c r="G1846" s="46">
        <v>47275</v>
      </c>
      <c r="H1846" s="46" t="s">
        <v>12</v>
      </c>
      <c r="I1846" s="46" t="s">
        <v>44</v>
      </c>
      <c r="J1846" s="46" t="s">
        <v>2619</v>
      </c>
      <c r="K1846" s="46" t="s">
        <v>2585</v>
      </c>
      <c r="L1846" s="46" t="s">
        <v>2585</v>
      </c>
      <c r="M1846" s="46"/>
      <c r="N1846" s="17"/>
      <c r="O1846" s="17"/>
    </row>
    <row r="1847" spans="1:15" ht="12.75" x14ac:dyDescent="0.2">
      <c r="A1847" s="51"/>
      <c r="B1847" s="51"/>
      <c r="C1847" s="51"/>
      <c r="D1847" s="46" t="s">
        <v>3028</v>
      </c>
      <c r="E1847" s="46" t="s">
        <v>3027</v>
      </c>
      <c r="F1847" s="46">
        <v>573177318003</v>
      </c>
      <c r="G1847" s="46">
        <v>46708</v>
      </c>
      <c r="H1847" s="46" t="s">
        <v>2585</v>
      </c>
      <c r="I1847" s="46" t="s">
        <v>2585</v>
      </c>
      <c r="J1847" s="46" t="s">
        <v>2585</v>
      </c>
      <c r="K1847" s="46" t="s">
        <v>2585</v>
      </c>
      <c r="L1847" s="46" t="s">
        <v>2585</v>
      </c>
      <c r="M1847" s="46"/>
      <c r="N1847" s="17"/>
      <c r="O1847" s="17"/>
    </row>
    <row r="1848" spans="1:15" ht="12.75" x14ac:dyDescent="0.2">
      <c r="A1848" s="51"/>
      <c r="B1848" s="51"/>
      <c r="C1848" s="51"/>
      <c r="D1848" s="46" t="s">
        <v>3026</v>
      </c>
      <c r="E1848" s="46" t="s">
        <v>3025</v>
      </c>
      <c r="F1848" s="46">
        <v>573028329924</v>
      </c>
      <c r="G1848" s="46">
        <v>46665</v>
      </c>
      <c r="H1848" s="46" t="s">
        <v>2585</v>
      </c>
      <c r="I1848" s="46" t="s">
        <v>2585</v>
      </c>
      <c r="J1848" s="46" t="s">
        <v>2585</v>
      </c>
      <c r="K1848" s="46" t="s">
        <v>2585</v>
      </c>
      <c r="L1848" s="46" t="s">
        <v>2585</v>
      </c>
      <c r="M1848" s="46"/>
      <c r="N1848" s="17"/>
      <c r="O1848" s="17"/>
    </row>
    <row r="1849" spans="1:15" ht="76.5" x14ac:dyDescent="0.2">
      <c r="A1849" s="51"/>
      <c r="B1849" s="51"/>
      <c r="C1849" s="51"/>
      <c r="D1849" s="46" t="s">
        <v>3024</v>
      </c>
      <c r="E1849" s="46" t="s">
        <v>3023</v>
      </c>
      <c r="F1849" s="46">
        <v>573116496128</v>
      </c>
      <c r="G1849" s="46">
        <v>44659</v>
      </c>
      <c r="H1849" s="46" t="s">
        <v>12</v>
      </c>
      <c r="I1849" s="46" t="s">
        <v>13</v>
      </c>
      <c r="J1849" s="46" t="s">
        <v>3022</v>
      </c>
      <c r="K1849" s="55" t="s">
        <v>3558</v>
      </c>
      <c r="L1849" s="46" t="s">
        <v>2585</v>
      </c>
      <c r="M1849" s="46"/>
      <c r="N1849" s="17"/>
      <c r="O1849" s="17"/>
    </row>
    <row r="1850" spans="1:15" ht="76.5" x14ac:dyDescent="0.2">
      <c r="A1850" s="51"/>
      <c r="B1850" s="51"/>
      <c r="C1850" s="51"/>
      <c r="D1850" s="46" t="s">
        <v>60</v>
      </c>
      <c r="E1850" s="46" t="s">
        <v>3021</v>
      </c>
      <c r="F1850" s="46">
        <v>573112617625</v>
      </c>
      <c r="G1850" s="46">
        <v>47576</v>
      </c>
      <c r="H1850" s="46" t="s">
        <v>12</v>
      </c>
      <c r="I1850" s="46" t="s">
        <v>13</v>
      </c>
      <c r="J1850" s="46" t="s">
        <v>3020</v>
      </c>
      <c r="K1850" s="55" t="s">
        <v>3516</v>
      </c>
      <c r="L1850" s="46" t="s">
        <v>58</v>
      </c>
      <c r="M1850" s="46"/>
      <c r="N1850" s="17"/>
      <c r="O1850" s="17"/>
    </row>
    <row r="1851" spans="1:15" ht="63.75" x14ac:dyDescent="0.2">
      <c r="A1851" s="51"/>
      <c r="B1851" s="51"/>
      <c r="C1851" s="51"/>
      <c r="D1851" s="46" t="s">
        <v>3019</v>
      </c>
      <c r="E1851" s="46" t="s">
        <v>65</v>
      </c>
      <c r="F1851" s="46">
        <v>573012338424</v>
      </c>
      <c r="G1851" s="46">
        <v>47744</v>
      </c>
      <c r="H1851" s="46" t="s">
        <v>12</v>
      </c>
      <c r="I1851" s="46" t="s">
        <v>13</v>
      </c>
      <c r="J1851" s="46" t="s">
        <v>3018</v>
      </c>
      <c r="K1851" s="55" t="s">
        <v>3475</v>
      </c>
      <c r="L1851" s="46" t="s">
        <v>58</v>
      </c>
      <c r="M1851" s="46"/>
      <c r="N1851" s="17"/>
      <c r="O1851" s="17"/>
    </row>
    <row r="1852" spans="1:15" ht="38.25" x14ac:dyDescent="0.2">
      <c r="A1852" s="51"/>
      <c r="B1852" s="51"/>
      <c r="C1852" s="51"/>
      <c r="D1852" s="46" t="s">
        <v>72</v>
      </c>
      <c r="E1852" s="46" t="s">
        <v>73</v>
      </c>
      <c r="F1852" s="46">
        <v>573222001147</v>
      </c>
      <c r="G1852" s="46">
        <v>47053</v>
      </c>
      <c r="H1852" s="46" t="s">
        <v>22</v>
      </c>
      <c r="I1852" s="46" t="s">
        <v>13</v>
      </c>
      <c r="J1852" s="46" t="s">
        <v>3017</v>
      </c>
      <c r="K1852" s="46" t="s">
        <v>2585</v>
      </c>
      <c r="L1852" s="46" t="s">
        <v>74</v>
      </c>
      <c r="M1852" s="46"/>
      <c r="N1852" s="17"/>
      <c r="O1852" s="17"/>
    </row>
    <row r="1853" spans="1:15" ht="63.75" x14ac:dyDescent="0.2">
      <c r="A1853" s="6"/>
      <c r="B1853" s="6"/>
      <c r="C1853" s="6"/>
      <c r="D1853" s="3" t="s">
        <v>33</v>
      </c>
      <c r="E1853" s="3" t="s">
        <v>2661</v>
      </c>
      <c r="F1853" s="3">
        <v>573108686272</v>
      </c>
      <c r="G1853" s="3">
        <v>47034</v>
      </c>
      <c r="H1853" s="3" t="s">
        <v>12</v>
      </c>
      <c r="I1853" s="3" t="s">
        <v>13</v>
      </c>
      <c r="J1853" s="3" t="s">
        <v>2660</v>
      </c>
      <c r="K1853" s="5" t="s">
        <v>2659</v>
      </c>
      <c r="L1853" s="3" t="s">
        <v>34</v>
      </c>
      <c r="M1853" s="3"/>
      <c r="N1853" s="17"/>
      <c r="O1853" s="17"/>
    </row>
    <row r="1854" spans="1:15" ht="25.5" x14ac:dyDescent="0.2">
      <c r="A1854" s="6"/>
      <c r="B1854" s="6"/>
      <c r="C1854" s="6"/>
      <c r="D1854" s="3" t="s">
        <v>2621</v>
      </c>
      <c r="E1854" s="3" t="s">
        <v>2620</v>
      </c>
      <c r="F1854" s="3">
        <v>573103045619</v>
      </c>
      <c r="G1854" s="3">
        <v>47275</v>
      </c>
      <c r="H1854" s="3" t="s">
        <v>12</v>
      </c>
      <c r="I1854" s="3" t="s">
        <v>44</v>
      </c>
      <c r="J1854" s="3" t="s">
        <v>2619</v>
      </c>
      <c r="K1854" s="3" t="s">
        <v>2585</v>
      </c>
      <c r="L1854" s="3" t="s">
        <v>2585</v>
      </c>
      <c r="M1854" s="3"/>
      <c r="N1854" s="17"/>
      <c r="O1854" s="17"/>
    </row>
    <row r="1855" spans="1:15" ht="12.75" x14ac:dyDescent="0.2">
      <c r="A1855" s="6"/>
      <c r="B1855" s="6"/>
      <c r="C1855" s="6"/>
      <c r="D1855" s="3" t="s">
        <v>3028</v>
      </c>
      <c r="E1855" s="3" t="s">
        <v>3027</v>
      </c>
      <c r="F1855" s="3">
        <v>573177318003</v>
      </c>
      <c r="G1855" s="3">
        <v>46708</v>
      </c>
      <c r="H1855" s="3" t="s">
        <v>2585</v>
      </c>
      <c r="I1855" s="3" t="s">
        <v>2585</v>
      </c>
      <c r="J1855" s="3" t="s">
        <v>2585</v>
      </c>
      <c r="K1855" s="3" t="s">
        <v>2585</v>
      </c>
      <c r="L1855" s="3" t="s">
        <v>2585</v>
      </c>
      <c r="M1855" s="3"/>
      <c r="N1855" s="17"/>
      <c r="O1855" s="17"/>
    </row>
    <row r="1856" spans="1:15" ht="12.75" x14ac:dyDescent="0.2">
      <c r="A1856" s="6"/>
      <c r="B1856" s="6"/>
      <c r="C1856" s="6"/>
      <c r="D1856" s="3" t="s">
        <v>3026</v>
      </c>
      <c r="E1856" s="3" t="s">
        <v>3025</v>
      </c>
      <c r="F1856" s="3">
        <v>573028329924</v>
      </c>
      <c r="G1856" s="3">
        <v>46665</v>
      </c>
      <c r="H1856" s="3" t="s">
        <v>2585</v>
      </c>
      <c r="I1856" s="3" t="s">
        <v>2585</v>
      </c>
      <c r="J1856" s="3" t="s">
        <v>2585</v>
      </c>
      <c r="K1856" s="3" t="s">
        <v>2585</v>
      </c>
      <c r="L1856" s="3" t="s">
        <v>2585</v>
      </c>
      <c r="M1856" s="3"/>
      <c r="N1856" s="17"/>
      <c r="O1856" s="17"/>
    </row>
    <row r="1857" spans="1:15" ht="76.5" x14ac:dyDescent="0.2">
      <c r="A1857" s="6"/>
      <c r="B1857" s="6"/>
      <c r="C1857" s="6"/>
      <c r="D1857" s="3" t="s">
        <v>3024</v>
      </c>
      <c r="E1857" s="3" t="s">
        <v>3023</v>
      </c>
      <c r="F1857" s="3">
        <v>573116496128</v>
      </c>
      <c r="G1857" s="3">
        <v>44659</v>
      </c>
      <c r="H1857" s="3" t="s">
        <v>12</v>
      </c>
      <c r="I1857" s="3" t="s">
        <v>13</v>
      </c>
      <c r="J1857" s="3" t="s">
        <v>3022</v>
      </c>
      <c r="K1857" s="5" t="s">
        <v>3558</v>
      </c>
      <c r="L1857" s="3" t="s">
        <v>2585</v>
      </c>
      <c r="M1857" s="3"/>
      <c r="N1857" s="17"/>
      <c r="O1857" s="17"/>
    </row>
    <row r="1858" spans="1:15" ht="76.5" x14ac:dyDescent="0.2">
      <c r="A1858" s="6"/>
      <c r="B1858" s="6"/>
      <c r="C1858" s="6"/>
      <c r="D1858" s="3" t="s">
        <v>60</v>
      </c>
      <c r="E1858" s="3" t="s">
        <v>3021</v>
      </c>
      <c r="F1858" s="3">
        <v>573112617625</v>
      </c>
      <c r="G1858" s="3">
        <v>47576</v>
      </c>
      <c r="H1858" s="3" t="s">
        <v>12</v>
      </c>
      <c r="I1858" s="3" t="s">
        <v>13</v>
      </c>
      <c r="J1858" s="3" t="s">
        <v>3020</v>
      </c>
      <c r="K1858" s="5" t="s">
        <v>3516</v>
      </c>
      <c r="L1858" s="3" t="s">
        <v>58</v>
      </c>
      <c r="M1858" s="3"/>
      <c r="N1858" s="17"/>
      <c r="O1858" s="17"/>
    </row>
    <row r="1859" spans="1:15" ht="63.75" x14ac:dyDescent="0.2">
      <c r="A1859" s="6"/>
      <c r="B1859" s="6"/>
      <c r="C1859" s="6"/>
      <c r="D1859" s="3" t="s">
        <v>3019</v>
      </c>
      <c r="E1859" s="3" t="s">
        <v>65</v>
      </c>
      <c r="F1859" s="3">
        <v>573012338424</v>
      </c>
      <c r="G1859" s="3">
        <v>47744</v>
      </c>
      <c r="H1859" s="3" t="s">
        <v>12</v>
      </c>
      <c r="I1859" s="3" t="s">
        <v>13</v>
      </c>
      <c r="J1859" s="3" t="s">
        <v>3018</v>
      </c>
      <c r="K1859" s="5" t="s">
        <v>3475</v>
      </c>
      <c r="L1859" s="3" t="s">
        <v>58</v>
      </c>
      <c r="M1859" s="3"/>
      <c r="N1859" s="17"/>
      <c r="O1859" s="17"/>
    </row>
    <row r="1860" spans="1:15" ht="38.25" x14ac:dyDescent="0.2">
      <c r="A1860" s="6"/>
      <c r="B1860" s="6"/>
      <c r="C1860" s="6"/>
      <c r="D1860" s="3" t="s">
        <v>72</v>
      </c>
      <c r="E1860" s="3" t="s">
        <v>73</v>
      </c>
      <c r="F1860" s="3">
        <v>573222001147</v>
      </c>
      <c r="G1860" s="3">
        <v>47053</v>
      </c>
      <c r="H1860" s="3" t="s">
        <v>22</v>
      </c>
      <c r="I1860" s="3" t="s">
        <v>13</v>
      </c>
      <c r="J1860" s="3" t="s">
        <v>3017</v>
      </c>
      <c r="K1860" s="3" t="s">
        <v>2585</v>
      </c>
      <c r="L1860" s="3" t="s">
        <v>74</v>
      </c>
      <c r="M1860" s="3"/>
      <c r="N1860" s="17"/>
      <c r="O1860" s="17"/>
    </row>
    <row r="1861" spans="1:15" ht="25.5" x14ac:dyDescent="0.2">
      <c r="A1861" s="11"/>
      <c r="B1861" s="11"/>
      <c r="C1861" s="11"/>
      <c r="D1861" s="3"/>
      <c r="E1861" s="3"/>
      <c r="F1861" s="3"/>
      <c r="G1861" s="3"/>
      <c r="H1861" s="34"/>
      <c r="I1861" s="34"/>
      <c r="J1861" s="3"/>
      <c r="K1861" s="3"/>
      <c r="L1861" s="3" t="s">
        <v>2952</v>
      </c>
      <c r="M1861" s="3" t="s">
        <v>3818</v>
      </c>
      <c r="N1861" s="17"/>
      <c r="O1861" s="17"/>
    </row>
    <row r="1862" spans="1:15" ht="25.5" x14ac:dyDescent="0.2">
      <c r="A1862" s="11"/>
      <c r="B1862" s="11"/>
      <c r="C1862" s="11"/>
      <c r="D1862" s="3"/>
      <c r="E1862" s="3"/>
      <c r="F1862" s="3"/>
      <c r="G1862" s="3"/>
      <c r="H1862" s="34"/>
      <c r="I1862" s="34"/>
      <c r="J1862" s="3"/>
      <c r="K1862" s="3"/>
      <c r="L1862" s="3" t="s">
        <v>82</v>
      </c>
      <c r="M1862" s="3" t="s">
        <v>3817</v>
      </c>
      <c r="N1862" s="17"/>
      <c r="O1862" s="17"/>
    </row>
    <row r="1863" spans="1:15" ht="25.5" x14ac:dyDescent="0.2">
      <c r="A1863" s="11"/>
      <c r="B1863" s="11"/>
      <c r="C1863" s="11"/>
      <c r="D1863" s="3"/>
      <c r="E1863" s="3"/>
      <c r="F1863" s="3"/>
      <c r="G1863" s="3"/>
      <c r="H1863" s="34"/>
      <c r="I1863" s="34"/>
      <c r="J1863" s="3"/>
      <c r="K1863" s="3"/>
      <c r="L1863" s="3" t="s">
        <v>82</v>
      </c>
      <c r="M1863" s="3" t="s">
        <v>3816</v>
      </c>
      <c r="N1863" s="17"/>
      <c r="O1863" s="17"/>
    </row>
    <row r="1864" spans="1:15" ht="25.5" x14ac:dyDescent="0.2">
      <c r="A1864" s="11"/>
      <c r="B1864" s="11"/>
      <c r="C1864" s="11"/>
      <c r="D1864" s="3"/>
      <c r="E1864" s="3"/>
      <c r="F1864" s="3"/>
      <c r="G1864" s="3"/>
      <c r="H1864" s="34"/>
      <c r="I1864" s="34"/>
      <c r="J1864" s="3"/>
      <c r="K1864" s="3"/>
      <c r="L1864" s="3" t="s">
        <v>2951</v>
      </c>
      <c r="M1864" s="3" t="s">
        <v>3815</v>
      </c>
      <c r="N1864" s="17"/>
      <c r="O1864" s="17"/>
    </row>
    <row r="1865" spans="1:15" ht="12.75" x14ac:dyDescent="0.2">
      <c r="A1865" s="15"/>
      <c r="B1865" s="15"/>
      <c r="C1865" s="15"/>
      <c r="D1865" s="16"/>
      <c r="E1865" s="16"/>
      <c r="F1865" s="16"/>
      <c r="G1865" s="16"/>
      <c r="H1865" s="16"/>
      <c r="I1865" s="16"/>
      <c r="J1865" s="16"/>
      <c r="K1865" s="17"/>
      <c r="L1865" s="16"/>
      <c r="M1865" s="17"/>
      <c r="N1865" s="17"/>
      <c r="O1865" s="17"/>
    </row>
    <row r="1866" spans="1:15" ht="12.75" x14ac:dyDescent="0.2">
      <c r="A1866" s="15"/>
      <c r="B1866" s="15"/>
      <c r="C1866" s="15"/>
      <c r="D1866" s="16"/>
      <c r="E1866" s="16"/>
      <c r="F1866" s="16"/>
      <c r="G1866" s="16"/>
      <c r="H1866" s="16"/>
      <c r="I1866" s="16"/>
      <c r="J1866" s="16"/>
      <c r="K1866" s="17"/>
      <c r="L1866" s="16"/>
      <c r="M1866" s="17"/>
      <c r="N1866" s="17"/>
      <c r="O1866" s="17"/>
    </row>
    <row r="1867" spans="1:15" ht="12.75" x14ac:dyDescent="0.2">
      <c r="A1867" s="15"/>
      <c r="B1867" s="15"/>
      <c r="C1867" s="15"/>
      <c r="D1867" s="16"/>
      <c r="E1867" s="16"/>
      <c r="F1867" s="16"/>
      <c r="G1867" s="16"/>
      <c r="H1867" s="16"/>
      <c r="I1867" s="16"/>
      <c r="J1867" s="16"/>
      <c r="K1867" s="17"/>
      <c r="L1867" s="16"/>
      <c r="M1867" s="17"/>
      <c r="N1867" s="17"/>
      <c r="O1867" s="17"/>
    </row>
    <row r="1868" spans="1:15" ht="12.75" x14ac:dyDescent="0.2">
      <c r="A1868" s="15"/>
      <c r="B1868" s="15"/>
      <c r="C1868" s="15"/>
      <c r="D1868" s="16"/>
      <c r="E1868" s="16"/>
      <c r="F1868" s="16"/>
      <c r="G1868" s="16"/>
      <c r="H1868" s="16"/>
      <c r="I1868" s="16"/>
      <c r="J1868" s="16"/>
      <c r="K1868" s="17"/>
      <c r="L1868" s="16"/>
      <c r="M1868" s="17"/>
      <c r="N1868" s="17"/>
      <c r="O1868" s="17"/>
    </row>
    <row r="1869" spans="1:15" ht="12.75" x14ac:dyDescent="0.2">
      <c r="A1869" s="15"/>
      <c r="B1869" s="15"/>
      <c r="C1869" s="15"/>
      <c r="D1869" s="16"/>
      <c r="E1869" s="16"/>
      <c r="F1869" s="16"/>
      <c r="G1869" s="16"/>
      <c r="H1869" s="16"/>
      <c r="I1869" s="16"/>
      <c r="J1869" s="16"/>
      <c r="K1869" s="17"/>
      <c r="L1869" s="16"/>
      <c r="M1869" s="17"/>
      <c r="N1869" s="17"/>
      <c r="O1869" s="17"/>
    </row>
    <row r="1870" spans="1:15" ht="12.75" x14ac:dyDescent="0.2">
      <c r="A1870" s="15"/>
      <c r="B1870" s="15"/>
      <c r="C1870" s="15"/>
      <c r="D1870" s="16"/>
      <c r="E1870" s="16"/>
      <c r="F1870" s="16"/>
      <c r="G1870" s="16"/>
      <c r="H1870" s="16"/>
      <c r="I1870" s="16"/>
      <c r="J1870" s="16"/>
      <c r="K1870" s="17"/>
      <c r="L1870" s="16"/>
      <c r="M1870" s="17"/>
      <c r="N1870" s="17"/>
      <c r="O1870" s="17"/>
    </row>
    <row r="1871" spans="1:15" ht="12.75" x14ac:dyDescent="0.2">
      <c r="A1871" s="15"/>
      <c r="B1871" s="15"/>
      <c r="C1871" s="15"/>
      <c r="D1871" s="16"/>
      <c r="E1871" s="16"/>
      <c r="F1871" s="16"/>
      <c r="G1871" s="16"/>
      <c r="H1871" s="16"/>
      <c r="I1871" s="16"/>
      <c r="J1871" s="16"/>
      <c r="K1871" s="17"/>
      <c r="L1871" s="16"/>
      <c r="M1871" s="17"/>
      <c r="N1871" s="17"/>
      <c r="O1871" s="17"/>
    </row>
    <row r="1872" spans="1:15" ht="12.75" x14ac:dyDescent="0.2">
      <c r="A1872" s="15"/>
      <c r="B1872" s="15"/>
      <c r="C1872" s="15"/>
      <c r="D1872" s="16"/>
      <c r="E1872" s="16"/>
      <c r="F1872" s="16"/>
      <c r="G1872" s="16"/>
      <c r="H1872" s="16"/>
      <c r="I1872" s="16"/>
      <c r="J1872" s="16"/>
      <c r="K1872" s="17"/>
      <c r="L1872" s="16"/>
      <c r="M1872" s="17"/>
      <c r="N1872" s="17"/>
      <c r="O1872" s="17"/>
    </row>
    <row r="1873" spans="1:15" ht="12.75" x14ac:dyDescent="0.2">
      <c r="A1873" s="15"/>
      <c r="B1873" s="15"/>
      <c r="C1873" s="15"/>
      <c r="D1873" s="16"/>
      <c r="E1873" s="16"/>
      <c r="F1873" s="16"/>
      <c r="G1873" s="16"/>
      <c r="H1873" s="16"/>
      <c r="I1873" s="16"/>
      <c r="J1873" s="16"/>
      <c r="K1873" s="17"/>
      <c r="L1873" s="16"/>
      <c r="M1873" s="17"/>
      <c r="N1873" s="17"/>
      <c r="O1873" s="17"/>
    </row>
    <row r="1874" spans="1:15" ht="12.75" x14ac:dyDescent="0.2">
      <c r="A1874" s="15"/>
      <c r="B1874" s="15"/>
      <c r="C1874" s="15"/>
      <c r="D1874" s="16"/>
      <c r="E1874" s="16"/>
      <c r="F1874" s="16"/>
      <c r="G1874" s="16"/>
      <c r="H1874" s="16"/>
      <c r="I1874" s="16"/>
      <c r="J1874" s="16"/>
      <c r="K1874" s="17"/>
      <c r="L1874" s="16"/>
      <c r="M1874" s="17"/>
      <c r="N1874" s="17"/>
      <c r="O1874" s="17"/>
    </row>
    <row r="1875" spans="1:15" ht="12.75" x14ac:dyDescent="0.2">
      <c r="A1875" s="15"/>
      <c r="B1875" s="15"/>
      <c r="C1875" s="15"/>
      <c r="D1875" s="16"/>
      <c r="E1875" s="16"/>
      <c r="F1875" s="16"/>
      <c r="G1875" s="16"/>
      <c r="H1875" s="16"/>
      <c r="I1875" s="16"/>
      <c r="J1875" s="16"/>
      <c r="K1875" s="17"/>
      <c r="L1875" s="16"/>
      <c r="M1875" s="17"/>
      <c r="N1875" s="17"/>
      <c r="O1875" s="17"/>
    </row>
    <row r="1876" spans="1:15" ht="12.75" x14ac:dyDescent="0.2">
      <c r="A1876" s="15"/>
      <c r="B1876" s="15"/>
      <c r="C1876" s="15"/>
      <c r="D1876" s="16"/>
      <c r="E1876" s="16"/>
      <c r="F1876" s="16"/>
      <c r="G1876" s="16"/>
      <c r="H1876" s="16"/>
      <c r="I1876" s="16"/>
      <c r="J1876" s="16"/>
      <c r="K1876" s="17"/>
      <c r="L1876" s="16"/>
      <c r="M1876" s="17"/>
      <c r="N1876" s="17"/>
      <c r="O1876" s="17"/>
    </row>
    <row r="1877" spans="1:15" ht="12.75" x14ac:dyDescent="0.2">
      <c r="A1877" s="15"/>
      <c r="B1877" s="15"/>
      <c r="C1877" s="15"/>
      <c r="D1877" s="16"/>
      <c r="E1877" s="16"/>
      <c r="F1877" s="16"/>
      <c r="G1877" s="16"/>
      <c r="H1877" s="16"/>
      <c r="I1877" s="16"/>
      <c r="J1877" s="16"/>
      <c r="K1877" s="17"/>
      <c r="L1877" s="16"/>
      <c r="M1877" s="17"/>
      <c r="N1877" s="17"/>
      <c r="O1877" s="17"/>
    </row>
    <row r="1878" spans="1:15" ht="12.75" x14ac:dyDescent="0.2">
      <c r="A1878" s="15"/>
      <c r="B1878" s="15"/>
      <c r="C1878" s="15"/>
      <c r="D1878" s="16"/>
      <c r="E1878" s="16"/>
      <c r="F1878" s="16"/>
      <c r="G1878" s="16"/>
      <c r="H1878" s="16"/>
      <c r="I1878" s="16"/>
      <c r="J1878" s="16"/>
      <c r="K1878" s="17"/>
      <c r="L1878" s="16"/>
      <c r="M1878" s="17"/>
      <c r="N1878" s="17"/>
      <c r="O1878" s="17"/>
    </row>
    <row r="1879" spans="1:15" ht="12.75" x14ac:dyDescent="0.2">
      <c r="A1879" s="15"/>
      <c r="B1879" s="15"/>
      <c r="C1879" s="15"/>
      <c r="D1879" s="16"/>
      <c r="E1879" s="16"/>
      <c r="F1879" s="16"/>
      <c r="G1879" s="16"/>
      <c r="H1879" s="16"/>
      <c r="I1879" s="16"/>
      <c r="J1879" s="16"/>
      <c r="K1879" s="17"/>
      <c r="L1879" s="16"/>
      <c r="M1879" s="17"/>
      <c r="N1879" s="17"/>
      <c r="O1879" s="17"/>
    </row>
    <row r="1880" spans="1:15" ht="12.75" x14ac:dyDescent="0.2">
      <c r="A1880" s="15"/>
      <c r="B1880" s="15"/>
      <c r="C1880" s="15"/>
      <c r="D1880" s="16"/>
      <c r="E1880" s="16"/>
      <c r="F1880" s="16"/>
      <c r="G1880" s="16"/>
      <c r="H1880" s="16"/>
      <c r="I1880" s="16"/>
      <c r="J1880" s="16"/>
      <c r="K1880" s="17"/>
      <c r="L1880" s="16"/>
      <c r="M1880" s="17"/>
      <c r="N1880" s="17"/>
      <c r="O1880" s="17"/>
    </row>
    <row r="1881" spans="1:15" ht="12.75" x14ac:dyDescent="0.2">
      <c r="A1881" s="15"/>
      <c r="B1881" s="15"/>
      <c r="C1881" s="15"/>
      <c r="D1881" s="16"/>
      <c r="E1881" s="16"/>
      <c r="F1881" s="16"/>
      <c r="G1881" s="16"/>
      <c r="H1881" s="16"/>
      <c r="I1881" s="16"/>
      <c r="J1881" s="16"/>
      <c r="K1881" s="17"/>
      <c r="L1881" s="16"/>
      <c r="M1881" s="17"/>
      <c r="N1881" s="17"/>
      <c r="O1881" s="17"/>
    </row>
    <row r="1882" spans="1:15" ht="12.75" x14ac:dyDescent="0.2">
      <c r="A1882" s="15"/>
      <c r="B1882" s="15"/>
      <c r="C1882" s="15"/>
      <c r="D1882" s="16"/>
      <c r="E1882" s="16"/>
      <c r="F1882" s="16"/>
      <c r="G1882" s="16"/>
      <c r="H1882" s="16"/>
      <c r="I1882" s="16"/>
      <c r="J1882" s="16"/>
      <c r="K1882" s="17"/>
      <c r="L1882" s="16"/>
      <c r="M1882" s="17"/>
      <c r="N1882" s="17"/>
      <c r="O1882" s="17"/>
    </row>
    <row r="1883" spans="1:15" ht="12.75" x14ac:dyDescent="0.2">
      <c r="A1883" s="15"/>
      <c r="B1883" s="15"/>
      <c r="C1883" s="15"/>
      <c r="D1883" s="16"/>
      <c r="E1883" s="16"/>
      <c r="F1883" s="16"/>
      <c r="G1883" s="16"/>
      <c r="H1883" s="16"/>
      <c r="I1883" s="16"/>
      <c r="J1883" s="16"/>
      <c r="K1883" s="17"/>
      <c r="L1883" s="16"/>
      <c r="M1883" s="17"/>
      <c r="N1883" s="17"/>
      <c r="O1883" s="17"/>
    </row>
    <row r="1884" spans="1:15" ht="12.75" x14ac:dyDescent="0.2">
      <c r="A1884" s="15"/>
      <c r="B1884" s="15"/>
      <c r="C1884" s="15"/>
      <c r="D1884" s="16"/>
      <c r="E1884" s="16"/>
      <c r="F1884" s="16"/>
      <c r="G1884" s="16"/>
      <c r="H1884" s="16"/>
      <c r="I1884" s="16"/>
      <c r="J1884" s="16"/>
      <c r="K1884" s="17"/>
      <c r="L1884" s="16"/>
      <c r="M1884" s="17"/>
      <c r="N1884" s="17"/>
      <c r="O1884" s="17"/>
    </row>
    <row r="1885" spans="1:15" ht="12.75" x14ac:dyDescent="0.2">
      <c r="A1885" s="15"/>
      <c r="B1885" s="15"/>
      <c r="C1885" s="15"/>
      <c r="D1885" s="16"/>
      <c r="E1885" s="16"/>
      <c r="F1885" s="16"/>
      <c r="G1885" s="16"/>
      <c r="H1885" s="16"/>
      <c r="I1885" s="16"/>
      <c r="J1885" s="16"/>
      <c r="K1885" s="17"/>
      <c r="L1885" s="16"/>
      <c r="M1885" s="17"/>
      <c r="N1885" s="17"/>
      <c r="O1885" s="17"/>
    </row>
    <row r="1886" spans="1:15" ht="12.75" x14ac:dyDescent="0.2">
      <c r="A1886" s="15"/>
      <c r="B1886" s="15"/>
      <c r="C1886" s="15"/>
      <c r="D1886" s="16"/>
      <c r="E1886" s="16"/>
      <c r="F1886" s="16"/>
      <c r="G1886" s="16"/>
      <c r="H1886" s="16"/>
      <c r="I1886" s="16"/>
      <c r="J1886" s="16"/>
      <c r="K1886" s="17"/>
      <c r="L1886" s="16"/>
      <c r="M1886" s="17"/>
      <c r="N1886" s="17"/>
      <c r="O1886" s="17"/>
    </row>
    <row r="1887" spans="1:15" ht="12.75" x14ac:dyDescent="0.2">
      <c r="A1887" s="15"/>
      <c r="B1887" s="15"/>
      <c r="C1887" s="15"/>
      <c r="D1887" s="16"/>
      <c r="E1887" s="16"/>
      <c r="F1887" s="16"/>
      <c r="G1887" s="16"/>
      <c r="H1887" s="16"/>
      <c r="I1887" s="16"/>
      <c r="J1887" s="16"/>
      <c r="K1887" s="17"/>
      <c r="L1887" s="16"/>
      <c r="M1887" s="17"/>
      <c r="N1887" s="17"/>
      <c r="O1887" s="17"/>
    </row>
    <row r="1888" spans="1:15" ht="12.75" x14ac:dyDescent="0.2">
      <c r="A1888" s="15"/>
      <c r="B1888" s="15"/>
      <c r="C1888" s="15"/>
      <c r="D1888" s="16"/>
      <c r="E1888" s="16"/>
      <c r="F1888" s="16"/>
      <c r="G1888" s="16"/>
      <c r="H1888" s="16"/>
      <c r="I1888" s="16"/>
      <c r="J1888" s="16"/>
      <c r="K1888" s="17"/>
      <c r="L1888" s="16"/>
      <c r="M1888" s="17"/>
      <c r="N1888" s="17"/>
      <c r="O1888" s="17"/>
    </row>
    <row r="1889" spans="1:15" ht="12.75" x14ac:dyDescent="0.2">
      <c r="A1889" s="15"/>
      <c r="B1889" s="15"/>
      <c r="C1889" s="15"/>
      <c r="D1889" s="16"/>
      <c r="E1889" s="16"/>
      <c r="F1889" s="16"/>
      <c r="G1889" s="16"/>
      <c r="H1889" s="16"/>
      <c r="I1889" s="16"/>
      <c r="J1889" s="16"/>
      <c r="K1889" s="17"/>
      <c r="L1889" s="16"/>
      <c r="M1889" s="17"/>
      <c r="N1889" s="17"/>
      <c r="O1889" s="17"/>
    </row>
    <row r="1890" spans="1:15" ht="12.75" x14ac:dyDescent="0.2">
      <c r="A1890" s="15"/>
      <c r="B1890" s="15"/>
      <c r="C1890" s="15"/>
      <c r="D1890" s="16"/>
      <c r="E1890" s="16"/>
      <c r="F1890" s="16"/>
      <c r="G1890" s="16"/>
      <c r="H1890" s="16"/>
      <c r="I1890" s="16"/>
      <c r="J1890" s="16"/>
      <c r="K1890" s="17"/>
      <c r="L1890" s="16"/>
      <c r="M1890" s="17"/>
      <c r="N1890" s="17"/>
      <c r="O1890" s="17"/>
    </row>
    <row r="1891" spans="1:15" ht="12.75" x14ac:dyDescent="0.2">
      <c r="A1891" s="15"/>
      <c r="B1891" s="15"/>
      <c r="C1891" s="15"/>
      <c r="D1891" s="16"/>
      <c r="E1891" s="16"/>
      <c r="F1891" s="16"/>
      <c r="G1891" s="16"/>
      <c r="H1891" s="16"/>
      <c r="I1891" s="16"/>
      <c r="J1891" s="16"/>
      <c r="K1891" s="17"/>
      <c r="L1891" s="16"/>
      <c r="M1891" s="17"/>
      <c r="N1891" s="17"/>
      <c r="O1891" s="17"/>
    </row>
    <row r="1892" spans="1:15" ht="12.75" x14ac:dyDescent="0.2">
      <c r="A1892" s="15"/>
      <c r="B1892" s="15"/>
      <c r="C1892" s="15"/>
      <c r="D1892" s="16"/>
      <c r="E1892" s="16"/>
      <c r="F1892" s="16"/>
      <c r="G1892" s="16"/>
      <c r="H1892" s="16"/>
      <c r="I1892" s="16"/>
      <c r="J1892" s="16"/>
      <c r="K1892" s="17"/>
      <c r="L1892" s="16"/>
      <c r="M1892" s="17"/>
      <c r="N1892" s="17"/>
      <c r="O1892" s="17"/>
    </row>
    <row r="1893" spans="1:15" ht="12.75" x14ac:dyDescent="0.2">
      <c r="A1893" s="15"/>
      <c r="B1893" s="15"/>
      <c r="C1893" s="15"/>
      <c r="D1893" s="16"/>
      <c r="E1893" s="16"/>
      <c r="F1893" s="16"/>
      <c r="G1893" s="16"/>
      <c r="H1893" s="16"/>
      <c r="I1893" s="16"/>
      <c r="J1893" s="16"/>
      <c r="K1893" s="17"/>
      <c r="L1893" s="16"/>
      <c r="M1893" s="17"/>
      <c r="N1893" s="17"/>
      <c r="O1893" s="17"/>
    </row>
    <row r="1894" spans="1:15" ht="12.75" x14ac:dyDescent="0.2">
      <c r="A1894" s="15"/>
      <c r="B1894" s="15"/>
      <c r="C1894" s="15"/>
      <c r="D1894" s="16"/>
      <c r="E1894" s="16"/>
      <c r="F1894" s="16"/>
      <c r="G1894" s="16"/>
      <c r="H1894" s="16"/>
      <c r="I1894" s="16"/>
      <c r="J1894" s="16"/>
      <c r="K1894" s="17"/>
      <c r="L1894" s="16"/>
      <c r="M1894" s="17"/>
      <c r="N1894" s="17"/>
      <c r="O1894" s="17"/>
    </row>
    <row r="1895" spans="1:15" ht="12.75" x14ac:dyDescent="0.2">
      <c r="A1895" s="15"/>
      <c r="B1895" s="15"/>
      <c r="C1895" s="15"/>
      <c r="D1895" s="16"/>
      <c r="E1895" s="16"/>
      <c r="F1895" s="16"/>
      <c r="G1895" s="16"/>
      <c r="H1895" s="16"/>
      <c r="I1895" s="16"/>
      <c r="J1895" s="16"/>
      <c r="K1895" s="17"/>
      <c r="L1895" s="16"/>
      <c r="M1895" s="17"/>
      <c r="N1895" s="17"/>
      <c r="O1895" s="17"/>
    </row>
    <row r="1896" spans="1:15" ht="12.75" x14ac:dyDescent="0.2">
      <c r="A1896" s="15"/>
      <c r="B1896" s="15"/>
      <c r="C1896" s="15"/>
      <c r="D1896" s="16"/>
      <c r="E1896" s="16"/>
      <c r="F1896" s="16"/>
      <c r="G1896" s="16"/>
      <c r="H1896" s="16"/>
      <c r="I1896" s="16"/>
      <c r="J1896" s="16"/>
      <c r="K1896" s="17"/>
      <c r="L1896" s="16"/>
      <c r="M1896" s="17"/>
      <c r="N1896" s="17"/>
      <c r="O1896" s="17"/>
    </row>
    <row r="1897" spans="1:15" ht="12.75" x14ac:dyDescent="0.2">
      <c r="A1897" s="15"/>
      <c r="B1897" s="15"/>
      <c r="C1897" s="15"/>
      <c r="D1897" s="16"/>
      <c r="E1897" s="16"/>
      <c r="F1897" s="16"/>
      <c r="G1897" s="16"/>
      <c r="H1897" s="16"/>
      <c r="I1897" s="16"/>
      <c r="J1897" s="16"/>
      <c r="K1897" s="17"/>
      <c r="L1897" s="16"/>
      <c r="M1897" s="17"/>
      <c r="N1897" s="17"/>
      <c r="O1897" s="17"/>
    </row>
    <row r="1898" spans="1:15" ht="12.75" x14ac:dyDescent="0.2">
      <c r="A1898" s="15"/>
      <c r="B1898" s="15"/>
      <c r="C1898" s="15"/>
      <c r="D1898" s="16"/>
      <c r="E1898" s="16"/>
      <c r="F1898" s="16"/>
      <c r="G1898" s="16"/>
      <c r="H1898" s="16"/>
      <c r="I1898" s="16"/>
      <c r="J1898" s="16"/>
      <c r="K1898" s="17"/>
      <c r="L1898" s="16"/>
      <c r="M1898" s="17"/>
      <c r="N1898" s="17"/>
      <c r="O1898" s="17"/>
    </row>
    <row r="1899" spans="1:15" ht="12.75" x14ac:dyDescent="0.2">
      <c r="A1899" s="15"/>
      <c r="B1899" s="15"/>
      <c r="C1899" s="15"/>
      <c r="D1899" s="16"/>
      <c r="E1899" s="16"/>
      <c r="F1899" s="16"/>
      <c r="G1899" s="16"/>
      <c r="H1899" s="16"/>
      <c r="I1899" s="16"/>
      <c r="J1899" s="16"/>
      <c r="K1899" s="17"/>
      <c r="L1899" s="16"/>
      <c r="M1899" s="17"/>
      <c r="N1899" s="17"/>
      <c r="O1899" s="17"/>
    </row>
    <row r="1900" spans="1:15" ht="12.75" x14ac:dyDescent="0.2">
      <c r="A1900" s="15"/>
      <c r="B1900" s="15"/>
      <c r="C1900" s="15"/>
      <c r="D1900" s="16"/>
      <c r="E1900" s="16"/>
      <c r="F1900" s="16"/>
      <c r="G1900" s="16"/>
      <c r="H1900" s="16"/>
      <c r="I1900" s="16"/>
      <c r="J1900" s="16"/>
      <c r="K1900" s="17"/>
      <c r="L1900" s="16"/>
      <c r="M1900" s="17"/>
      <c r="N1900" s="17"/>
      <c r="O1900" s="17"/>
    </row>
    <row r="1901" spans="1:15" ht="12.75" x14ac:dyDescent="0.2">
      <c r="A1901" s="15"/>
      <c r="B1901" s="15"/>
      <c r="C1901" s="15"/>
      <c r="D1901" s="16"/>
      <c r="E1901" s="16"/>
      <c r="F1901" s="16"/>
      <c r="G1901" s="16"/>
      <c r="H1901" s="16"/>
      <c r="I1901" s="16"/>
      <c r="J1901" s="16"/>
      <c r="K1901" s="17"/>
      <c r="L1901" s="16"/>
      <c r="M1901" s="17"/>
      <c r="N1901" s="17"/>
      <c r="O1901" s="17"/>
    </row>
    <row r="1902" spans="1:15" ht="12.75" x14ac:dyDescent="0.2">
      <c r="A1902" s="15"/>
      <c r="B1902" s="15"/>
      <c r="C1902" s="15"/>
      <c r="D1902" s="16"/>
      <c r="E1902" s="16"/>
      <c r="F1902" s="16"/>
      <c r="G1902" s="16"/>
      <c r="H1902" s="16"/>
      <c r="I1902" s="16"/>
      <c r="J1902" s="16"/>
      <c r="K1902" s="17"/>
      <c r="L1902" s="16"/>
      <c r="M1902" s="17"/>
      <c r="N1902" s="17"/>
      <c r="O1902" s="17"/>
    </row>
    <row r="1903" spans="1:15" ht="12.75" x14ac:dyDescent="0.2">
      <c r="A1903" s="15"/>
      <c r="B1903" s="15"/>
      <c r="C1903" s="15"/>
      <c r="D1903" s="16"/>
      <c r="E1903" s="16"/>
      <c r="F1903" s="16"/>
      <c r="G1903" s="16"/>
      <c r="H1903" s="16"/>
      <c r="I1903" s="16"/>
      <c r="J1903" s="16"/>
      <c r="K1903" s="17"/>
      <c r="L1903" s="16"/>
      <c r="M1903" s="17"/>
      <c r="N1903" s="17"/>
      <c r="O1903" s="17"/>
    </row>
    <row r="1904" spans="1:15" ht="12.75" x14ac:dyDescent="0.2">
      <c r="A1904" s="15"/>
      <c r="B1904" s="15"/>
      <c r="C1904" s="15"/>
      <c r="D1904" s="16"/>
      <c r="E1904" s="16"/>
      <c r="F1904" s="16"/>
      <c r="G1904" s="16"/>
      <c r="H1904" s="16"/>
      <c r="I1904" s="16"/>
      <c r="J1904" s="16"/>
      <c r="K1904" s="17"/>
      <c r="L1904" s="16"/>
      <c r="M1904" s="17"/>
      <c r="N1904" s="17"/>
      <c r="O1904" s="17"/>
    </row>
    <row r="1905" spans="1:15" ht="12.75" x14ac:dyDescent="0.2">
      <c r="A1905" s="15"/>
      <c r="B1905" s="15"/>
      <c r="C1905" s="15"/>
      <c r="D1905" s="16"/>
      <c r="E1905" s="16"/>
      <c r="F1905" s="16"/>
      <c r="G1905" s="16"/>
      <c r="H1905" s="16"/>
      <c r="I1905" s="16"/>
      <c r="J1905" s="16"/>
      <c r="K1905" s="17"/>
      <c r="L1905" s="16"/>
      <c r="M1905" s="17"/>
      <c r="N1905" s="17"/>
      <c r="O1905" s="17"/>
    </row>
    <row r="1906" spans="1:15" ht="12.75" x14ac:dyDescent="0.2">
      <c r="A1906" s="15"/>
      <c r="B1906" s="15"/>
      <c r="C1906" s="15"/>
      <c r="D1906" s="16"/>
      <c r="E1906" s="16"/>
      <c r="F1906" s="16"/>
      <c r="G1906" s="16"/>
      <c r="H1906" s="16"/>
      <c r="I1906" s="16"/>
      <c r="J1906" s="16"/>
      <c r="K1906" s="17"/>
      <c r="L1906" s="16"/>
      <c r="M1906" s="17"/>
      <c r="N1906" s="17"/>
      <c r="O1906" s="17"/>
    </row>
    <row r="1907" spans="1:15" ht="12.75" x14ac:dyDescent="0.2">
      <c r="A1907" s="15"/>
      <c r="B1907" s="15"/>
      <c r="C1907" s="15"/>
      <c r="D1907" s="16"/>
      <c r="E1907" s="16"/>
      <c r="F1907" s="16"/>
      <c r="G1907" s="16"/>
      <c r="H1907" s="16"/>
      <c r="I1907" s="16"/>
      <c r="J1907" s="16"/>
      <c r="K1907" s="17"/>
      <c r="L1907" s="16"/>
      <c r="M1907" s="17"/>
      <c r="N1907" s="17"/>
      <c r="O1907" s="17"/>
    </row>
    <row r="1908" spans="1:15" ht="12.75" x14ac:dyDescent="0.2">
      <c r="A1908" s="15"/>
      <c r="B1908" s="15"/>
      <c r="C1908" s="15"/>
      <c r="D1908" s="16"/>
      <c r="E1908" s="16"/>
      <c r="F1908" s="16"/>
      <c r="G1908" s="16"/>
      <c r="H1908" s="16"/>
      <c r="I1908" s="16"/>
      <c r="J1908" s="16"/>
      <c r="K1908" s="17"/>
      <c r="L1908" s="16"/>
      <c r="M1908" s="17"/>
      <c r="N1908" s="17"/>
      <c r="O1908" s="17"/>
    </row>
    <row r="1909" spans="1:15" ht="12.75" x14ac:dyDescent="0.2">
      <c r="A1909" s="15"/>
      <c r="B1909" s="15"/>
      <c r="C1909" s="15"/>
      <c r="D1909" s="16"/>
      <c r="E1909" s="16"/>
      <c r="F1909" s="16"/>
      <c r="G1909" s="16"/>
      <c r="H1909" s="16"/>
      <c r="I1909" s="16"/>
      <c r="J1909" s="16"/>
      <c r="K1909" s="17"/>
      <c r="L1909" s="16"/>
      <c r="M1909" s="17"/>
      <c r="N1909" s="17"/>
      <c r="O1909" s="17"/>
    </row>
    <row r="1910" spans="1:15" ht="12.75" x14ac:dyDescent="0.2">
      <c r="A1910" s="15"/>
      <c r="B1910" s="15"/>
      <c r="C1910" s="15"/>
      <c r="D1910" s="16"/>
      <c r="E1910" s="16"/>
      <c r="F1910" s="16"/>
      <c r="G1910" s="16"/>
      <c r="H1910" s="16"/>
      <c r="I1910" s="16"/>
      <c r="J1910" s="16"/>
      <c r="K1910" s="17"/>
      <c r="L1910" s="16"/>
      <c r="M1910" s="17"/>
      <c r="N1910" s="17"/>
      <c r="O1910" s="17"/>
    </row>
    <row r="1911" spans="1:15" ht="12.75" x14ac:dyDescent="0.2">
      <c r="A1911" s="15"/>
      <c r="B1911" s="15"/>
      <c r="C1911" s="15"/>
      <c r="D1911" s="16"/>
      <c r="E1911" s="16"/>
      <c r="F1911" s="16"/>
      <c r="G1911" s="16"/>
      <c r="H1911" s="16"/>
      <c r="I1911" s="16"/>
      <c r="J1911" s="16"/>
      <c r="K1911" s="17"/>
      <c r="L1911" s="16"/>
      <c r="M1911" s="17"/>
      <c r="N1911" s="17"/>
      <c r="O1911" s="17"/>
    </row>
    <row r="1912" spans="1:15" ht="12.75" x14ac:dyDescent="0.2">
      <c r="A1912" s="15"/>
      <c r="B1912" s="15"/>
      <c r="C1912" s="15"/>
      <c r="D1912" s="16"/>
      <c r="E1912" s="16"/>
      <c r="F1912" s="16"/>
      <c r="G1912" s="16"/>
      <c r="H1912" s="16"/>
      <c r="I1912" s="16"/>
      <c r="J1912" s="16"/>
      <c r="K1912" s="17"/>
      <c r="L1912" s="16"/>
      <c r="M1912" s="17"/>
      <c r="N1912" s="17"/>
      <c r="O1912" s="17"/>
    </row>
    <row r="1913" spans="1:15" ht="12.75" x14ac:dyDescent="0.2">
      <c r="A1913" s="15"/>
      <c r="B1913" s="15"/>
      <c r="C1913" s="15"/>
      <c r="D1913" s="16"/>
      <c r="E1913" s="16"/>
      <c r="F1913" s="16"/>
      <c r="G1913" s="16"/>
      <c r="H1913" s="16"/>
      <c r="I1913" s="16"/>
      <c r="J1913" s="16"/>
      <c r="K1913" s="17"/>
      <c r="L1913" s="16"/>
      <c r="M1913" s="17"/>
      <c r="N1913" s="17"/>
      <c r="O1913" s="17"/>
    </row>
    <row r="1914" spans="1:15" ht="12.75" x14ac:dyDescent="0.2">
      <c r="A1914" s="15"/>
      <c r="B1914" s="15"/>
      <c r="C1914" s="15"/>
      <c r="D1914" s="16"/>
      <c r="E1914" s="16"/>
      <c r="F1914" s="16"/>
      <c r="G1914" s="16"/>
      <c r="H1914" s="16"/>
      <c r="I1914" s="16"/>
      <c r="J1914" s="16"/>
      <c r="K1914" s="17"/>
      <c r="L1914" s="16"/>
      <c r="M1914" s="17"/>
      <c r="N1914" s="17"/>
      <c r="O1914" s="17"/>
    </row>
    <row r="1915" spans="1:15" ht="12.75" x14ac:dyDescent="0.2">
      <c r="A1915" s="15"/>
      <c r="B1915" s="15"/>
      <c r="C1915" s="15"/>
      <c r="D1915" s="16"/>
      <c r="E1915" s="16"/>
      <c r="F1915" s="16"/>
      <c r="G1915" s="16"/>
      <c r="H1915" s="16"/>
      <c r="I1915" s="16"/>
      <c r="J1915" s="16"/>
      <c r="K1915" s="17"/>
      <c r="L1915" s="16"/>
      <c r="M1915" s="17"/>
      <c r="N1915" s="17"/>
      <c r="O1915" s="17"/>
    </row>
    <row r="1916" spans="1:15" ht="12.75" x14ac:dyDescent="0.2">
      <c r="A1916" s="15"/>
      <c r="B1916" s="15"/>
      <c r="C1916" s="15"/>
      <c r="D1916" s="16"/>
      <c r="E1916" s="16"/>
      <c r="F1916" s="16"/>
      <c r="G1916" s="16"/>
      <c r="H1916" s="16"/>
      <c r="I1916" s="16"/>
      <c r="J1916" s="16"/>
      <c r="K1916" s="17"/>
      <c r="L1916" s="16"/>
      <c r="M1916" s="17"/>
      <c r="N1916" s="17"/>
      <c r="O1916" s="17"/>
    </row>
    <row r="1917" spans="1:15" ht="12.75" x14ac:dyDescent="0.2">
      <c r="A1917" s="15"/>
      <c r="B1917" s="15"/>
      <c r="C1917" s="15"/>
      <c r="D1917" s="16"/>
      <c r="E1917" s="16"/>
      <c r="F1917" s="16"/>
      <c r="G1917" s="16"/>
      <c r="H1917" s="16"/>
      <c r="I1917" s="16"/>
      <c r="J1917" s="16"/>
      <c r="K1917" s="17"/>
      <c r="L1917" s="16"/>
      <c r="M1917" s="17"/>
      <c r="N1917" s="17"/>
      <c r="O1917" s="17"/>
    </row>
    <row r="1918" spans="1:15" ht="12.75" x14ac:dyDescent="0.2">
      <c r="A1918" s="15"/>
      <c r="B1918" s="15"/>
      <c r="C1918" s="15"/>
      <c r="D1918" s="16"/>
      <c r="E1918" s="16"/>
      <c r="F1918" s="16"/>
      <c r="G1918" s="16"/>
      <c r="H1918" s="16"/>
      <c r="I1918" s="16"/>
      <c r="J1918" s="16"/>
      <c r="K1918" s="17"/>
      <c r="L1918" s="16"/>
      <c r="M1918" s="17"/>
      <c r="N1918" s="17"/>
      <c r="O1918" s="17"/>
    </row>
    <row r="1919" spans="1:15" ht="12.75" x14ac:dyDescent="0.2">
      <c r="A1919" s="15"/>
      <c r="B1919" s="15"/>
      <c r="C1919" s="15"/>
      <c r="D1919" s="16"/>
      <c r="E1919" s="16"/>
      <c r="F1919" s="16"/>
      <c r="G1919" s="16"/>
      <c r="H1919" s="16"/>
      <c r="I1919" s="16"/>
      <c r="J1919" s="16"/>
      <c r="K1919" s="17"/>
      <c r="L1919" s="16"/>
      <c r="M1919" s="17"/>
      <c r="N1919" s="17"/>
      <c r="O1919" s="17"/>
    </row>
    <row r="1920" spans="1:15" ht="12.75" x14ac:dyDescent="0.2">
      <c r="A1920" s="15"/>
      <c r="B1920" s="15"/>
      <c r="C1920" s="15"/>
      <c r="D1920" s="16"/>
      <c r="E1920" s="16"/>
      <c r="F1920" s="16"/>
      <c r="G1920" s="16"/>
      <c r="H1920" s="16"/>
      <c r="I1920" s="16"/>
      <c r="J1920" s="16"/>
      <c r="K1920" s="17"/>
      <c r="L1920" s="16"/>
      <c r="M1920" s="17"/>
      <c r="N1920" s="17"/>
      <c r="O1920" s="17"/>
    </row>
    <row r="1921" spans="1:15" ht="12.75" x14ac:dyDescent="0.2">
      <c r="A1921" s="15"/>
      <c r="B1921" s="15"/>
      <c r="C1921" s="15"/>
      <c r="D1921" s="16"/>
      <c r="E1921" s="16"/>
      <c r="F1921" s="16"/>
      <c r="G1921" s="16"/>
      <c r="H1921" s="16"/>
      <c r="I1921" s="16"/>
      <c r="J1921" s="16"/>
      <c r="K1921" s="17"/>
      <c r="L1921" s="16"/>
      <c r="M1921" s="17"/>
      <c r="N1921" s="17"/>
      <c r="O1921" s="17"/>
    </row>
    <row r="1922" spans="1:15" ht="12.75" x14ac:dyDescent="0.2">
      <c r="A1922" s="15"/>
      <c r="B1922" s="15"/>
      <c r="C1922" s="15"/>
      <c r="D1922" s="16"/>
      <c r="E1922" s="16"/>
      <c r="F1922" s="16"/>
      <c r="G1922" s="16"/>
      <c r="H1922" s="16"/>
      <c r="I1922" s="16"/>
      <c r="J1922" s="16"/>
      <c r="K1922" s="17"/>
      <c r="L1922" s="16"/>
      <c r="M1922" s="17"/>
      <c r="N1922" s="17"/>
      <c r="O1922" s="17"/>
    </row>
    <row r="1923" spans="1:15" ht="12.75" x14ac:dyDescent="0.2">
      <c r="A1923" s="15"/>
      <c r="B1923" s="15"/>
      <c r="C1923" s="15"/>
      <c r="D1923" s="16"/>
      <c r="E1923" s="16"/>
      <c r="F1923" s="16"/>
      <c r="G1923" s="16"/>
      <c r="H1923" s="16"/>
      <c r="I1923" s="16"/>
      <c r="J1923" s="16"/>
      <c r="K1923" s="17"/>
      <c r="L1923" s="16"/>
      <c r="M1923" s="17"/>
      <c r="N1923" s="17"/>
      <c r="O1923" s="17"/>
    </row>
    <row r="1924" spans="1:15" ht="12.75" x14ac:dyDescent="0.2">
      <c r="A1924" s="15"/>
      <c r="B1924" s="15"/>
      <c r="C1924" s="15"/>
      <c r="D1924" s="16"/>
      <c r="E1924" s="16"/>
      <c r="F1924" s="16"/>
      <c r="G1924" s="16"/>
      <c r="H1924" s="16"/>
      <c r="I1924" s="16"/>
      <c r="J1924" s="16"/>
      <c r="K1924" s="17"/>
      <c r="L1924" s="16"/>
      <c r="M1924" s="17"/>
      <c r="N1924" s="17"/>
      <c r="O1924" s="17"/>
    </row>
    <row r="1925" spans="1:15" ht="12.75" x14ac:dyDescent="0.2">
      <c r="A1925" s="15"/>
      <c r="B1925" s="15"/>
      <c r="C1925" s="15"/>
      <c r="D1925" s="16"/>
      <c r="E1925" s="16"/>
      <c r="F1925" s="16"/>
      <c r="G1925" s="16"/>
      <c r="H1925" s="16"/>
      <c r="I1925" s="16"/>
      <c r="J1925" s="16"/>
      <c r="K1925" s="17"/>
      <c r="L1925" s="16"/>
      <c r="M1925" s="17"/>
      <c r="N1925" s="17"/>
      <c r="O1925" s="17"/>
    </row>
    <row r="1926" spans="1:15" ht="12.75" x14ac:dyDescent="0.2">
      <c r="A1926" s="15"/>
      <c r="B1926" s="15"/>
      <c r="C1926" s="15"/>
      <c r="D1926" s="16"/>
      <c r="E1926" s="16"/>
      <c r="F1926" s="16"/>
      <c r="G1926" s="16"/>
      <c r="H1926" s="16"/>
      <c r="I1926" s="16"/>
      <c r="J1926" s="16"/>
      <c r="K1926" s="17"/>
      <c r="L1926" s="16"/>
      <c r="M1926" s="17"/>
      <c r="N1926" s="17"/>
      <c r="O1926" s="17"/>
    </row>
    <row r="1927" spans="1:15" ht="12.75" x14ac:dyDescent="0.2">
      <c r="A1927" s="15"/>
      <c r="B1927" s="15"/>
      <c r="C1927" s="15"/>
      <c r="D1927" s="16"/>
      <c r="E1927" s="16"/>
      <c r="F1927" s="16"/>
      <c r="G1927" s="16"/>
      <c r="H1927" s="16"/>
      <c r="I1927" s="16"/>
      <c r="J1927" s="16"/>
      <c r="K1927" s="17"/>
      <c r="L1927" s="16"/>
      <c r="M1927" s="17"/>
      <c r="N1927" s="17"/>
      <c r="O1927" s="17"/>
    </row>
    <row r="1928" spans="1:15" ht="12.75" x14ac:dyDescent="0.2">
      <c r="A1928" s="15"/>
      <c r="B1928" s="15"/>
      <c r="C1928" s="15"/>
      <c r="D1928" s="16"/>
      <c r="E1928" s="16"/>
      <c r="F1928" s="16"/>
      <c r="G1928" s="16"/>
      <c r="H1928" s="16"/>
      <c r="I1928" s="16"/>
      <c r="J1928" s="16"/>
      <c r="K1928" s="17"/>
      <c r="L1928" s="16"/>
      <c r="M1928" s="17"/>
      <c r="N1928" s="17"/>
      <c r="O1928" s="17"/>
    </row>
    <row r="1929" spans="1:15" ht="12.75" x14ac:dyDescent="0.2">
      <c r="A1929" s="15"/>
      <c r="B1929" s="15"/>
      <c r="C1929" s="15"/>
      <c r="D1929" s="16"/>
      <c r="E1929" s="16"/>
      <c r="F1929" s="16"/>
      <c r="G1929" s="16"/>
      <c r="H1929" s="16"/>
      <c r="I1929" s="16"/>
      <c r="J1929" s="16"/>
      <c r="K1929" s="17"/>
      <c r="L1929" s="16"/>
      <c r="M1929" s="17"/>
      <c r="N1929" s="17"/>
      <c r="O1929" s="17"/>
    </row>
    <row r="1930" spans="1:15" ht="12.75" x14ac:dyDescent="0.2">
      <c r="A1930" s="15"/>
      <c r="B1930" s="15"/>
      <c r="C1930" s="15"/>
      <c r="D1930" s="16"/>
      <c r="E1930" s="16"/>
      <c r="F1930" s="16"/>
      <c r="G1930" s="16"/>
      <c r="H1930" s="16"/>
      <c r="I1930" s="16"/>
      <c r="J1930" s="16"/>
      <c r="K1930" s="17"/>
      <c r="L1930" s="16"/>
      <c r="M1930" s="17"/>
      <c r="N1930" s="17"/>
      <c r="O1930" s="17"/>
    </row>
    <row r="1931" spans="1:15" ht="12.75" x14ac:dyDescent="0.2">
      <c r="A1931" s="15"/>
      <c r="B1931" s="15"/>
      <c r="C1931" s="15"/>
      <c r="D1931" s="16"/>
      <c r="E1931" s="16"/>
      <c r="F1931" s="16"/>
      <c r="G1931" s="16"/>
      <c r="H1931" s="16"/>
      <c r="I1931" s="16"/>
      <c r="J1931" s="16"/>
      <c r="K1931" s="17"/>
      <c r="L1931" s="16"/>
      <c r="M1931" s="17"/>
      <c r="N1931" s="17"/>
      <c r="O1931" s="17"/>
    </row>
    <row r="1932" spans="1:15" ht="12.75" x14ac:dyDescent="0.2">
      <c r="A1932" s="15"/>
      <c r="B1932" s="15"/>
      <c r="C1932" s="15"/>
      <c r="D1932" s="16"/>
      <c r="E1932" s="16"/>
      <c r="F1932" s="16"/>
      <c r="G1932" s="16"/>
      <c r="H1932" s="16"/>
      <c r="I1932" s="16"/>
      <c r="J1932" s="16"/>
      <c r="K1932" s="17"/>
      <c r="L1932" s="16"/>
      <c r="M1932" s="17"/>
      <c r="N1932" s="17"/>
      <c r="O1932" s="17"/>
    </row>
    <row r="1933" spans="1:15" ht="12.75" x14ac:dyDescent="0.2">
      <c r="A1933" s="15"/>
      <c r="B1933" s="15"/>
      <c r="C1933" s="15"/>
      <c r="D1933" s="16"/>
      <c r="E1933" s="16"/>
      <c r="F1933" s="16"/>
      <c r="G1933" s="16"/>
      <c r="H1933" s="16"/>
      <c r="I1933" s="16"/>
      <c r="J1933" s="16"/>
      <c r="K1933" s="17"/>
      <c r="L1933" s="16"/>
      <c r="M1933" s="17"/>
      <c r="N1933" s="17"/>
      <c r="O1933" s="17"/>
    </row>
    <row r="1934" spans="1:15" ht="12.75" x14ac:dyDescent="0.2">
      <c r="A1934" s="15"/>
      <c r="B1934" s="15"/>
      <c r="C1934" s="15"/>
      <c r="D1934" s="16"/>
      <c r="E1934" s="16"/>
      <c r="F1934" s="16"/>
      <c r="G1934" s="16"/>
      <c r="H1934" s="16"/>
      <c r="I1934" s="16"/>
      <c r="J1934" s="16"/>
      <c r="K1934" s="17"/>
      <c r="L1934" s="16"/>
      <c r="M1934" s="17"/>
      <c r="N1934" s="17"/>
      <c r="O1934" s="17"/>
    </row>
    <row r="1935" spans="1:15" ht="12.75" x14ac:dyDescent="0.2">
      <c r="A1935" s="15"/>
      <c r="B1935" s="15"/>
      <c r="C1935" s="15"/>
      <c r="D1935" s="16"/>
      <c r="E1935" s="16"/>
      <c r="F1935" s="16"/>
      <c r="G1935" s="16"/>
      <c r="H1935" s="16"/>
      <c r="I1935" s="16"/>
      <c r="J1935" s="16"/>
      <c r="K1935" s="17"/>
      <c r="L1935" s="16"/>
      <c r="M1935" s="17"/>
      <c r="N1935" s="17"/>
      <c r="O1935" s="17"/>
    </row>
    <row r="1936" spans="1:15" ht="12.75" x14ac:dyDescent="0.2">
      <c r="A1936" s="15"/>
      <c r="B1936" s="15"/>
      <c r="C1936" s="15"/>
      <c r="D1936" s="16"/>
      <c r="E1936" s="16"/>
      <c r="F1936" s="16"/>
      <c r="G1936" s="16"/>
      <c r="H1936" s="16"/>
      <c r="I1936" s="16"/>
      <c r="J1936" s="16"/>
      <c r="K1936" s="17"/>
      <c r="L1936" s="16"/>
      <c r="M1936" s="17"/>
      <c r="N1936" s="17"/>
      <c r="O1936" s="17"/>
    </row>
    <row r="1937" spans="1:15" ht="12.75" x14ac:dyDescent="0.2">
      <c r="A1937" s="15"/>
      <c r="B1937" s="15"/>
      <c r="C1937" s="15"/>
      <c r="D1937" s="16"/>
      <c r="E1937" s="16"/>
      <c r="F1937" s="16"/>
      <c r="G1937" s="16"/>
      <c r="H1937" s="16"/>
      <c r="I1937" s="16"/>
      <c r="J1937" s="16"/>
      <c r="K1937" s="17"/>
      <c r="L1937" s="16"/>
      <c r="M1937" s="17"/>
      <c r="N1937" s="17"/>
      <c r="O1937" s="17"/>
    </row>
    <row r="1938" spans="1:15" ht="12.75" x14ac:dyDescent="0.2">
      <c r="A1938" s="15"/>
      <c r="B1938" s="15"/>
      <c r="C1938" s="15"/>
      <c r="D1938" s="16"/>
      <c r="E1938" s="16"/>
      <c r="F1938" s="16"/>
      <c r="G1938" s="16"/>
      <c r="H1938" s="16"/>
      <c r="I1938" s="16"/>
      <c r="J1938" s="16"/>
      <c r="K1938" s="17"/>
      <c r="L1938" s="16"/>
      <c r="M1938" s="17"/>
      <c r="N1938" s="17"/>
      <c r="O1938" s="17"/>
    </row>
    <row r="1939" spans="1:15" ht="12.75" x14ac:dyDescent="0.2">
      <c r="A1939" s="15"/>
      <c r="B1939" s="15"/>
      <c r="C1939" s="15"/>
      <c r="D1939" s="16"/>
      <c r="E1939" s="16"/>
      <c r="F1939" s="16"/>
      <c r="G1939" s="16"/>
      <c r="H1939" s="16"/>
      <c r="I1939" s="16"/>
      <c r="J1939" s="16"/>
      <c r="K1939" s="17"/>
      <c r="L1939" s="16"/>
      <c r="M1939" s="17"/>
      <c r="N1939" s="17"/>
      <c r="O1939" s="17"/>
    </row>
    <row r="1940" spans="1:15" ht="12.75" x14ac:dyDescent="0.2">
      <c r="A1940" s="15"/>
      <c r="B1940" s="15"/>
      <c r="C1940" s="15"/>
      <c r="D1940" s="16"/>
      <c r="E1940" s="16"/>
      <c r="F1940" s="16"/>
      <c r="G1940" s="16"/>
      <c r="H1940" s="16"/>
      <c r="I1940" s="16"/>
      <c r="J1940" s="16"/>
      <c r="K1940" s="17"/>
      <c r="L1940" s="16"/>
      <c r="M1940" s="17"/>
      <c r="N1940" s="17"/>
      <c r="O1940" s="17"/>
    </row>
    <row r="1941" spans="1:15" ht="12.75" x14ac:dyDescent="0.2">
      <c r="A1941" s="15"/>
      <c r="B1941" s="15"/>
      <c r="C1941" s="15"/>
      <c r="D1941" s="16"/>
      <c r="E1941" s="16"/>
      <c r="F1941" s="16"/>
      <c r="G1941" s="16"/>
      <c r="H1941" s="16"/>
      <c r="I1941" s="16"/>
      <c r="J1941" s="16"/>
      <c r="K1941" s="17"/>
      <c r="L1941" s="16"/>
      <c r="M1941" s="17"/>
      <c r="N1941" s="17"/>
      <c r="O1941" s="17"/>
    </row>
    <row r="1942" spans="1:15" ht="12.75" x14ac:dyDescent="0.2">
      <c r="A1942" s="15"/>
      <c r="B1942" s="15"/>
      <c r="C1942" s="15"/>
      <c r="D1942" s="16"/>
      <c r="E1942" s="16"/>
      <c r="F1942" s="16"/>
      <c r="G1942" s="16"/>
      <c r="H1942" s="16"/>
      <c r="I1942" s="16"/>
      <c r="J1942" s="16"/>
      <c r="K1942" s="17"/>
      <c r="L1942" s="16"/>
      <c r="M1942" s="17"/>
      <c r="N1942" s="17"/>
      <c r="O1942" s="17"/>
    </row>
    <row r="1943" spans="1:15" ht="12.75" x14ac:dyDescent="0.2">
      <c r="A1943" s="15"/>
      <c r="B1943" s="15"/>
      <c r="C1943" s="15"/>
      <c r="D1943" s="16"/>
      <c r="E1943" s="16"/>
      <c r="F1943" s="16"/>
      <c r="G1943" s="16"/>
      <c r="H1943" s="16"/>
      <c r="I1943" s="16"/>
      <c r="J1943" s="16"/>
      <c r="K1943" s="17"/>
      <c r="L1943" s="16"/>
      <c r="M1943" s="17"/>
      <c r="N1943" s="17"/>
      <c r="O1943" s="17"/>
    </row>
    <row r="1944" spans="1:15" ht="12.75" x14ac:dyDescent="0.2">
      <c r="A1944" s="15"/>
      <c r="B1944" s="15"/>
      <c r="C1944" s="15"/>
      <c r="D1944" s="16"/>
      <c r="E1944" s="16"/>
      <c r="F1944" s="16"/>
      <c r="G1944" s="16"/>
      <c r="H1944" s="16"/>
      <c r="I1944" s="16"/>
      <c r="J1944" s="16"/>
      <c r="K1944" s="17"/>
      <c r="L1944" s="16"/>
      <c r="M1944" s="17"/>
      <c r="N1944" s="17"/>
      <c r="O1944" s="17"/>
    </row>
    <row r="1945" spans="1:15" ht="12.75" x14ac:dyDescent="0.2">
      <c r="A1945" s="15"/>
      <c r="B1945" s="15"/>
      <c r="C1945" s="15"/>
      <c r="D1945" s="16"/>
      <c r="E1945" s="16"/>
      <c r="F1945" s="16"/>
      <c r="G1945" s="16"/>
      <c r="H1945" s="16"/>
      <c r="I1945" s="16"/>
      <c r="J1945" s="16"/>
      <c r="K1945" s="17"/>
      <c r="L1945" s="16"/>
      <c r="M1945" s="17"/>
      <c r="N1945" s="17"/>
      <c r="O1945" s="17"/>
    </row>
    <row r="1946" spans="1:15" ht="12.75" x14ac:dyDescent="0.2">
      <c r="A1946" s="15"/>
      <c r="B1946" s="15"/>
      <c r="C1946" s="15"/>
      <c r="D1946" s="16"/>
      <c r="E1946" s="16"/>
      <c r="F1946" s="16"/>
      <c r="G1946" s="16"/>
      <c r="H1946" s="16"/>
      <c r="I1946" s="16"/>
      <c r="J1946" s="16"/>
      <c r="K1946" s="17"/>
      <c r="L1946" s="16"/>
      <c r="M1946" s="17"/>
      <c r="N1946" s="17"/>
      <c r="O1946" s="17"/>
    </row>
    <row r="1947" spans="1:15" ht="12.75" x14ac:dyDescent="0.2">
      <c r="A1947" s="15"/>
      <c r="B1947" s="15"/>
      <c r="C1947" s="15"/>
      <c r="D1947" s="16"/>
      <c r="E1947" s="16"/>
      <c r="F1947" s="16"/>
      <c r="G1947" s="16"/>
      <c r="H1947" s="16"/>
      <c r="I1947" s="16"/>
      <c r="J1947" s="16"/>
      <c r="K1947" s="17"/>
      <c r="L1947" s="16"/>
      <c r="M1947" s="17"/>
      <c r="N1947" s="17"/>
      <c r="O1947" s="17"/>
    </row>
    <row r="1948" spans="1:15" ht="12.75" x14ac:dyDescent="0.2">
      <c r="A1948" s="15"/>
      <c r="B1948" s="15"/>
      <c r="C1948" s="15"/>
      <c r="D1948" s="16"/>
      <c r="E1948" s="16"/>
      <c r="F1948" s="16"/>
      <c r="G1948" s="16"/>
      <c r="H1948" s="16"/>
      <c r="I1948" s="16"/>
      <c r="J1948" s="16"/>
      <c r="K1948" s="17"/>
      <c r="L1948" s="16"/>
      <c r="M1948" s="17"/>
      <c r="N1948" s="17"/>
      <c r="O1948" s="17"/>
    </row>
    <row r="1949" spans="1:15" ht="12.75" x14ac:dyDescent="0.2">
      <c r="A1949" s="15"/>
      <c r="B1949" s="15"/>
      <c r="C1949" s="15"/>
      <c r="D1949" s="16"/>
      <c r="E1949" s="16"/>
      <c r="F1949" s="16"/>
      <c r="G1949" s="16"/>
      <c r="H1949" s="16"/>
      <c r="I1949" s="16"/>
      <c r="J1949" s="16"/>
      <c r="K1949" s="17"/>
      <c r="L1949" s="16"/>
      <c r="M1949" s="17"/>
      <c r="N1949" s="17"/>
      <c r="O1949" s="17"/>
    </row>
    <row r="1950" spans="1:15" ht="12.75" x14ac:dyDescent="0.2">
      <c r="A1950" s="15"/>
      <c r="B1950" s="15"/>
      <c r="C1950" s="15"/>
      <c r="D1950" s="16"/>
      <c r="E1950" s="16"/>
      <c r="F1950" s="16"/>
      <c r="G1950" s="16"/>
      <c r="H1950" s="16"/>
      <c r="I1950" s="16"/>
      <c r="J1950" s="16"/>
      <c r="K1950" s="17"/>
      <c r="L1950" s="16"/>
      <c r="M1950" s="17"/>
      <c r="N1950" s="17"/>
      <c r="O1950" s="17"/>
    </row>
    <row r="1951" spans="1:15" ht="12.75" x14ac:dyDescent="0.2">
      <c r="A1951" s="15"/>
      <c r="B1951" s="15"/>
      <c r="C1951" s="15"/>
      <c r="D1951" s="16"/>
      <c r="E1951" s="16"/>
      <c r="F1951" s="16"/>
      <c r="G1951" s="16"/>
      <c r="H1951" s="16"/>
      <c r="I1951" s="16"/>
      <c r="J1951" s="16"/>
      <c r="K1951" s="17"/>
      <c r="L1951" s="16"/>
      <c r="M1951" s="17"/>
      <c r="N1951" s="17"/>
      <c r="O1951" s="17"/>
    </row>
    <row r="1952" spans="1:15" ht="12.75" x14ac:dyDescent="0.2">
      <c r="A1952" s="15"/>
      <c r="B1952" s="15"/>
      <c r="C1952" s="15"/>
      <c r="D1952" s="16"/>
      <c r="E1952" s="16"/>
      <c r="F1952" s="16"/>
      <c r="G1952" s="16"/>
      <c r="H1952" s="16"/>
      <c r="I1952" s="16"/>
      <c r="J1952" s="16"/>
      <c r="K1952" s="17"/>
      <c r="L1952" s="16"/>
      <c r="M1952" s="17"/>
      <c r="N1952" s="17"/>
      <c r="O1952" s="17"/>
    </row>
    <row r="1953" spans="1:15" ht="12.75" x14ac:dyDescent="0.2">
      <c r="A1953" s="15"/>
      <c r="B1953" s="15"/>
      <c r="C1953" s="15"/>
      <c r="D1953" s="16"/>
      <c r="E1953" s="16"/>
      <c r="F1953" s="16"/>
      <c r="G1953" s="16"/>
      <c r="H1953" s="16"/>
      <c r="I1953" s="16"/>
      <c r="J1953" s="16"/>
      <c r="K1953" s="17"/>
      <c r="L1953" s="16"/>
      <c r="M1953" s="17"/>
      <c r="N1953" s="17"/>
      <c r="O1953" s="17"/>
    </row>
    <row r="1954" spans="1:15" ht="12.75" x14ac:dyDescent="0.2">
      <c r="A1954" s="15"/>
      <c r="B1954" s="15"/>
      <c r="C1954" s="15"/>
      <c r="D1954" s="16"/>
      <c r="E1954" s="16"/>
      <c r="F1954" s="16"/>
      <c r="G1954" s="16"/>
      <c r="H1954" s="16"/>
      <c r="I1954" s="16"/>
      <c r="J1954" s="16"/>
      <c r="K1954" s="17"/>
      <c r="L1954" s="16"/>
      <c r="M1954" s="17"/>
      <c r="N1954" s="17"/>
      <c r="O1954" s="17"/>
    </row>
    <row r="1955" spans="1:15" ht="12.75" x14ac:dyDescent="0.2">
      <c r="A1955" s="15"/>
      <c r="B1955" s="15"/>
      <c r="C1955" s="15"/>
      <c r="D1955" s="16"/>
      <c r="E1955" s="16"/>
      <c r="F1955" s="16"/>
      <c r="G1955" s="16"/>
      <c r="H1955" s="16"/>
      <c r="I1955" s="16"/>
      <c r="J1955" s="16"/>
      <c r="K1955" s="17"/>
      <c r="L1955" s="16"/>
      <c r="M1955" s="17"/>
      <c r="N1955" s="17"/>
      <c r="O1955" s="17"/>
    </row>
    <row r="1956" spans="1:15" ht="12.75" x14ac:dyDescent="0.2">
      <c r="A1956" s="15"/>
      <c r="B1956" s="15"/>
      <c r="C1956" s="15"/>
      <c r="D1956" s="16"/>
      <c r="E1956" s="16"/>
      <c r="F1956" s="16"/>
      <c r="G1956" s="16"/>
      <c r="H1956" s="16"/>
      <c r="I1956" s="16"/>
      <c r="J1956" s="16"/>
      <c r="K1956" s="17"/>
      <c r="L1956" s="16"/>
      <c r="M1956" s="17"/>
      <c r="N1956" s="17"/>
      <c r="O1956" s="17"/>
    </row>
    <row r="1957" spans="1:15" ht="12.75" x14ac:dyDescent="0.2">
      <c r="A1957" s="15"/>
      <c r="B1957" s="15"/>
      <c r="C1957" s="15"/>
      <c r="D1957" s="16"/>
      <c r="E1957" s="16"/>
      <c r="F1957" s="16"/>
      <c r="G1957" s="16"/>
      <c r="H1957" s="16"/>
      <c r="I1957" s="16"/>
      <c r="J1957" s="16"/>
      <c r="K1957" s="17"/>
      <c r="L1957" s="16"/>
      <c r="M1957" s="17"/>
      <c r="N1957" s="17"/>
      <c r="O1957" s="17"/>
    </row>
    <row r="1958" spans="1:15" ht="12.75" x14ac:dyDescent="0.2">
      <c r="A1958" s="15"/>
      <c r="B1958" s="15"/>
      <c r="C1958" s="15"/>
      <c r="D1958" s="16"/>
      <c r="E1958" s="16"/>
      <c r="F1958" s="16"/>
      <c r="G1958" s="16"/>
      <c r="H1958" s="16"/>
      <c r="I1958" s="16"/>
      <c r="J1958" s="16"/>
      <c r="K1958" s="17"/>
      <c r="L1958" s="16"/>
      <c r="M1958" s="17"/>
      <c r="N1958" s="17"/>
      <c r="O1958" s="17"/>
    </row>
    <row r="1959" spans="1:15" ht="12.75" x14ac:dyDescent="0.2">
      <c r="A1959" s="15"/>
      <c r="B1959" s="15"/>
      <c r="C1959" s="15"/>
      <c r="D1959" s="16"/>
      <c r="E1959" s="16"/>
      <c r="F1959" s="16"/>
      <c r="G1959" s="16"/>
      <c r="H1959" s="16"/>
      <c r="I1959" s="16"/>
      <c r="J1959" s="16"/>
      <c r="K1959" s="17"/>
      <c r="L1959" s="16"/>
      <c r="M1959" s="17"/>
      <c r="N1959" s="17"/>
      <c r="O1959" s="17"/>
    </row>
    <row r="1960" spans="1:15" ht="12.75" x14ac:dyDescent="0.2">
      <c r="A1960" s="15"/>
      <c r="B1960" s="15"/>
      <c r="C1960" s="15"/>
      <c r="D1960" s="16"/>
      <c r="E1960" s="16"/>
      <c r="F1960" s="16"/>
      <c r="G1960" s="16"/>
      <c r="H1960" s="16"/>
      <c r="I1960" s="16"/>
      <c r="J1960" s="16"/>
      <c r="K1960" s="17"/>
      <c r="L1960" s="16"/>
      <c r="M1960" s="17"/>
      <c r="N1960" s="17"/>
      <c r="O1960" s="17"/>
    </row>
    <row r="1961" spans="1:15" ht="12.75" x14ac:dyDescent="0.2">
      <c r="A1961" s="15"/>
      <c r="B1961" s="15"/>
      <c r="C1961" s="15"/>
      <c r="D1961" s="16"/>
      <c r="E1961" s="16"/>
      <c r="F1961" s="16"/>
      <c r="G1961" s="16"/>
      <c r="H1961" s="16"/>
      <c r="I1961" s="16"/>
      <c r="J1961" s="16"/>
      <c r="K1961" s="17"/>
      <c r="L1961" s="16"/>
      <c r="M1961" s="17"/>
      <c r="N1961" s="17"/>
      <c r="O1961" s="17"/>
    </row>
    <row r="1962" spans="1:15" ht="12.75" x14ac:dyDescent="0.2">
      <c r="A1962" s="15"/>
      <c r="B1962" s="15"/>
      <c r="C1962" s="15"/>
      <c r="D1962" s="16"/>
      <c r="E1962" s="16"/>
      <c r="F1962" s="16"/>
      <c r="G1962" s="16"/>
      <c r="H1962" s="16"/>
      <c r="I1962" s="16"/>
      <c r="J1962" s="16"/>
      <c r="K1962" s="17"/>
      <c r="L1962" s="16"/>
      <c r="M1962" s="17"/>
      <c r="N1962" s="17"/>
      <c r="O1962" s="17"/>
    </row>
    <row r="1963" spans="1:15" ht="12.75" x14ac:dyDescent="0.2">
      <c r="A1963" s="15"/>
      <c r="B1963" s="15"/>
      <c r="C1963" s="15"/>
      <c r="D1963" s="16"/>
      <c r="E1963" s="16"/>
      <c r="F1963" s="16"/>
      <c r="G1963" s="16"/>
      <c r="H1963" s="16"/>
      <c r="I1963" s="16"/>
      <c r="J1963" s="16"/>
      <c r="K1963" s="17"/>
      <c r="L1963" s="16"/>
      <c r="M1963" s="17"/>
      <c r="N1963" s="17"/>
      <c r="O1963" s="17"/>
    </row>
    <row r="1964" spans="1:15" ht="12.75" x14ac:dyDescent="0.2">
      <c r="A1964" s="15"/>
      <c r="B1964" s="15"/>
      <c r="C1964" s="15"/>
      <c r="D1964" s="16"/>
      <c r="E1964" s="16"/>
      <c r="F1964" s="16"/>
      <c r="G1964" s="16"/>
      <c r="H1964" s="16"/>
      <c r="I1964" s="16"/>
      <c r="J1964" s="16"/>
      <c r="K1964" s="17"/>
      <c r="L1964" s="16"/>
      <c r="M1964" s="17"/>
      <c r="N1964" s="17"/>
      <c r="O1964" s="17"/>
    </row>
    <row r="1965" spans="1:15" ht="12.75" x14ac:dyDescent="0.2">
      <c r="A1965" s="15"/>
      <c r="B1965" s="15"/>
      <c r="C1965" s="15"/>
      <c r="D1965" s="16"/>
      <c r="E1965" s="16"/>
      <c r="F1965" s="16"/>
      <c r="G1965" s="16"/>
      <c r="H1965" s="16"/>
      <c r="I1965" s="16"/>
      <c r="J1965" s="16"/>
      <c r="K1965" s="17"/>
      <c r="L1965" s="16"/>
      <c r="M1965" s="17"/>
      <c r="N1965" s="17"/>
      <c r="O1965" s="17"/>
    </row>
    <row r="1966" spans="1:15" ht="12.75" x14ac:dyDescent="0.2">
      <c r="A1966" s="15"/>
      <c r="B1966" s="15"/>
      <c r="C1966" s="15"/>
      <c r="D1966" s="16"/>
      <c r="E1966" s="16"/>
      <c r="F1966" s="16"/>
      <c r="G1966" s="16"/>
      <c r="H1966" s="16"/>
      <c r="I1966" s="16"/>
      <c r="J1966" s="16"/>
      <c r="K1966" s="17"/>
      <c r="L1966" s="16"/>
      <c r="M1966" s="17"/>
      <c r="N1966" s="17"/>
      <c r="O1966" s="17"/>
    </row>
    <row r="1967" spans="1:15" ht="12.75" x14ac:dyDescent="0.2">
      <c r="A1967" s="15"/>
      <c r="B1967" s="15"/>
      <c r="C1967" s="15"/>
      <c r="D1967" s="16"/>
      <c r="E1967" s="16"/>
      <c r="F1967" s="16"/>
      <c r="G1967" s="16"/>
      <c r="H1967" s="16"/>
      <c r="I1967" s="16"/>
      <c r="J1967" s="16"/>
      <c r="K1967" s="17"/>
      <c r="L1967" s="16"/>
      <c r="M1967" s="17"/>
      <c r="N1967" s="17"/>
      <c r="O1967" s="17"/>
    </row>
    <row r="1968" spans="1:15" ht="12.75" x14ac:dyDescent="0.2">
      <c r="A1968" s="15"/>
      <c r="B1968" s="15"/>
      <c r="C1968" s="15"/>
      <c r="D1968" s="16"/>
      <c r="E1968" s="16"/>
      <c r="F1968" s="16"/>
      <c r="G1968" s="16"/>
      <c r="H1968" s="16"/>
      <c r="I1968" s="16"/>
      <c r="J1968" s="16"/>
      <c r="K1968" s="17"/>
      <c r="L1968" s="16"/>
      <c r="M1968" s="17"/>
      <c r="N1968" s="17"/>
      <c r="O1968" s="17"/>
    </row>
    <row r="1969" spans="1:15" ht="12.75" x14ac:dyDescent="0.2">
      <c r="A1969" s="15"/>
      <c r="B1969" s="15"/>
      <c r="C1969" s="15"/>
      <c r="D1969" s="16"/>
      <c r="E1969" s="16"/>
      <c r="F1969" s="16"/>
      <c r="G1969" s="16"/>
      <c r="H1969" s="16"/>
      <c r="I1969" s="16"/>
      <c r="J1969" s="16"/>
      <c r="K1969" s="17"/>
      <c r="L1969" s="16"/>
      <c r="M1969" s="17"/>
      <c r="N1969" s="17"/>
      <c r="O1969" s="17"/>
    </row>
    <row r="1970" spans="1:15" ht="12.75" x14ac:dyDescent="0.2">
      <c r="A1970" s="15"/>
      <c r="B1970" s="15"/>
      <c r="C1970" s="15"/>
      <c r="D1970" s="16"/>
      <c r="E1970" s="16"/>
      <c r="F1970" s="16"/>
      <c r="G1970" s="16"/>
      <c r="H1970" s="16"/>
      <c r="I1970" s="16"/>
      <c r="J1970" s="16"/>
      <c r="K1970" s="17"/>
      <c r="L1970" s="16"/>
      <c r="M1970" s="17"/>
      <c r="N1970" s="17"/>
      <c r="O1970" s="17"/>
    </row>
    <row r="1971" spans="1:15" ht="12.75" x14ac:dyDescent="0.2">
      <c r="A1971" s="15"/>
      <c r="B1971" s="15"/>
      <c r="C1971" s="15"/>
      <c r="D1971" s="16"/>
      <c r="E1971" s="16"/>
      <c r="F1971" s="16"/>
      <c r="G1971" s="16"/>
      <c r="H1971" s="16"/>
      <c r="I1971" s="16"/>
      <c r="J1971" s="16"/>
      <c r="K1971" s="17"/>
      <c r="L1971" s="16"/>
      <c r="M1971" s="17"/>
      <c r="N1971" s="17"/>
      <c r="O1971" s="17"/>
    </row>
    <row r="1972" spans="1:15" ht="12.75" x14ac:dyDescent="0.2">
      <c r="A1972" s="15"/>
      <c r="B1972" s="15"/>
      <c r="C1972" s="15"/>
      <c r="D1972" s="16"/>
      <c r="E1972" s="16"/>
      <c r="F1972" s="16"/>
      <c r="G1972" s="16"/>
      <c r="H1972" s="16"/>
      <c r="I1972" s="16"/>
      <c r="J1972" s="16"/>
      <c r="K1972" s="17"/>
      <c r="L1972" s="16"/>
      <c r="M1972" s="17"/>
      <c r="N1972" s="17"/>
      <c r="O1972" s="17"/>
    </row>
    <row r="1973" spans="1:15" ht="12.75" x14ac:dyDescent="0.2">
      <c r="A1973" s="15"/>
      <c r="B1973" s="15"/>
      <c r="C1973" s="15"/>
      <c r="D1973" s="16"/>
      <c r="E1973" s="16"/>
      <c r="F1973" s="16"/>
      <c r="G1973" s="16"/>
      <c r="H1973" s="16"/>
      <c r="I1973" s="16"/>
      <c r="J1973" s="16"/>
      <c r="K1973" s="17"/>
      <c r="L1973" s="16"/>
      <c r="M1973" s="17"/>
      <c r="N1973" s="17"/>
      <c r="O1973" s="17"/>
    </row>
    <row r="1974" spans="1:15" ht="12.75" x14ac:dyDescent="0.2">
      <c r="A1974" s="15"/>
      <c r="B1974" s="15"/>
      <c r="C1974" s="15"/>
      <c r="D1974" s="16"/>
      <c r="E1974" s="16"/>
      <c r="F1974" s="16"/>
      <c r="G1974" s="16"/>
      <c r="H1974" s="16"/>
      <c r="I1974" s="16"/>
      <c r="J1974" s="16"/>
      <c r="K1974" s="17"/>
      <c r="L1974" s="16"/>
      <c r="M1974" s="17"/>
      <c r="N1974" s="17"/>
      <c r="O1974" s="17"/>
    </row>
    <row r="1975" spans="1:15" ht="12.75" x14ac:dyDescent="0.2">
      <c r="A1975" s="15"/>
      <c r="B1975" s="15"/>
      <c r="C1975" s="15"/>
      <c r="D1975" s="16"/>
      <c r="E1975" s="16"/>
      <c r="F1975" s="16"/>
      <c r="G1975" s="16"/>
      <c r="H1975" s="16"/>
      <c r="I1975" s="16"/>
      <c r="J1975" s="16"/>
      <c r="K1975" s="17"/>
      <c r="L1975" s="16"/>
      <c r="M1975" s="17"/>
      <c r="N1975" s="17"/>
      <c r="O1975" s="17"/>
    </row>
    <row r="1976" spans="1:15" ht="12.75" x14ac:dyDescent="0.2">
      <c r="A1976" s="15"/>
      <c r="B1976" s="15"/>
      <c r="C1976" s="15"/>
      <c r="D1976" s="16"/>
      <c r="E1976" s="16"/>
      <c r="F1976" s="16"/>
      <c r="G1976" s="16"/>
      <c r="H1976" s="16"/>
      <c r="I1976" s="16"/>
      <c r="J1976" s="16"/>
      <c r="K1976" s="17"/>
      <c r="L1976" s="16"/>
      <c r="M1976" s="17"/>
      <c r="N1976" s="17"/>
      <c r="O1976" s="17"/>
    </row>
    <row r="1977" spans="1:15" ht="12.75" x14ac:dyDescent="0.2">
      <c r="A1977" s="15"/>
      <c r="B1977" s="15"/>
      <c r="C1977" s="15"/>
      <c r="D1977" s="16"/>
      <c r="E1977" s="16"/>
      <c r="F1977" s="16"/>
      <c r="G1977" s="16"/>
      <c r="H1977" s="16"/>
      <c r="I1977" s="16"/>
      <c r="J1977" s="16"/>
      <c r="K1977" s="17"/>
      <c r="L1977" s="16"/>
      <c r="M1977" s="17"/>
      <c r="N1977" s="17"/>
      <c r="O1977" s="17"/>
    </row>
    <row r="1978" spans="1:15" ht="12.75" x14ac:dyDescent="0.2">
      <c r="A1978" s="15"/>
      <c r="B1978" s="15"/>
      <c r="C1978" s="15"/>
      <c r="D1978" s="16"/>
      <c r="E1978" s="16"/>
      <c r="F1978" s="16"/>
      <c r="G1978" s="16"/>
      <c r="H1978" s="16"/>
      <c r="I1978" s="16"/>
      <c r="J1978" s="16"/>
      <c r="K1978" s="17"/>
      <c r="L1978" s="16"/>
      <c r="M1978" s="17"/>
      <c r="N1978" s="17"/>
      <c r="O1978" s="17"/>
    </row>
    <row r="1979" spans="1:15" ht="12.75" x14ac:dyDescent="0.2">
      <c r="A1979" s="15"/>
      <c r="B1979" s="15"/>
      <c r="C1979" s="15"/>
      <c r="D1979" s="16"/>
      <c r="E1979" s="16"/>
      <c r="F1979" s="16"/>
      <c r="G1979" s="16"/>
      <c r="H1979" s="16"/>
      <c r="I1979" s="16"/>
      <c r="J1979" s="16"/>
      <c r="K1979" s="17"/>
      <c r="L1979" s="16"/>
      <c r="M1979" s="17"/>
      <c r="N1979" s="17"/>
      <c r="O1979" s="17"/>
    </row>
    <row r="1980" spans="1:15" ht="12.75" x14ac:dyDescent="0.2">
      <c r="A1980" s="15"/>
      <c r="B1980" s="15"/>
      <c r="C1980" s="15"/>
      <c r="D1980" s="16"/>
      <c r="E1980" s="16"/>
      <c r="F1980" s="16"/>
      <c r="G1980" s="16"/>
      <c r="H1980" s="16"/>
      <c r="I1980" s="16"/>
      <c r="J1980" s="16"/>
      <c r="K1980" s="17"/>
      <c r="L1980" s="16"/>
      <c r="M1980" s="17"/>
      <c r="N1980" s="17"/>
      <c r="O1980" s="17"/>
    </row>
    <row r="1981" spans="1:15" ht="12.75" x14ac:dyDescent="0.2">
      <c r="A1981" s="15"/>
      <c r="B1981" s="15"/>
      <c r="C1981" s="15"/>
      <c r="D1981" s="16"/>
      <c r="E1981" s="16"/>
      <c r="F1981" s="16"/>
      <c r="G1981" s="16"/>
      <c r="H1981" s="16"/>
      <c r="I1981" s="16"/>
      <c r="J1981" s="16"/>
      <c r="K1981" s="17"/>
      <c r="L1981" s="16"/>
      <c r="M1981" s="17"/>
      <c r="N1981" s="17"/>
      <c r="O1981" s="17"/>
    </row>
    <row r="1982" spans="1:15" ht="12.75" x14ac:dyDescent="0.2">
      <c r="A1982" s="15"/>
      <c r="B1982" s="15"/>
      <c r="C1982" s="15"/>
      <c r="D1982" s="16"/>
      <c r="E1982" s="16"/>
      <c r="F1982" s="16"/>
      <c r="G1982" s="16"/>
      <c r="H1982" s="16"/>
      <c r="I1982" s="16"/>
      <c r="J1982" s="16"/>
      <c r="K1982" s="17"/>
      <c r="L1982" s="16"/>
      <c r="M1982" s="17"/>
      <c r="N1982" s="17"/>
      <c r="O1982" s="17"/>
    </row>
    <row r="1983" spans="1:15" ht="12.75" x14ac:dyDescent="0.2">
      <c r="A1983" s="15"/>
      <c r="B1983" s="15"/>
      <c r="C1983" s="15"/>
      <c r="D1983" s="16"/>
      <c r="E1983" s="16"/>
      <c r="F1983" s="16"/>
      <c r="G1983" s="16"/>
      <c r="H1983" s="16"/>
      <c r="I1983" s="16"/>
      <c r="J1983" s="16"/>
      <c r="K1983" s="17"/>
      <c r="L1983" s="16"/>
      <c r="M1983" s="17"/>
      <c r="N1983" s="17"/>
      <c r="O1983" s="17"/>
    </row>
    <row r="1984" spans="1:15" ht="12.75" x14ac:dyDescent="0.2">
      <c r="A1984" s="15"/>
      <c r="B1984" s="15"/>
      <c r="C1984" s="15"/>
      <c r="D1984" s="16"/>
      <c r="E1984" s="16"/>
      <c r="F1984" s="16"/>
      <c r="G1984" s="16"/>
      <c r="H1984" s="16"/>
      <c r="I1984" s="16"/>
      <c r="J1984" s="16"/>
      <c r="K1984" s="17"/>
      <c r="L1984" s="16"/>
      <c r="M1984" s="17"/>
      <c r="N1984" s="17"/>
      <c r="O1984" s="17"/>
    </row>
    <row r="1985" spans="1:15" ht="12.75" x14ac:dyDescent="0.2">
      <c r="A1985" s="15"/>
      <c r="B1985" s="15"/>
      <c r="C1985" s="15"/>
      <c r="D1985" s="16"/>
      <c r="E1985" s="16"/>
      <c r="F1985" s="16"/>
      <c r="G1985" s="16"/>
      <c r="H1985" s="16"/>
      <c r="I1985" s="16"/>
      <c r="J1985" s="16"/>
      <c r="K1985" s="17"/>
      <c r="L1985" s="16"/>
      <c r="M1985" s="17"/>
      <c r="N1985" s="17"/>
      <c r="O1985" s="17"/>
    </row>
    <row r="1986" spans="1:15" ht="12.75" x14ac:dyDescent="0.2">
      <c r="A1986" s="15"/>
      <c r="B1986" s="15"/>
      <c r="C1986" s="15"/>
      <c r="D1986" s="16"/>
      <c r="E1986" s="16"/>
      <c r="F1986" s="16"/>
      <c r="G1986" s="16"/>
      <c r="H1986" s="16"/>
      <c r="I1986" s="16"/>
      <c r="J1986" s="16"/>
      <c r="K1986" s="17"/>
      <c r="L1986" s="16"/>
      <c r="M1986" s="17"/>
      <c r="N1986" s="17"/>
      <c r="O1986" s="17"/>
    </row>
    <row r="1987" spans="1:15" ht="12.75" x14ac:dyDescent="0.2">
      <c r="A1987" s="15"/>
      <c r="B1987" s="15"/>
      <c r="C1987" s="15"/>
      <c r="D1987" s="16"/>
      <c r="E1987" s="16"/>
      <c r="F1987" s="16"/>
      <c r="G1987" s="16"/>
      <c r="H1987" s="16"/>
      <c r="I1987" s="16"/>
      <c r="J1987" s="16"/>
      <c r="K1987" s="17"/>
      <c r="L1987" s="16"/>
      <c r="M1987" s="17"/>
      <c r="N1987" s="17"/>
      <c r="O1987" s="17"/>
    </row>
    <row r="1988" spans="1:15" ht="12.75" x14ac:dyDescent="0.2">
      <c r="A1988" s="15"/>
      <c r="B1988" s="15"/>
      <c r="C1988" s="15"/>
      <c r="D1988" s="16"/>
      <c r="E1988" s="16"/>
      <c r="F1988" s="16"/>
      <c r="G1988" s="16"/>
      <c r="H1988" s="16"/>
      <c r="I1988" s="16"/>
      <c r="J1988" s="16"/>
      <c r="K1988" s="17"/>
      <c r="L1988" s="16"/>
      <c r="M1988" s="17"/>
      <c r="N1988" s="17"/>
      <c r="O1988" s="17"/>
    </row>
    <row r="1989" spans="1:15" ht="12.75" x14ac:dyDescent="0.2">
      <c r="A1989" s="15"/>
      <c r="B1989" s="15"/>
      <c r="C1989" s="15"/>
      <c r="D1989" s="16"/>
      <c r="E1989" s="16"/>
      <c r="F1989" s="16"/>
      <c r="G1989" s="16"/>
      <c r="H1989" s="16"/>
      <c r="I1989" s="16"/>
      <c r="J1989" s="16"/>
      <c r="K1989" s="17"/>
      <c r="L1989" s="16"/>
      <c r="M1989" s="17"/>
      <c r="N1989" s="17"/>
      <c r="O1989" s="17"/>
    </row>
    <row r="1990" spans="1:15" ht="12.75" x14ac:dyDescent="0.2">
      <c r="A1990" s="15"/>
      <c r="B1990" s="15"/>
      <c r="C1990" s="15"/>
      <c r="D1990" s="16"/>
      <c r="E1990" s="16"/>
      <c r="F1990" s="16"/>
      <c r="G1990" s="16"/>
      <c r="H1990" s="16"/>
      <c r="I1990" s="16"/>
      <c r="J1990" s="16"/>
      <c r="K1990" s="17"/>
      <c r="L1990" s="16"/>
      <c r="M1990" s="17"/>
      <c r="N1990" s="17"/>
      <c r="O1990" s="17"/>
    </row>
    <row r="1991" spans="1:15" ht="12.75" x14ac:dyDescent="0.2">
      <c r="A1991" s="15"/>
      <c r="B1991" s="15"/>
      <c r="C1991" s="15"/>
      <c r="D1991" s="16"/>
      <c r="E1991" s="16"/>
      <c r="F1991" s="16"/>
      <c r="G1991" s="16"/>
      <c r="H1991" s="16"/>
      <c r="I1991" s="16"/>
      <c r="J1991" s="16"/>
      <c r="K1991" s="17"/>
      <c r="L1991" s="16"/>
      <c r="M1991" s="17"/>
      <c r="N1991" s="17"/>
      <c r="O1991" s="17"/>
    </row>
    <row r="1992" spans="1:15" ht="12.75" x14ac:dyDescent="0.2">
      <c r="A1992" s="15"/>
      <c r="B1992" s="15"/>
      <c r="C1992" s="15"/>
      <c r="D1992" s="16"/>
      <c r="E1992" s="16"/>
      <c r="F1992" s="16"/>
      <c r="G1992" s="16"/>
      <c r="H1992" s="16"/>
      <c r="I1992" s="16"/>
      <c r="J1992" s="16"/>
      <c r="K1992" s="17"/>
      <c r="L1992" s="16"/>
      <c r="M1992" s="17"/>
      <c r="N1992" s="17"/>
      <c r="O1992" s="17"/>
    </row>
    <row r="1993" spans="1:15" ht="12.75" x14ac:dyDescent="0.2">
      <c r="A1993" s="15"/>
      <c r="B1993" s="15"/>
      <c r="C1993" s="15"/>
      <c r="D1993" s="16"/>
      <c r="E1993" s="16"/>
      <c r="F1993" s="16"/>
      <c r="G1993" s="16"/>
      <c r="H1993" s="16"/>
      <c r="I1993" s="16"/>
      <c r="J1993" s="16"/>
      <c r="K1993" s="17"/>
      <c r="L1993" s="16"/>
      <c r="M1993" s="17"/>
      <c r="N1993" s="17"/>
      <c r="O1993" s="17"/>
    </row>
    <row r="1994" spans="1:15" ht="12.75" x14ac:dyDescent="0.2">
      <c r="A1994" s="15"/>
      <c r="B1994" s="15"/>
      <c r="C1994" s="15"/>
      <c r="D1994" s="16"/>
      <c r="E1994" s="16"/>
      <c r="F1994" s="16"/>
      <c r="G1994" s="16"/>
      <c r="H1994" s="16"/>
      <c r="I1994" s="16"/>
      <c r="J1994" s="16"/>
      <c r="K1994" s="17"/>
      <c r="L1994" s="16"/>
      <c r="M1994" s="17"/>
      <c r="N1994" s="17"/>
      <c r="O1994" s="17"/>
    </row>
    <row r="1995" spans="1:15" ht="12.75" x14ac:dyDescent="0.2">
      <c r="A1995" s="15"/>
      <c r="B1995" s="15"/>
      <c r="C1995" s="15"/>
      <c r="D1995" s="16"/>
      <c r="E1995" s="16"/>
      <c r="F1995" s="16"/>
      <c r="G1995" s="16"/>
      <c r="H1995" s="16"/>
      <c r="I1995" s="16"/>
      <c r="J1995" s="16"/>
      <c r="K1995" s="17"/>
      <c r="L1995" s="16"/>
      <c r="M1995" s="17"/>
      <c r="N1995" s="17"/>
      <c r="O1995" s="17"/>
    </row>
    <row r="1996" spans="1:15" ht="12.75" x14ac:dyDescent="0.2">
      <c r="A1996" s="15"/>
      <c r="B1996" s="15"/>
      <c r="C1996" s="15"/>
      <c r="D1996" s="16"/>
      <c r="E1996" s="16"/>
      <c r="F1996" s="16"/>
      <c r="G1996" s="16"/>
      <c r="H1996" s="16"/>
      <c r="I1996" s="16"/>
      <c r="J1996" s="16"/>
      <c r="K1996" s="17"/>
      <c r="L1996" s="16"/>
      <c r="M1996" s="17"/>
      <c r="N1996" s="17"/>
      <c r="O1996" s="17"/>
    </row>
    <row r="1997" spans="1:15" ht="12.75" x14ac:dyDescent="0.2">
      <c r="A1997" s="15"/>
      <c r="B1997" s="15"/>
      <c r="C1997" s="15"/>
      <c r="D1997" s="16"/>
      <c r="E1997" s="16"/>
      <c r="F1997" s="16"/>
      <c r="G1997" s="16"/>
      <c r="H1997" s="16"/>
      <c r="I1997" s="16"/>
      <c r="J1997" s="16"/>
      <c r="K1997" s="17"/>
      <c r="L1997" s="16"/>
      <c r="M1997" s="17"/>
      <c r="N1997" s="17"/>
      <c r="O1997" s="17"/>
    </row>
    <row r="1998" spans="1:15" ht="12.75" x14ac:dyDescent="0.2">
      <c r="A1998" s="15"/>
      <c r="B1998" s="15"/>
      <c r="C1998" s="15"/>
      <c r="D1998" s="16"/>
      <c r="E1998" s="16"/>
      <c r="F1998" s="16"/>
      <c r="G1998" s="16"/>
      <c r="H1998" s="16"/>
      <c r="I1998" s="16"/>
      <c r="J1998" s="16"/>
      <c r="K1998" s="17"/>
      <c r="L1998" s="16"/>
      <c r="M1998" s="17"/>
      <c r="N1998" s="17"/>
      <c r="O1998" s="17"/>
    </row>
    <row r="1999" spans="1:15" ht="12.75" x14ac:dyDescent="0.2">
      <c r="A1999" s="15"/>
      <c r="B1999" s="15"/>
      <c r="C1999" s="15"/>
      <c r="D1999" s="16"/>
      <c r="E1999" s="16"/>
      <c r="F1999" s="16"/>
      <c r="G1999" s="16"/>
      <c r="H1999" s="16"/>
      <c r="I1999" s="16"/>
      <c r="J1999" s="16"/>
      <c r="K1999" s="17"/>
      <c r="L1999" s="16"/>
      <c r="M1999" s="17"/>
      <c r="N1999" s="17"/>
      <c r="O1999" s="17"/>
    </row>
    <row r="2000" spans="1:15" ht="12.75" x14ac:dyDescent="0.2">
      <c r="A2000" s="15"/>
      <c r="B2000" s="15"/>
      <c r="C2000" s="15"/>
      <c r="D2000" s="16"/>
      <c r="E2000" s="16"/>
      <c r="F2000" s="16"/>
      <c r="G2000" s="16"/>
      <c r="H2000" s="16"/>
      <c r="I2000" s="16"/>
      <c r="J2000" s="16"/>
      <c r="K2000" s="17"/>
      <c r="L2000" s="16"/>
      <c r="M2000" s="17"/>
      <c r="N2000" s="17"/>
      <c r="O2000" s="17"/>
    </row>
    <row r="2001" spans="1:15" ht="12.75" x14ac:dyDescent="0.2">
      <c r="A2001" s="15"/>
      <c r="B2001" s="15"/>
      <c r="C2001" s="15"/>
      <c r="D2001" s="16"/>
      <c r="E2001" s="16"/>
      <c r="F2001" s="16"/>
      <c r="G2001" s="16"/>
      <c r="H2001" s="16"/>
      <c r="I2001" s="16"/>
      <c r="J2001" s="16"/>
      <c r="K2001" s="17"/>
      <c r="L2001" s="16"/>
      <c r="M2001" s="17"/>
      <c r="N2001" s="17"/>
      <c r="O2001" s="17"/>
    </row>
    <row r="2002" spans="1:15" ht="12.75" x14ac:dyDescent="0.2">
      <c r="A2002" s="15"/>
      <c r="B2002" s="15"/>
      <c r="C2002" s="15"/>
      <c r="D2002" s="16"/>
      <c r="E2002" s="16"/>
      <c r="F2002" s="16"/>
      <c r="G2002" s="16"/>
      <c r="H2002" s="16"/>
      <c r="I2002" s="16"/>
      <c r="J2002" s="16"/>
      <c r="K2002" s="17"/>
      <c r="L2002" s="16"/>
      <c r="M2002" s="17"/>
      <c r="N2002" s="17"/>
      <c r="O2002" s="17"/>
    </row>
    <row r="2003" spans="1:15" ht="12.75" x14ac:dyDescent="0.2">
      <c r="A2003" s="15"/>
      <c r="B2003" s="15"/>
      <c r="C2003" s="15"/>
      <c r="D2003" s="16"/>
      <c r="E2003" s="16"/>
      <c r="F2003" s="16"/>
      <c r="G2003" s="16"/>
      <c r="H2003" s="16"/>
      <c r="I2003" s="16"/>
      <c r="J2003" s="16"/>
      <c r="K2003" s="17"/>
      <c r="L2003" s="16"/>
      <c r="M2003" s="17"/>
      <c r="N2003" s="17"/>
      <c r="O2003" s="17"/>
    </row>
    <row r="2004" spans="1:15" ht="12.75" x14ac:dyDescent="0.2">
      <c r="A2004" s="15"/>
      <c r="B2004" s="15"/>
      <c r="C2004" s="15"/>
      <c r="D2004" s="16"/>
      <c r="E2004" s="16"/>
      <c r="F2004" s="16"/>
      <c r="G2004" s="16"/>
      <c r="H2004" s="16"/>
      <c r="I2004" s="16"/>
      <c r="J2004" s="16"/>
      <c r="K2004" s="17"/>
      <c r="L2004" s="16"/>
      <c r="M2004" s="17"/>
      <c r="N2004" s="17"/>
      <c r="O2004" s="17"/>
    </row>
    <row r="2005" spans="1:15" ht="12.75" x14ac:dyDescent="0.2">
      <c r="A2005" s="15"/>
      <c r="B2005" s="15"/>
      <c r="C2005" s="15"/>
      <c r="D2005" s="16"/>
      <c r="E2005" s="16"/>
      <c r="F2005" s="16"/>
      <c r="G2005" s="16"/>
      <c r="H2005" s="16"/>
      <c r="I2005" s="16"/>
      <c r="J2005" s="16"/>
      <c r="K2005" s="17"/>
      <c r="L2005" s="16"/>
      <c r="M2005" s="17"/>
      <c r="N2005" s="17"/>
      <c r="O2005" s="17"/>
    </row>
    <row r="2006" spans="1:15" ht="12.75" x14ac:dyDescent="0.2">
      <c r="A2006" s="15"/>
      <c r="B2006" s="15"/>
      <c r="C2006" s="15"/>
      <c r="D2006" s="16"/>
      <c r="E2006" s="16"/>
      <c r="F2006" s="16"/>
      <c r="G2006" s="16"/>
      <c r="H2006" s="16"/>
      <c r="I2006" s="16"/>
      <c r="J2006" s="16"/>
      <c r="K2006" s="17"/>
      <c r="L2006" s="16"/>
      <c r="M2006" s="17"/>
      <c r="N2006" s="17"/>
      <c r="O2006" s="17"/>
    </row>
    <row r="2007" spans="1:15" ht="12.75" x14ac:dyDescent="0.2">
      <c r="A2007" s="15"/>
      <c r="B2007" s="15"/>
      <c r="C2007" s="15"/>
      <c r="D2007" s="16"/>
      <c r="E2007" s="16"/>
      <c r="F2007" s="16"/>
      <c r="G2007" s="16"/>
      <c r="H2007" s="16"/>
      <c r="I2007" s="16"/>
      <c r="J2007" s="16"/>
      <c r="K2007" s="17"/>
      <c r="L2007" s="16"/>
      <c r="M2007" s="17"/>
      <c r="N2007" s="17"/>
      <c r="O2007" s="17"/>
    </row>
    <row r="2008" spans="1:15" ht="12.75" x14ac:dyDescent="0.2">
      <c r="A2008" s="15"/>
      <c r="B2008" s="15"/>
      <c r="C2008" s="15"/>
      <c r="D2008" s="16"/>
      <c r="E2008" s="16"/>
      <c r="F2008" s="16"/>
      <c r="G2008" s="16"/>
      <c r="H2008" s="16"/>
      <c r="I2008" s="16"/>
      <c r="J2008" s="16"/>
      <c r="K2008" s="17"/>
      <c r="L2008" s="16"/>
      <c r="M2008" s="17"/>
      <c r="N2008" s="17"/>
      <c r="O2008" s="17"/>
    </row>
    <row r="2009" spans="1:15" ht="12.75" x14ac:dyDescent="0.2">
      <c r="A2009" s="15"/>
      <c r="B2009" s="15"/>
      <c r="C2009" s="15"/>
      <c r="D2009" s="16"/>
      <c r="E2009" s="16"/>
      <c r="F2009" s="16"/>
      <c r="G2009" s="16"/>
      <c r="H2009" s="16"/>
      <c r="I2009" s="16"/>
      <c r="J2009" s="16"/>
      <c r="K2009" s="17"/>
      <c r="L2009" s="16"/>
      <c r="M2009" s="17"/>
      <c r="N2009" s="17"/>
      <c r="O2009" s="17"/>
    </row>
    <row r="2010" spans="1:15" ht="12.75" x14ac:dyDescent="0.2">
      <c r="A2010" s="15"/>
      <c r="B2010" s="15"/>
      <c r="C2010" s="15"/>
      <c r="D2010" s="16"/>
      <c r="E2010" s="16"/>
      <c r="F2010" s="16"/>
      <c r="G2010" s="16"/>
      <c r="H2010" s="16"/>
      <c r="I2010" s="16"/>
      <c r="J2010" s="16"/>
      <c r="K2010" s="17"/>
      <c r="L2010" s="16"/>
      <c r="M2010" s="17"/>
      <c r="N2010" s="17"/>
      <c r="O2010" s="17"/>
    </row>
    <row r="2011" spans="1:15" ht="12.75" x14ac:dyDescent="0.2">
      <c r="A2011" s="15"/>
      <c r="B2011" s="15"/>
      <c r="C2011" s="15"/>
      <c r="D2011" s="16"/>
      <c r="E2011" s="16"/>
      <c r="F2011" s="16"/>
      <c r="G2011" s="16"/>
      <c r="H2011" s="16"/>
      <c r="I2011" s="16"/>
      <c r="J2011" s="16"/>
      <c r="K2011" s="17"/>
      <c r="L2011" s="16"/>
      <c r="M2011" s="17"/>
      <c r="N2011" s="17"/>
      <c r="O2011" s="17"/>
    </row>
    <row r="2012" spans="1:15" ht="12.75" x14ac:dyDescent="0.2">
      <c r="A2012" s="15"/>
      <c r="B2012" s="15"/>
      <c r="C2012" s="15"/>
      <c r="D2012" s="16"/>
      <c r="E2012" s="16"/>
      <c r="F2012" s="16"/>
      <c r="G2012" s="16"/>
      <c r="H2012" s="16"/>
      <c r="I2012" s="16"/>
      <c r="J2012" s="16"/>
      <c r="K2012" s="17"/>
      <c r="L2012" s="16"/>
      <c r="M2012" s="17"/>
      <c r="N2012" s="17"/>
      <c r="O2012" s="17"/>
    </row>
    <row r="2013" spans="1:15" ht="12.75" x14ac:dyDescent="0.2">
      <c r="A2013" s="15"/>
      <c r="B2013" s="15"/>
      <c r="C2013" s="15"/>
      <c r="D2013" s="16"/>
      <c r="E2013" s="16"/>
      <c r="F2013" s="16"/>
      <c r="G2013" s="16"/>
      <c r="H2013" s="16"/>
      <c r="I2013" s="16"/>
      <c r="J2013" s="16"/>
      <c r="K2013" s="17"/>
      <c r="L2013" s="16"/>
      <c r="M2013" s="17"/>
      <c r="N2013" s="17"/>
      <c r="O2013" s="17"/>
    </row>
    <row r="2014" spans="1:15" ht="12.75" x14ac:dyDescent="0.2">
      <c r="A2014" s="15"/>
      <c r="B2014" s="15"/>
      <c r="C2014" s="15"/>
      <c r="D2014" s="16"/>
      <c r="E2014" s="16"/>
      <c r="F2014" s="16"/>
      <c r="G2014" s="16"/>
      <c r="H2014" s="16"/>
      <c r="I2014" s="16"/>
      <c r="J2014" s="16"/>
      <c r="K2014" s="17"/>
      <c r="L2014" s="16"/>
      <c r="M2014" s="17"/>
      <c r="N2014" s="17"/>
      <c r="O2014" s="17"/>
    </row>
    <row r="2015" spans="1:15" ht="12.75" x14ac:dyDescent="0.2">
      <c r="A2015" s="15"/>
      <c r="B2015" s="15"/>
      <c r="C2015" s="15"/>
      <c r="D2015" s="16"/>
      <c r="E2015" s="16"/>
      <c r="F2015" s="16"/>
      <c r="G2015" s="16"/>
      <c r="H2015" s="16"/>
      <c r="I2015" s="16"/>
      <c r="J2015" s="16"/>
      <c r="K2015" s="17"/>
      <c r="L2015" s="16"/>
      <c r="M2015" s="17"/>
      <c r="N2015" s="17"/>
      <c r="O2015" s="17"/>
    </row>
    <row r="2016" spans="1:15" ht="12.75" x14ac:dyDescent="0.2">
      <c r="A2016" s="15"/>
      <c r="B2016" s="15"/>
      <c r="C2016" s="15"/>
      <c r="D2016" s="16"/>
      <c r="E2016" s="16"/>
      <c r="F2016" s="16"/>
      <c r="G2016" s="16"/>
      <c r="H2016" s="16"/>
      <c r="I2016" s="16"/>
      <c r="J2016" s="16"/>
      <c r="K2016" s="17"/>
      <c r="L2016" s="16"/>
      <c r="M2016" s="17"/>
      <c r="N2016" s="17"/>
      <c r="O2016" s="17"/>
    </row>
    <row r="2017" spans="1:15" ht="12.75" x14ac:dyDescent="0.2">
      <c r="A2017" s="15"/>
      <c r="B2017" s="15"/>
      <c r="C2017" s="15"/>
      <c r="D2017" s="16"/>
      <c r="E2017" s="16"/>
      <c r="F2017" s="16"/>
      <c r="G2017" s="16"/>
      <c r="H2017" s="16"/>
      <c r="I2017" s="16"/>
      <c r="J2017" s="16"/>
      <c r="K2017" s="17"/>
      <c r="L2017" s="16"/>
      <c r="M2017" s="17"/>
      <c r="N2017" s="17"/>
      <c r="O2017" s="17"/>
    </row>
    <row r="2018" spans="1:15" ht="12.75" x14ac:dyDescent="0.2">
      <c r="A2018" s="15"/>
      <c r="B2018" s="15"/>
      <c r="C2018" s="15"/>
      <c r="D2018" s="16"/>
      <c r="E2018" s="16"/>
      <c r="F2018" s="16"/>
      <c r="G2018" s="16"/>
      <c r="H2018" s="16"/>
      <c r="I2018" s="16"/>
      <c r="J2018" s="16"/>
      <c r="K2018" s="17"/>
      <c r="L2018" s="16"/>
      <c r="M2018" s="17"/>
      <c r="N2018" s="17"/>
      <c r="O2018" s="17"/>
    </row>
    <row r="2019" spans="1:15" ht="12.75" x14ac:dyDescent="0.2">
      <c r="A2019" s="15"/>
      <c r="B2019" s="15"/>
      <c r="C2019" s="15"/>
      <c r="D2019" s="16"/>
      <c r="E2019" s="16"/>
      <c r="F2019" s="16"/>
      <c r="G2019" s="16"/>
      <c r="H2019" s="16"/>
      <c r="I2019" s="16"/>
      <c r="J2019" s="16"/>
      <c r="K2019" s="17"/>
      <c r="L2019" s="16"/>
      <c r="M2019" s="17"/>
      <c r="N2019" s="17"/>
      <c r="O2019" s="17"/>
    </row>
    <row r="2020" spans="1:15" ht="12.75" x14ac:dyDescent="0.2">
      <c r="A2020" s="15"/>
      <c r="B2020" s="15"/>
      <c r="C2020" s="15"/>
      <c r="D2020" s="16"/>
      <c r="E2020" s="16"/>
      <c r="F2020" s="16"/>
      <c r="G2020" s="16"/>
      <c r="H2020" s="16"/>
      <c r="I2020" s="16"/>
      <c r="J2020" s="16"/>
      <c r="K2020" s="17"/>
      <c r="L2020" s="16"/>
      <c r="M2020" s="17"/>
      <c r="N2020" s="17"/>
      <c r="O2020" s="17"/>
    </row>
    <row r="2021" spans="1:15" ht="12.75" x14ac:dyDescent="0.2">
      <c r="A2021" s="15"/>
      <c r="B2021" s="15"/>
      <c r="C2021" s="15"/>
      <c r="D2021" s="16"/>
      <c r="E2021" s="16"/>
      <c r="F2021" s="16"/>
      <c r="G2021" s="16"/>
      <c r="H2021" s="16"/>
      <c r="I2021" s="16"/>
      <c r="J2021" s="16"/>
      <c r="K2021" s="17"/>
      <c r="L2021" s="16"/>
      <c r="M2021" s="17"/>
      <c r="N2021" s="17"/>
      <c r="O2021" s="17"/>
    </row>
    <row r="2022" spans="1:15" ht="12.75" x14ac:dyDescent="0.2">
      <c r="A2022" s="15"/>
      <c r="B2022" s="15"/>
      <c r="C2022" s="15"/>
      <c r="D2022" s="16"/>
      <c r="E2022" s="16"/>
      <c r="F2022" s="16"/>
      <c r="G2022" s="16"/>
      <c r="H2022" s="16"/>
      <c r="I2022" s="16"/>
      <c r="J2022" s="16"/>
      <c r="K2022" s="17"/>
      <c r="L2022" s="16"/>
      <c r="M2022" s="17"/>
      <c r="N2022" s="17"/>
      <c r="O2022" s="17"/>
    </row>
    <row r="2023" spans="1:15" ht="12.75" x14ac:dyDescent="0.2">
      <c r="A2023" s="15"/>
      <c r="B2023" s="15"/>
      <c r="C2023" s="15"/>
      <c r="D2023" s="16"/>
      <c r="E2023" s="16"/>
      <c r="F2023" s="16"/>
      <c r="G2023" s="16"/>
      <c r="H2023" s="16"/>
      <c r="I2023" s="16"/>
      <c r="J2023" s="16"/>
      <c r="K2023" s="17"/>
      <c r="L2023" s="16"/>
      <c r="M2023" s="17"/>
      <c r="N2023" s="17"/>
      <c r="O2023" s="17"/>
    </row>
    <row r="2024" spans="1:15" ht="12.75" x14ac:dyDescent="0.2">
      <c r="A2024" s="15"/>
      <c r="B2024" s="15"/>
      <c r="C2024" s="15"/>
      <c r="D2024" s="16"/>
      <c r="E2024" s="16"/>
      <c r="F2024" s="16"/>
      <c r="G2024" s="16"/>
      <c r="H2024" s="16"/>
      <c r="I2024" s="16"/>
      <c r="J2024" s="16"/>
      <c r="K2024" s="17"/>
      <c r="L2024" s="16"/>
      <c r="M2024" s="17"/>
      <c r="N2024" s="17"/>
      <c r="O2024" s="17"/>
    </row>
    <row r="2025" spans="1:15" ht="12.75" x14ac:dyDescent="0.2">
      <c r="A2025" s="15"/>
      <c r="B2025" s="15"/>
      <c r="C2025" s="15"/>
      <c r="D2025" s="16"/>
      <c r="E2025" s="16"/>
      <c r="F2025" s="16"/>
      <c r="G2025" s="16"/>
      <c r="H2025" s="16"/>
      <c r="I2025" s="16"/>
      <c r="J2025" s="16"/>
      <c r="K2025" s="17"/>
      <c r="L2025" s="16"/>
      <c r="M2025" s="17"/>
      <c r="N2025" s="17"/>
      <c r="O2025" s="17"/>
    </row>
    <row r="2026" spans="1:15" ht="12.75" x14ac:dyDescent="0.2">
      <c r="A2026" s="15"/>
      <c r="B2026" s="15"/>
      <c r="C2026" s="15"/>
      <c r="D2026" s="16"/>
      <c r="E2026" s="16"/>
      <c r="F2026" s="16"/>
      <c r="G2026" s="16"/>
      <c r="H2026" s="16"/>
      <c r="I2026" s="16"/>
      <c r="J2026" s="16"/>
      <c r="K2026" s="17"/>
      <c r="L2026" s="16"/>
      <c r="M2026" s="17"/>
      <c r="N2026" s="17"/>
      <c r="O2026" s="17"/>
    </row>
    <row r="2027" spans="1:15" ht="12.75" x14ac:dyDescent="0.2">
      <c r="A2027" s="15"/>
      <c r="B2027" s="15"/>
      <c r="C2027" s="15"/>
      <c r="D2027" s="16"/>
      <c r="E2027" s="16"/>
      <c r="F2027" s="16"/>
      <c r="G2027" s="16"/>
      <c r="H2027" s="16"/>
      <c r="I2027" s="16"/>
      <c r="J2027" s="16"/>
      <c r="K2027" s="17"/>
      <c r="L2027" s="16"/>
      <c r="M2027" s="17"/>
      <c r="N2027" s="17"/>
      <c r="O2027" s="17"/>
    </row>
    <row r="2028" spans="1:15" ht="12.75" x14ac:dyDescent="0.2">
      <c r="A2028" s="15"/>
      <c r="B2028" s="15"/>
      <c r="C2028" s="15"/>
      <c r="D2028" s="16"/>
      <c r="E2028" s="16"/>
      <c r="F2028" s="16"/>
      <c r="G2028" s="16"/>
      <c r="H2028" s="16"/>
      <c r="I2028" s="16"/>
      <c r="J2028" s="16"/>
      <c r="K2028" s="17"/>
      <c r="L2028" s="16"/>
      <c r="M2028" s="17"/>
      <c r="N2028" s="17"/>
      <c r="O2028" s="17"/>
    </row>
    <row r="2029" spans="1:15" ht="12.75" x14ac:dyDescent="0.2">
      <c r="A2029" s="15"/>
      <c r="B2029" s="15"/>
      <c r="C2029" s="15"/>
      <c r="D2029" s="16"/>
      <c r="E2029" s="16"/>
      <c r="F2029" s="16"/>
      <c r="G2029" s="16"/>
      <c r="H2029" s="16"/>
      <c r="I2029" s="16"/>
      <c r="J2029" s="16"/>
      <c r="K2029" s="17"/>
      <c r="L2029" s="16"/>
      <c r="M2029" s="17"/>
      <c r="N2029" s="17"/>
      <c r="O2029" s="17"/>
    </row>
    <row r="2030" spans="1:15" ht="12.75" x14ac:dyDescent="0.2">
      <c r="A2030" s="15"/>
      <c r="B2030" s="15"/>
      <c r="C2030" s="15"/>
      <c r="D2030" s="16"/>
      <c r="E2030" s="16"/>
      <c r="F2030" s="16"/>
      <c r="G2030" s="16"/>
      <c r="H2030" s="16"/>
      <c r="I2030" s="16"/>
      <c r="J2030" s="16"/>
      <c r="K2030" s="17"/>
      <c r="L2030" s="16"/>
      <c r="M2030" s="17"/>
      <c r="N2030" s="17"/>
      <c r="O2030" s="17"/>
    </row>
    <row r="2031" spans="1:15" ht="12.75" x14ac:dyDescent="0.2">
      <c r="A2031" s="15"/>
      <c r="B2031" s="15"/>
      <c r="C2031" s="15"/>
      <c r="D2031" s="16"/>
      <c r="E2031" s="16"/>
      <c r="F2031" s="16"/>
      <c r="G2031" s="16"/>
      <c r="H2031" s="16"/>
      <c r="I2031" s="16"/>
      <c r="J2031" s="16"/>
      <c r="K2031" s="17"/>
      <c r="L2031" s="16"/>
      <c r="M2031" s="17"/>
      <c r="N2031" s="17"/>
      <c r="O2031" s="17"/>
    </row>
    <row r="2032" spans="1:15" ht="12.75" x14ac:dyDescent="0.2">
      <c r="A2032" s="15"/>
      <c r="B2032" s="15"/>
      <c r="C2032" s="15"/>
      <c r="D2032" s="16"/>
      <c r="E2032" s="16"/>
      <c r="F2032" s="16"/>
      <c r="G2032" s="16"/>
      <c r="H2032" s="16"/>
      <c r="I2032" s="16"/>
      <c r="J2032" s="16"/>
      <c r="K2032" s="17"/>
      <c r="L2032" s="16"/>
      <c r="M2032" s="17"/>
      <c r="N2032" s="17"/>
      <c r="O2032" s="17"/>
    </row>
    <row r="2033" spans="1:15" ht="12.75" x14ac:dyDescent="0.2">
      <c r="A2033" s="15"/>
      <c r="B2033" s="15"/>
      <c r="C2033" s="15"/>
      <c r="D2033" s="16"/>
      <c r="E2033" s="16"/>
      <c r="F2033" s="16"/>
      <c r="G2033" s="16"/>
      <c r="H2033" s="16"/>
      <c r="I2033" s="16"/>
      <c r="J2033" s="16"/>
      <c r="K2033" s="17"/>
      <c r="L2033" s="16"/>
      <c r="M2033" s="17"/>
      <c r="N2033" s="17"/>
      <c r="O2033" s="17"/>
    </row>
    <row r="2034" spans="1:15" ht="12.75" x14ac:dyDescent="0.2">
      <c r="A2034" s="15"/>
      <c r="B2034" s="15"/>
      <c r="C2034" s="15"/>
      <c r="D2034" s="16"/>
      <c r="E2034" s="16"/>
      <c r="F2034" s="16"/>
      <c r="G2034" s="16"/>
      <c r="H2034" s="16"/>
      <c r="I2034" s="16"/>
      <c r="J2034" s="16"/>
      <c r="K2034" s="17"/>
      <c r="L2034" s="16"/>
      <c r="M2034" s="17"/>
      <c r="N2034" s="17"/>
      <c r="O2034" s="17"/>
    </row>
    <row r="2035" spans="1:15" ht="12.75" x14ac:dyDescent="0.2">
      <c r="A2035" s="15"/>
      <c r="B2035" s="15"/>
      <c r="C2035" s="15"/>
      <c r="D2035" s="16"/>
      <c r="E2035" s="16"/>
      <c r="F2035" s="16"/>
      <c r="G2035" s="16"/>
      <c r="H2035" s="16"/>
      <c r="I2035" s="16"/>
      <c r="J2035" s="16"/>
      <c r="K2035" s="17"/>
      <c r="L2035" s="16"/>
      <c r="M2035" s="17"/>
      <c r="N2035" s="17"/>
      <c r="O2035" s="17"/>
    </row>
    <row r="2036" spans="1:15" ht="12.75" x14ac:dyDescent="0.2">
      <c r="A2036" s="15"/>
      <c r="B2036" s="15"/>
      <c r="C2036" s="15"/>
      <c r="D2036" s="16"/>
      <c r="E2036" s="16"/>
      <c r="F2036" s="16"/>
      <c r="G2036" s="16"/>
      <c r="H2036" s="16"/>
      <c r="I2036" s="16"/>
      <c r="J2036" s="16"/>
      <c r="K2036" s="17"/>
      <c r="L2036" s="16"/>
      <c r="M2036" s="17"/>
      <c r="N2036" s="17"/>
      <c r="O2036" s="17"/>
    </row>
    <row r="2037" spans="1:15" ht="12.75" x14ac:dyDescent="0.2">
      <c r="A2037" s="15"/>
      <c r="B2037" s="15"/>
      <c r="C2037" s="15"/>
      <c r="D2037" s="16"/>
      <c r="E2037" s="16"/>
      <c r="F2037" s="16"/>
      <c r="G2037" s="16"/>
      <c r="H2037" s="16"/>
      <c r="I2037" s="16"/>
      <c r="J2037" s="16"/>
      <c r="K2037" s="17"/>
      <c r="L2037" s="16"/>
      <c r="M2037" s="17"/>
      <c r="N2037" s="17"/>
      <c r="O2037" s="17"/>
    </row>
    <row r="2038" spans="1:15" ht="12.75" x14ac:dyDescent="0.2">
      <c r="A2038" s="15"/>
      <c r="B2038" s="15"/>
      <c r="C2038" s="15"/>
      <c r="D2038" s="16"/>
      <c r="E2038" s="16"/>
      <c r="F2038" s="16"/>
      <c r="G2038" s="16"/>
      <c r="H2038" s="16"/>
      <c r="I2038" s="16"/>
      <c r="J2038" s="16"/>
      <c r="K2038" s="17"/>
      <c r="L2038" s="16"/>
      <c r="M2038" s="17"/>
      <c r="N2038" s="17"/>
      <c r="O2038" s="17"/>
    </row>
    <row r="2039" spans="1:15" ht="12.75" x14ac:dyDescent="0.2">
      <c r="A2039" s="15"/>
      <c r="B2039" s="15"/>
      <c r="C2039" s="15"/>
      <c r="D2039" s="16"/>
      <c r="E2039" s="16"/>
      <c r="F2039" s="16"/>
      <c r="G2039" s="16"/>
      <c r="H2039" s="16"/>
      <c r="I2039" s="16"/>
      <c r="J2039" s="16"/>
      <c r="K2039" s="17"/>
      <c r="L2039" s="16"/>
      <c r="M2039" s="17"/>
      <c r="N2039" s="17"/>
      <c r="O2039" s="17"/>
    </row>
    <row r="2040" spans="1:15" ht="12.75" x14ac:dyDescent="0.2">
      <c r="A2040" s="15"/>
      <c r="B2040" s="15"/>
      <c r="C2040" s="15"/>
      <c r="D2040" s="16"/>
      <c r="E2040" s="16"/>
      <c r="F2040" s="16"/>
      <c r="G2040" s="16"/>
      <c r="H2040" s="16"/>
      <c r="I2040" s="16"/>
      <c r="J2040" s="16"/>
      <c r="K2040" s="17"/>
      <c r="L2040" s="16"/>
      <c r="M2040" s="17"/>
      <c r="N2040" s="17"/>
      <c r="O2040" s="17"/>
    </row>
    <row r="2041" spans="1:15" ht="12.75" x14ac:dyDescent="0.2">
      <c r="A2041" s="15"/>
      <c r="B2041" s="15"/>
      <c r="C2041" s="15"/>
      <c r="D2041" s="16"/>
      <c r="E2041" s="16"/>
      <c r="F2041" s="16"/>
      <c r="G2041" s="16"/>
      <c r="H2041" s="16"/>
      <c r="I2041" s="16"/>
      <c r="J2041" s="16"/>
      <c r="K2041" s="17"/>
      <c r="L2041" s="16"/>
      <c r="M2041" s="17"/>
      <c r="N2041" s="17"/>
      <c r="O2041" s="17"/>
    </row>
    <row r="2042" spans="1:15" ht="12.75" x14ac:dyDescent="0.2">
      <c r="A2042" s="15"/>
      <c r="B2042" s="15"/>
      <c r="C2042" s="15"/>
      <c r="D2042" s="16"/>
      <c r="E2042" s="16"/>
      <c r="F2042" s="16"/>
      <c r="G2042" s="16"/>
      <c r="H2042" s="16"/>
      <c r="I2042" s="16"/>
      <c r="J2042" s="16"/>
      <c r="K2042" s="17"/>
      <c r="L2042" s="16"/>
      <c r="M2042" s="17"/>
      <c r="N2042" s="17"/>
      <c r="O2042" s="17"/>
    </row>
    <row r="2043" spans="1:15" ht="12.75" x14ac:dyDescent="0.2">
      <c r="A2043" s="15"/>
      <c r="B2043" s="15"/>
      <c r="C2043" s="15"/>
      <c r="D2043" s="16"/>
      <c r="E2043" s="16"/>
      <c r="F2043" s="16"/>
      <c r="G2043" s="16"/>
      <c r="H2043" s="16"/>
      <c r="I2043" s="16"/>
      <c r="J2043" s="16"/>
      <c r="K2043" s="17"/>
      <c r="L2043" s="16"/>
      <c r="M2043" s="17"/>
      <c r="N2043" s="17"/>
      <c r="O2043" s="17"/>
    </row>
    <row r="2044" spans="1:15" ht="12.75" x14ac:dyDescent="0.2">
      <c r="A2044" s="15"/>
      <c r="B2044" s="15"/>
      <c r="C2044" s="15"/>
      <c r="D2044" s="16"/>
      <c r="E2044" s="16"/>
      <c r="F2044" s="16"/>
      <c r="G2044" s="16"/>
      <c r="H2044" s="16"/>
      <c r="I2044" s="16"/>
      <c r="J2044" s="16"/>
      <c r="K2044" s="17"/>
      <c r="L2044" s="16"/>
      <c r="M2044" s="17"/>
      <c r="N2044" s="17"/>
      <c r="O2044" s="17"/>
    </row>
    <row r="2045" spans="1:15" ht="12.75" x14ac:dyDescent="0.2">
      <c r="A2045" s="15"/>
      <c r="B2045" s="15"/>
      <c r="C2045" s="15"/>
      <c r="D2045" s="16"/>
      <c r="E2045" s="16"/>
      <c r="F2045" s="16"/>
      <c r="G2045" s="16"/>
      <c r="H2045" s="16"/>
      <c r="I2045" s="16"/>
      <c r="J2045" s="16"/>
      <c r="K2045" s="17"/>
      <c r="L2045" s="16"/>
      <c r="M2045" s="17"/>
      <c r="N2045" s="17"/>
      <c r="O2045" s="17"/>
    </row>
    <row r="2046" spans="1:15" ht="12.75" x14ac:dyDescent="0.2">
      <c r="A2046" s="15"/>
      <c r="B2046" s="15"/>
      <c r="C2046" s="15"/>
      <c r="D2046" s="16"/>
      <c r="E2046" s="16"/>
      <c r="F2046" s="16"/>
      <c r="G2046" s="16"/>
      <c r="H2046" s="16"/>
      <c r="I2046" s="16"/>
      <c r="J2046" s="16"/>
      <c r="K2046" s="17"/>
      <c r="L2046" s="16"/>
      <c r="M2046" s="17"/>
      <c r="N2046" s="17"/>
      <c r="O2046" s="17"/>
    </row>
    <row r="2047" spans="1:15" ht="12.75" x14ac:dyDescent="0.2">
      <c r="A2047" s="15"/>
      <c r="B2047" s="15"/>
      <c r="C2047" s="15"/>
      <c r="D2047" s="16"/>
      <c r="E2047" s="16"/>
      <c r="F2047" s="16"/>
      <c r="G2047" s="16"/>
      <c r="H2047" s="16"/>
      <c r="I2047" s="16"/>
      <c r="J2047" s="16"/>
      <c r="K2047" s="17"/>
      <c r="L2047" s="16"/>
      <c r="M2047" s="17"/>
      <c r="N2047" s="17"/>
      <c r="O2047" s="17"/>
    </row>
    <row r="2048" spans="1:15" ht="12.75" x14ac:dyDescent="0.2">
      <c r="A2048" s="15"/>
      <c r="B2048" s="15"/>
      <c r="C2048" s="15"/>
      <c r="D2048" s="16"/>
      <c r="E2048" s="16"/>
      <c r="F2048" s="16"/>
      <c r="G2048" s="16"/>
      <c r="H2048" s="16"/>
      <c r="I2048" s="16"/>
      <c r="J2048" s="16"/>
      <c r="K2048" s="17"/>
      <c r="L2048" s="16"/>
      <c r="M2048" s="17"/>
      <c r="N2048" s="17"/>
      <c r="O2048" s="17"/>
    </row>
    <row r="2049" spans="1:15" ht="12.75" x14ac:dyDescent="0.2">
      <c r="A2049" s="15"/>
      <c r="B2049" s="15"/>
      <c r="C2049" s="15"/>
      <c r="D2049" s="16"/>
      <c r="E2049" s="16"/>
      <c r="F2049" s="16"/>
      <c r="G2049" s="16"/>
      <c r="H2049" s="16"/>
      <c r="I2049" s="16"/>
      <c r="J2049" s="16"/>
      <c r="K2049" s="17"/>
      <c r="L2049" s="16"/>
      <c r="M2049" s="17"/>
      <c r="N2049" s="17"/>
      <c r="O2049" s="17"/>
    </row>
    <row r="2050" spans="1:15" ht="12.75" x14ac:dyDescent="0.2">
      <c r="A2050" s="15"/>
      <c r="B2050" s="15"/>
      <c r="C2050" s="15"/>
      <c r="D2050" s="16"/>
      <c r="E2050" s="16"/>
      <c r="F2050" s="16"/>
      <c r="G2050" s="16"/>
      <c r="H2050" s="16"/>
      <c r="I2050" s="16"/>
      <c r="J2050" s="16"/>
      <c r="K2050" s="17"/>
      <c r="L2050" s="16"/>
      <c r="M2050" s="17"/>
      <c r="N2050" s="17"/>
      <c r="O2050" s="17"/>
    </row>
    <row r="2051" spans="1:15" ht="12.75" x14ac:dyDescent="0.2">
      <c r="A2051" s="15"/>
      <c r="B2051" s="15"/>
      <c r="C2051" s="15"/>
      <c r="D2051" s="16"/>
      <c r="E2051" s="16"/>
      <c r="F2051" s="16"/>
      <c r="G2051" s="16"/>
      <c r="H2051" s="16"/>
      <c r="I2051" s="16"/>
      <c r="J2051" s="16"/>
      <c r="K2051" s="17"/>
      <c r="L2051" s="16"/>
      <c r="M2051" s="17"/>
      <c r="N2051" s="17"/>
      <c r="O2051" s="17"/>
    </row>
    <row r="2052" spans="1:15" ht="12.75" x14ac:dyDescent="0.2">
      <c r="A2052" s="15"/>
      <c r="B2052" s="15"/>
      <c r="C2052" s="15"/>
      <c r="D2052" s="16"/>
      <c r="E2052" s="16"/>
      <c r="F2052" s="16"/>
      <c r="G2052" s="16"/>
      <c r="H2052" s="16"/>
      <c r="I2052" s="16"/>
      <c r="J2052" s="16"/>
      <c r="K2052" s="17"/>
      <c r="L2052" s="16"/>
      <c r="M2052" s="17"/>
      <c r="N2052" s="17"/>
      <c r="O2052" s="17"/>
    </row>
    <row r="2053" spans="1:15" ht="12.75" x14ac:dyDescent="0.2">
      <c r="A2053" s="15"/>
      <c r="B2053" s="15"/>
      <c r="C2053" s="15"/>
      <c r="D2053" s="16"/>
      <c r="E2053" s="16"/>
      <c r="F2053" s="16"/>
      <c r="G2053" s="16"/>
      <c r="H2053" s="16"/>
      <c r="I2053" s="16"/>
      <c r="J2053" s="16"/>
      <c r="K2053" s="17"/>
      <c r="L2053" s="16"/>
      <c r="M2053" s="17"/>
      <c r="N2053" s="17"/>
      <c r="O2053" s="17"/>
    </row>
    <row r="2054" spans="1:15" ht="12.75" x14ac:dyDescent="0.2">
      <c r="A2054" s="15"/>
      <c r="B2054" s="15"/>
      <c r="C2054" s="15"/>
      <c r="D2054" s="16"/>
      <c r="E2054" s="16"/>
      <c r="F2054" s="16"/>
      <c r="G2054" s="16"/>
      <c r="H2054" s="16"/>
      <c r="I2054" s="16"/>
      <c r="J2054" s="16"/>
      <c r="K2054" s="17"/>
      <c r="L2054" s="16"/>
      <c r="M2054" s="17"/>
      <c r="N2054" s="17"/>
      <c r="O2054" s="17"/>
    </row>
    <row r="2055" spans="1:15" ht="12.75" x14ac:dyDescent="0.2">
      <c r="A2055" s="15"/>
      <c r="B2055" s="15"/>
      <c r="C2055" s="15"/>
      <c r="D2055" s="16"/>
      <c r="E2055" s="16"/>
      <c r="F2055" s="16"/>
      <c r="G2055" s="16"/>
      <c r="H2055" s="16"/>
      <c r="I2055" s="16"/>
      <c r="J2055" s="16"/>
      <c r="K2055" s="17"/>
      <c r="L2055" s="16"/>
      <c r="M2055" s="17"/>
      <c r="N2055" s="17"/>
      <c r="O2055" s="17"/>
    </row>
    <row r="2056" spans="1:15" ht="12.75" x14ac:dyDescent="0.2">
      <c r="A2056" s="15"/>
      <c r="B2056" s="15"/>
      <c r="C2056" s="15"/>
      <c r="D2056" s="16"/>
      <c r="E2056" s="16"/>
      <c r="F2056" s="16"/>
      <c r="G2056" s="16"/>
      <c r="H2056" s="16"/>
      <c r="I2056" s="16"/>
      <c r="J2056" s="16"/>
      <c r="K2056" s="17"/>
      <c r="L2056" s="16"/>
      <c r="M2056" s="17"/>
      <c r="N2056" s="17"/>
      <c r="O2056" s="17"/>
    </row>
    <row r="2057" spans="1:15" ht="12.75" x14ac:dyDescent="0.2">
      <c r="A2057" s="15"/>
      <c r="B2057" s="15"/>
      <c r="C2057" s="15"/>
      <c r="D2057" s="16"/>
      <c r="E2057" s="16"/>
      <c r="F2057" s="16"/>
      <c r="G2057" s="16"/>
      <c r="H2057" s="16"/>
      <c r="I2057" s="16"/>
      <c r="J2057" s="16"/>
      <c r="K2057" s="17"/>
      <c r="L2057" s="16"/>
      <c r="M2057" s="17"/>
      <c r="N2057" s="17"/>
      <c r="O2057" s="17"/>
    </row>
    <row r="2058" spans="1:15" ht="12.75" x14ac:dyDescent="0.2">
      <c r="A2058" s="15"/>
      <c r="B2058" s="15"/>
      <c r="C2058" s="15"/>
      <c r="D2058" s="16"/>
      <c r="E2058" s="16"/>
      <c r="F2058" s="16"/>
      <c r="G2058" s="16"/>
      <c r="H2058" s="16"/>
      <c r="I2058" s="16"/>
      <c r="J2058" s="16"/>
      <c r="K2058" s="17"/>
      <c r="L2058" s="16"/>
      <c r="M2058" s="17"/>
      <c r="N2058" s="17"/>
      <c r="O2058" s="17"/>
    </row>
    <row r="2059" spans="1:15" ht="12.75" x14ac:dyDescent="0.2">
      <c r="A2059" s="15"/>
      <c r="B2059" s="15"/>
      <c r="C2059" s="15"/>
      <c r="D2059" s="16"/>
      <c r="E2059" s="16"/>
      <c r="F2059" s="16"/>
      <c r="G2059" s="16"/>
      <c r="H2059" s="16"/>
      <c r="I2059" s="16"/>
      <c r="J2059" s="16"/>
      <c r="K2059" s="17"/>
      <c r="L2059" s="16"/>
      <c r="M2059" s="17"/>
      <c r="N2059" s="17"/>
      <c r="O2059" s="17"/>
    </row>
    <row r="2060" spans="1:15" ht="12.75" x14ac:dyDescent="0.2">
      <c r="A2060" s="15"/>
      <c r="B2060" s="15"/>
      <c r="C2060" s="15"/>
      <c r="D2060" s="16"/>
      <c r="E2060" s="16"/>
      <c r="F2060" s="16"/>
      <c r="G2060" s="16"/>
      <c r="H2060" s="16"/>
      <c r="I2060" s="16"/>
      <c r="J2060" s="16"/>
      <c r="K2060" s="17"/>
      <c r="L2060" s="16"/>
      <c r="M2060" s="17"/>
      <c r="N2060" s="17"/>
      <c r="O2060" s="17"/>
    </row>
    <row r="2061" spans="1:15" ht="12.75" x14ac:dyDescent="0.2">
      <c r="A2061" s="15"/>
      <c r="B2061" s="15"/>
      <c r="C2061" s="15"/>
      <c r="D2061" s="16"/>
      <c r="E2061" s="16"/>
      <c r="F2061" s="16"/>
      <c r="G2061" s="16"/>
      <c r="H2061" s="16"/>
      <c r="I2061" s="16"/>
      <c r="J2061" s="16"/>
      <c r="K2061" s="17"/>
      <c r="L2061" s="16"/>
      <c r="M2061" s="17"/>
      <c r="N2061" s="17"/>
      <c r="O2061" s="17"/>
    </row>
    <row r="2062" spans="1:15" ht="12.75" x14ac:dyDescent="0.2">
      <c r="A2062" s="15"/>
      <c r="B2062" s="15"/>
      <c r="C2062" s="15"/>
      <c r="D2062" s="16"/>
      <c r="E2062" s="16"/>
      <c r="F2062" s="16"/>
      <c r="G2062" s="16"/>
      <c r="H2062" s="16"/>
      <c r="I2062" s="16"/>
      <c r="J2062" s="16"/>
      <c r="K2062" s="17"/>
      <c r="L2062" s="16"/>
      <c r="M2062" s="17"/>
      <c r="N2062" s="17"/>
      <c r="O2062" s="17"/>
    </row>
    <row r="2063" spans="1:15" ht="12.75" x14ac:dyDescent="0.2">
      <c r="A2063" s="15"/>
      <c r="B2063" s="15"/>
      <c r="C2063" s="15"/>
      <c r="D2063" s="16"/>
      <c r="E2063" s="16"/>
      <c r="F2063" s="16"/>
      <c r="G2063" s="16"/>
      <c r="H2063" s="16"/>
      <c r="I2063" s="16"/>
      <c r="J2063" s="16"/>
      <c r="K2063" s="17"/>
      <c r="L2063" s="16"/>
      <c r="M2063" s="17"/>
      <c r="N2063" s="17"/>
      <c r="O2063" s="17"/>
    </row>
    <row r="2064" spans="1:15" ht="12.75" x14ac:dyDescent="0.2">
      <c r="A2064" s="15"/>
      <c r="B2064" s="15"/>
      <c r="C2064" s="15"/>
      <c r="D2064" s="16"/>
      <c r="E2064" s="16"/>
      <c r="F2064" s="16"/>
      <c r="G2064" s="16"/>
      <c r="H2064" s="16"/>
      <c r="I2064" s="16"/>
      <c r="J2064" s="16"/>
      <c r="K2064" s="17"/>
      <c r="L2064" s="16"/>
      <c r="M2064" s="17"/>
      <c r="N2064" s="17"/>
      <c r="O2064" s="17"/>
    </row>
    <row r="2065" spans="1:15" ht="12.75" x14ac:dyDescent="0.2">
      <c r="A2065" s="15"/>
      <c r="B2065" s="15"/>
      <c r="C2065" s="15"/>
      <c r="D2065" s="16"/>
      <c r="E2065" s="16"/>
      <c r="F2065" s="16"/>
      <c r="G2065" s="16"/>
      <c r="H2065" s="16"/>
      <c r="I2065" s="16"/>
      <c r="J2065" s="16"/>
      <c r="K2065" s="17"/>
      <c r="L2065" s="16"/>
      <c r="M2065" s="17"/>
      <c r="N2065" s="17"/>
      <c r="O2065" s="17"/>
    </row>
    <row r="2066" spans="1:15" ht="12.75" x14ac:dyDescent="0.2">
      <c r="A2066" s="15"/>
      <c r="B2066" s="15"/>
      <c r="C2066" s="15"/>
      <c r="D2066" s="16"/>
      <c r="E2066" s="16"/>
      <c r="F2066" s="16"/>
      <c r="G2066" s="16"/>
      <c r="H2066" s="16"/>
      <c r="I2066" s="16"/>
      <c r="J2066" s="16"/>
      <c r="K2066" s="17"/>
      <c r="L2066" s="16"/>
      <c r="M2066" s="17"/>
      <c r="N2066" s="17"/>
      <c r="O2066" s="17"/>
    </row>
    <row r="2067" spans="1:15" ht="12.75" x14ac:dyDescent="0.2">
      <c r="A2067" s="15"/>
      <c r="B2067" s="15"/>
      <c r="C2067" s="15"/>
      <c r="D2067" s="16"/>
      <c r="E2067" s="16"/>
      <c r="F2067" s="16"/>
      <c r="G2067" s="16"/>
      <c r="H2067" s="16"/>
      <c r="I2067" s="16"/>
      <c r="J2067" s="16"/>
      <c r="K2067" s="17"/>
      <c r="L2067" s="16"/>
      <c r="M2067" s="17"/>
      <c r="N2067" s="17"/>
      <c r="O2067" s="17"/>
    </row>
    <row r="2068" spans="1:15" ht="12.75" x14ac:dyDescent="0.2">
      <c r="A2068" s="15"/>
      <c r="B2068" s="15"/>
      <c r="C2068" s="15"/>
      <c r="D2068" s="16"/>
      <c r="E2068" s="16"/>
      <c r="F2068" s="16"/>
      <c r="G2068" s="16"/>
      <c r="H2068" s="16"/>
      <c r="I2068" s="16"/>
      <c r="J2068" s="16"/>
      <c r="K2068" s="17"/>
      <c r="L2068" s="16"/>
      <c r="M2068" s="17"/>
      <c r="N2068" s="17"/>
      <c r="O2068" s="17"/>
    </row>
    <row r="2069" spans="1:15" ht="12.75" x14ac:dyDescent="0.2">
      <c r="A2069" s="15"/>
      <c r="B2069" s="15"/>
      <c r="C2069" s="15"/>
      <c r="D2069" s="16"/>
      <c r="E2069" s="16"/>
      <c r="F2069" s="16"/>
      <c r="G2069" s="16"/>
      <c r="H2069" s="16"/>
      <c r="I2069" s="16"/>
      <c r="J2069" s="16"/>
      <c r="K2069" s="17"/>
      <c r="L2069" s="16"/>
      <c r="M2069" s="17"/>
      <c r="N2069" s="17"/>
      <c r="O2069" s="17"/>
    </row>
    <row r="2070" spans="1:15" ht="12.75" x14ac:dyDescent="0.2">
      <c r="A2070" s="15"/>
      <c r="B2070" s="15"/>
      <c r="C2070" s="15"/>
      <c r="D2070" s="16"/>
      <c r="E2070" s="16"/>
      <c r="F2070" s="16"/>
      <c r="G2070" s="16"/>
      <c r="H2070" s="16"/>
      <c r="I2070" s="16"/>
      <c r="J2070" s="16"/>
      <c r="K2070" s="17"/>
      <c r="L2070" s="16"/>
      <c r="M2070" s="17"/>
      <c r="N2070" s="17"/>
      <c r="O2070" s="17"/>
    </row>
    <row r="2071" spans="1:15" ht="12.75" x14ac:dyDescent="0.2">
      <c r="A2071" s="15"/>
      <c r="B2071" s="15"/>
      <c r="C2071" s="15"/>
      <c r="D2071" s="16"/>
      <c r="E2071" s="16"/>
      <c r="F2071" s="16"/>
      <c r="G2071" s="16"/>
      <c r="H2071" s="16"/>
      <c r="I2071" s="16"/>
      <c r="J2071" s="16"/>
      <c r="K2071" s="17"/>
      <c r="L2071" s="16"/>
      <c r="M2071" s="17"/>
      <c r="N2071" s="17"/>
      <c r="O2071" s="17"/>
    </row>
    <row r="2072" spans="1:15" ht="12.75" x14ac:dyDescent="0.2">
      <c r="A2072" s="15"/>
      <c r="B2072" s="15"/>
      <c r="C2072" s="15"/>
      <c r="D2072" s="16"/>
      <c r="E2072" s="16"/>
      <c r="F2072" s="16"/>
      <c r="G2072" s="16"/>
      <c r="H2072" s="16"/>
      <c r="I2072" s="16"/>
      <c r="J2072" s="16"/>
      <c r="K2072" s="17"/>
      <c r="L2072" s="16"/>
      <c r="M2072" s="17"/>
      <c r="N2072" s="17"/>
      <c r="O2072" s="17"/>
    </row>
    <row r="2073" spans="1:15" ht="12.75" x14ac:dyDescent="0.2">
      <c r="A2073" s="15"/>
      <c r="B2073" s="15"/>
      <c r="C2073" s="15"/>
      <c r="D2073" s="16"/>
      <c r="E2073" s="16"/>
      <c r="F2073" s="16"/>
      <c r="G2073" s="16"/>
      <c r="H2073" s="16"/>
      <c r="I2073" s="16"/>
      <c r="J2073" s="16"/>
      <c r="K2073" s="17"/>
      <c r="L2073" s="16"/>
      <c r="M2073" s="17"/>
      <c r="N2073" s="17"/>
      <c r="O2073" s="17"/>
    </row>
    <row r="2074" spans="1:15" ht="12.75" x14ac:dyDescent="0.2">
      <c r="A2074" s="15"/>
      <c r="B2074" s="15"/>
      <c r="C2074" s="15"/>
      <c r="D2074" s="16"/>
      <c r="E2074" s="16"/>
      <c r="F2074" s="16"/>
      <c r="G2074" s="16"/>
      <c r="H2074" s="16"/>
      <c r="I2074" s="16"/>
      <c r="J2074" s="16"/>
      <c r="K2074" s="17"/>
      <c r="L2074" s="16"/>
      <c r="M2074" s="17"/>
      <c r="N2074" s="17"/>
      <c r="O2074" s="17"/>
    </row>
    <row r="2075" spans="1:15" ht="12.75" x14ac:dyDescent="0.2">
      <c r="A2075" s="15"/>
      <c r="B2075" s="15"/>
      <c r="C2075" s="15"/>
      <c r="D2075" s="16"/>
      <c r="E2075" s="16"/>
      <c r="F2075" s="16"/>
      <c r="G2075" s="16"/>
      <c r="H2075" s="16"/>
      <c r="I2075" s="16"/>
      <c r="J2075" s="16"/>
      <c r="K2075" s="17"/>
      <c r="L2075" s="16"/>
      <c r="M2075" s="17"/>
      <c r="N2075" s="17"/>
      <c r="O2075" s="17"/>
    </row>
    <row r="2076" spans="1:15" ht="12.75" x14ac:dyDescent="0.2">
      <c r="A2076" s="15"/>
      <c r="B2076" s="15"/>
      <c r="C2076" s="15"/>
      <c r="D2076" s="16"/>
      <c r="E2076" s="16"/>
      <c r="F2076" s="16"/>
      <c r="G2076" s="16"/>
      <c r="H2076" s="16"/>
      <c r="I2076" s="16"/>
      <c r="J2076" s="16"/>
      <c r="K2076" s="17"/>
      <c r="L2076" s="16"/>
      <c r="M2076" s="17"/>
      <c r="N2076" s="17"/>
      <c r="O2076" s="17"/>
    </row>
    <row r="2077" spans="1:15" ht="12.75" x14ac:dyDescent="0.2">
      <c r="A2077" s="15"/>
      <c r="B2077" s="15"/>
      <c r="C2077" s="15"/>
      <c r="D2077" s="16"/>
      <c r="E2077" s="16"/>
      <c r="F2077" s="16"/>
      <c r="G2077" s="16"/>
      <c r="H2077" s="16"/>
      <c r="I2077" s="16"/>
      <c r="J2077" s="16"/>
      <c r="K2077" s="17"/>
      <c r="L2077" s="16"/>
      <c r="M2077" s="17"/>
      <c r="N2077" s="17"/>
      <c r="O2077" s="17"/>
    </row>
    <row r="2078" spans="1:15" ht="12.75" x14ac:dyDescent="0.2">
      <c r="A2078" s="15"/>
      <c r="B2078" s="15"/>
      <c r="C2078" s="15"/>
      <c r="D2078" s="16"/>
      <c r="E2078" s="16"/>
      <c r="F2078" s="16"/>
      <c r="G2078" s="16"/>
      <c r="H2078" s="16"/>
      <c r="I2078" s="16"/>
      <c r="J2078" s="16"/>
      <c r="K2078" s="17"/>
      <c r="L2078" s="16"/>
      <c r="M2078" s="17"/>
      <c r="N2078" s="17"/>
      <c r="O2078" s="17"/>
    </row>
    <row r="2079" spans="1:15" ht="12.75" x14ac:dyDescent="0.2">
      <c r="A2079" s="15"/>
      <c r="B2079" s="15"/>
      <c r="C2079" s="15"/>
      <c r="D2079" s="16"/>
      <c r="E2079" s="16"/>
      <c r="F2079" s="16"/>
      <c r="G2079" s="16"/>
      <c r="H2079" s="16"/>
      <c r="I2079" s="16"/>
      <c r="J2079" s="16"/>
      <c r="K2079" s="17"/>
      <c r="L2079" s="16"/>
      <c r="M2079" s="17"/>
      <c r="N2079" s="17"/>
      <c r="O2079" s="17"/>
    </row>
    <row r="2080" spans="1:15" ht="12.75" x14ac:dyDescent="0.2">
      <c r="A2080" s="15"/>
      <c r="B2080" s="15"/>
      <c r="C2080" s="15"/>
      <c r="D2080" s="16"/>
      <c r="E2080" s="16"/>
      <c r="F2080" s="16"/>
      <c r="G2080" s="16"/>
      <c r="H2080" s="16"/>
      <c r="I2080" s="16"/>
      <c r="J2080" s="16"/>
      <c r="K2080" s="17"/>
      <c r="L2080" s="16"/>
      <c r="M2080" s="17"/>
      <c r="N2080" s="17"/>
      <c r="O2080" s="17"/>
    </row>
    <row r="2081" spans="1:15" ht="12.75" x14ac:dyDescent="0.2">
      <c r="A2081" s="15"/>
      <c r="B2081" s="15"/>
      <c r="C2081" s="15"/>
      <c r="D2081" s="16"/>
      <c r="E2081" s="16"/>
      <c r="F2081" s="16"/>
      <c r="G2081" s="16"/>
      <c r="H2081" s="16"/>
      <c r="I2081" s="16"/>
      <c r="J2081" s="16"/>
      <c r="K2081" s="17"/>
      <c r="L2081" s="16"/>
      <c r="M2081" s="17"/>
      <c r="N2081" s="17"/>
      <c r="O2081" s="17"/>
    </row>
    <row r="2082" spans="1:15" ht="12.75" x14ac:dyDescent="0.2">
      <c r="A2082" s="15"/>
      <c r="B2082" s="15"/>
      <c r="C2082" s="15"/>
      <c r="D2082" s="16"/>
      <c r="E2082" s="16"/>
      <c r="F2082" s="16"/>
      <c r="G2082" s="16"/>
      <c r="H2082" s="16"/>
      <c r="I2082" s="16"/>
      <c r="J2082" s="16"/>
      <c r="K2082" s="17"/>
      <c r="L2082" s="16"/>
      <c r="M2082" s="17"/>
      <c r="N2082" s="17"/>
      <c r="O2082" s="17"/>
    </row>
    <row r="2083" spans="1:15" ht="12.75" x14ac:dyDescent="0.2">
      <c r="A2083" s="15"/>
      <c r="B2083" s="15"/>
      <c r="C2083" s="15"/>
      <c r="D2083" s="16"/>
      <c r="E2083" s="16"/>
      <c r="F2083" s="16"/>
      <c r="G2083" s="16"/>
      <c r="H2083" s="16"/>
      <c r="I2083" s="16"/>
      <c r="J2083" s="16"/>
      <c r="K2083" s="17"/>
      <c r="L2083" s="16"/>
      <c r="M2083" s="17"/>
      <c r="N2083" s="17"/>
      <c r="O2083" s="17"/>
    </row>
    <row r="2084" spans="1:15" ht="12.75" x14ac:dyDescent="0.2">
      <c r="A2084" s="15"/>
      <c r="B2084" s="15"/>
      <c r="C2084" s="15"/>
      <c r="D2084" s="16"/>
      <c r="E2084" s="16"/>
      <c r="F2084" s="16"/>
      <c r="G2084" s="16"/>
      <c r="H2084" s="16"/>
      <c r="I2084" s="16"/>
      <c r="J2084" s="16"/>
      <c r="K2084" s="17"/>
      <c r="L2084" s="16"/>
      <c r="M2084" s="17"/>
      <c r="N2084" s="17"/>
      <c r="O2084" s="17"/>
    </row>
    <row r="2085" spans="1:15" ht="12.75" x14ac:dyDescent="0.2">
      <c r="A2085" s="15"/>
      <c r="B2085" s="15"/>
      <c r="C2085" s="15"/>
      <c r="D2085" s="16"/>
      <c r="E2085" s="16"/>
      <c r="F2085" s="16"/>
      <c r="G2085" s="16"/>
      <c r="H2085" s="16"/>
      <c r="I2085" s="16"/>
      <c r="J2085" s="16"/>
      <c r="K2085" s="17"/>
      <c r="L2085" s="16"/>
      <c r="M2085" s="17"/>
      <c r="N2085" s="17"/>
      <c r="O2085" s="17"/>
    </row>
    <row r="2086" spans="1:15" ht="12.75" x14ac:dyDescent="0.2">
      <c r="A2086" s="15"/>
      <c r="B2086" s="15"/>
      <c r="C2086" s="15"/>
      <c r="D2086" s="16"/>
      <c r="E2086" s="16"/>
      <c r="F2086" s="16"/>
      <c r="G2086" s="16"/>
      <c r="H2086" s="16"/>
      <c r="I2086" s="16"/>
      <c r="J2086" s="16"/>
      <c r="K2086" s="17"/>
      <c r="L2086" s="16"/>
      <c r="M2086" s="17"/>
      <c r="N2086" s="17"/>
      <c r="O2086" s="17"/>
    </row>
    <row r="2087" spans="1:15" ht="12.75" x14ac:dyDescent="0.2">
      <c r="A2087" s="15"/>
      <c r="B2087" s="15"/>
      <c r="C2087" s="15"/>
      <c r="D2087" s="16"/>
      <c r="E2087" s="16"/>
      <c r="F2087" s="16"/>
      <c r="G2087" s="16"/>
      <c r="H2087" s="16"/>
      <c r="I2087" s="16"/>
      <c r="J2087" s="16"/>
      <c r="K2087" s="17"/>
      <c r="L2087" s="16"/>
      <c r="M2087" s="17"/>
      <c r="N2087" s="17"/>
      <c r="O2087" s="17"/>
    </row>
    <row r="2088" spans="1:15" ht="12.75" x14ac:dyDescent="0.2">
      <c r="A2088" s="15"/>
      <c r="B2088" s="15"/>
      <c r="C2088" s="15"/>
      <c r="D2088" s="16"/>
      <c r="E2088" s="16"/>
      <c r="F2088" s="16"/>
      <c r="G2088" s="16"/>
      <c r="H2088" s="16"/>
      <c r="I2088" s="16"/>
      <c r="J2088" s="16"/>
      <c r="K2088" s="17"/>
      <c r="L2088" s="16"/>
      <c r="M2088" s="17"/>
      <c r="N2088" s="17"/>
      <c r="O2088" s="17"/>
    </row>
    <row r="2089" spans="1:15" ht="12.75" x14ac:dyDescent="0.2">
      <c r="A2089" s="15"/>
      <c r="B2089" s="15"/>
      <c r="C2089" s="15"/>
      <c r="D2089" s="16"/>
      <c r="E2089" s="16"/>
      <c r="F2089" s="16"/>
      <c r="G2089" s="16"/>
      <c r="H2089" s="16"/>
      <c r="I2089" s="16"/>
      <c r="J2089" s="16"/>
      <c r="K2089" s="17"/>
      <c r="L2089" s="16"/>
      <c r="M2089" s="17"/>
      <c r="N2089" s="17"/>
      <c r="O2089" s="17"/>
    </row>
    <row r="2090" spans="1:15" ht="12.75" x14ac:dyDescent="0.2">
      <c r="A2090" s="15"/>
      <c r="B2090" s="15"/>
      <c r="C2090" s="15"/>
      <c r="D2090" s="16"/>
      <c r="E2090" s="16"/>
      <c r="F2090" s="16"/>
      <c r="G2090" s="16"/>
      <c r="H2090" s="16"/>
      <c r="I2090" s="16"/>
      <c r="J2090" s="16"/>
      <c r="K2090" s="17"/>
      <c r="L2090" s="16"/>
      <c r="M2090" s="17"/>
      <c r="N2090" s="17"/>
      <c r="O2090" s="17"/>
    </row>
    <row r="2091" spans="1:15" ht="12.75" x14ac:dyDescent="0.2">
      <c r="A2091" s="15"/>
      <c r="B2091" s="15"/>
      <c r="C2091" s="15"/>
      <c r="D2091" s="16"/>
      <c r="E2091" s="16"/>
      <c r="F2091" s="16"/>
      <c r="G2091" s="16"/>
      <c r="H2091" s="16"/>
      <c r="I2091" s="16"/>
      <c r="J2091" s="16"/>
      <c r="K2091" s="17"/>
      <c r="L2091" s="16"/>
      <c r="M2091" s="17"/>
      <c r="N2091" s="17"/>
      <c r="O2091" s="17"/>
    </row>
    <row r="2092" spans="1:15" ht="12.75" x14ac:dyDescent="0.2">
      <c r="A2092" s="15"/>
      <c r="B2092" s="15"/>
      <c r="C2092" s="15"/>
      <c r="D2092" s="16"/>
      <c r="E2092" s="16"/>
      <c r="F2092" s="16"/>
      <c r="G2092" s="16"/>
      <c r="H2092" s="16"/>
      <c r="I2092" s="16"/>
      <c r="J2092" s="16"/>
      <c r="K2092" s="17"/>
      <c r="L2092" s="16"/>
      <c r="M2092" s="17"/>
      <c r="N2092" s="17"/>
      <c r="O2092" s="17"/>
    </row>
    <row r="2093" spans="1:15" ht="12.75" x14ac:dyDescent="0.2">
      <c r="A2093" s="15"/>
      <c r="B2093" s="15"/>
      <c r="C2093" s="15"/>
      <c r="D2093" s="16"/>
      <c r="E2093" s="16"/>
      <c r="F2093" s="16"/>
      <c r="G2093" s="16"/>
      <c r="H2093" s="16"/>
      <c r="I2093" s="16"/>
      <c r="J2093" s="16"/>
      <c r="K2093" s="17"/>
      <c r="L2093" s="16"/>
      <c r="M2093" s="17"/>
      <c r="N2093" s="17"/>
      <c r="O2093" s="17"/>
    </row>
    <row r="2094" spans="1:15" ht="12.75" x14ac:dyDescent="0.2">
      <c r="A2094" s="15"/>
      <c r="B2094" s="15"/>
      <c r="C2094" s="15"/>
      <c r="D2094" s="16"/>
      <c r="E2094" s="16"/>
      <c r="F2094" s="16"/>
      <c r="G2094" s="16"/>
      <c r="H2094" s="16"/>
      <c r="I2094" s="16"/>
      <c r="J2094" s="16"/>
      <c r="K2094" s="17"/>
      <c r="L2094" s="16"/>
      <c r="M2094" s="17"/>
      <c r="N2094" s="17"/>
      <c r="O2094" s="17"/>
    </row>
    <row r="2095" spans="1:15" ht="12.75" x14ac:dyDescent="0.2">
      <c r="A2095" s="15"/>
      <c r="B2095" s="15"/>
      <c r="C2095" s="15"/>
      <c r="D2095" s="16"/>
      <c r="E2095" s="16"/>
      <c r="F2095" s="16"/>
      <c r="G2095" s="16"/>
      <c r="H2095" s="16"/>
      <c r="I2095" s="16"/>
      <c r="J2095" s="16"/>
      <c r="K2095" s="17"/>
      <c r="L2095" s="16"/>
      <c r="M2095" s="17"/>
      <c r="N2095" s="17"/>
      <c r="O2095" s="17"/>
    </row>
    <row r="2096" spans="1:15" ht="12.75" x14ac:dyDescent="0.2">
      <c r="A2096" s="15"/>
      <c r="B2096" s="15"/>
      <c r="C2096" s="15"/>
      <c r="D2096" s="16"/>
      <c r="E2096" s="16"/>
      <c r="F2096" s="16"/>
      <c r="G2096" s="16"/>
      <c r="H2096" s="16"/>
      <c r="I2096" s="16"/>
      <c r="J2096" s="16"/>
      <c r="K2096" s="17"/>
      <c r="L2096" s="16"/>
      <c r="M2096" s="17"/>
      <c r="N2096" s="17"/>
      <c r="O2096" s="17"/>
    </row>
    <row r="2097" spans="1:15" ht="12.75" x14ac:dyDescent="0.2">
      <c r="A2097" s="15"/>
      <c r="B2097" s="15"/>
      <c r="C2097" s="15"/>
      <c r="D2097" s="16"/>
      <c r="E2097" s="16"/>
      <c r="F2097" s="16"/>
      <c r="G2097" s="16"/>
      <c r="H2097" s="16"/>
      <c r="I2097" s="16"/>
      <c r="J2097" s="16"/>
      <c r="K2097" s="17"/>
      <c r="L2097" s="16"/>
      <c r="M2097" s="17"/>
      <c r="N2097" s="17"/>
      <c r="O2097" s="17"/>
    </row>
    <row r="2098" spans="1:15" ht="12.75" x14ac:dyDescent="0.2">
      <c r="A2098" s="15"/>
      <c r="B2098" s="15"/>
      <c r="C2098" s="15"/>
      <c r="D2098" s="16"/>
      <c r="E2098" s="16"/>
      <c r="F2098" s="16"/>
      <c r="G2098" s="16"/>
      <c r="H2098" s="16"/>
      <c r="I2098" s="16"/>
      <c r="J2098" s="16"/>
      <c r="K2098" s="17"/>
      <c r="L2098" s="16"/>
      <c r="M2098" s="17"/>
      <c r="N2098" s="17"/>
      <c r="O2098" s="17"/>
    </row>
    <row r="2099" spans="1:15" ht="12.75" x14ac:dyDescent="0.2">
      <c r="A2099" s="15"/>
      <c r="B2099" s="15"/>
      <c r="C2099" s="15"/>
      <c r="D2099" s="16"/>
      <c r="E2099" s="16"/>
      <c r="F2099" s="16"/>
      <c r="G2099" s="16"/>
      <c r="H2099" s="16"/>
      <c r="I2099" s="16"/>
      <c r="J2099" s="16"/>
      <c r="K2099" s="17"/>
      <c r="L2099" s="16"/>
      <c r="M2099" s="17"/>
      <c r="N2099" s="17"/>
      <c r="O2099" s="17"/>
    </row>
    <row r="2100" spans="1:15" ht="12.75" x14ac:dyDescent="0.2">
      <c r="A2100" s="15"/>
      <c r="B2100" s="15"/>
      <c r="C2100" s="15"/>
      <c r="D2100" s="16"/>
      <c r="E2100" s="16"/>
      <c r="F2100" s="16"/>
      <c r="G2100" s="16"/>
      <c r="H2100" s="16"/>
      <c r="I2100" s="16"/>
      <c r="J2100" s="16"/>
      <c r="K2100" s="17"/>
      <c r="L2100" s="16"/>
      <c r="M2100" s="17"/>
      <c r="N2100" s="17"/>
      <c r="O2100" s="17"/>
    </row>
    <row r="2101" spans="1:15" ht="12.75" x14ac:dyDescent="0.2">
      <c r="A2101" s="15"/>
      <c r="B2101" s="15"/>
      <c r="C2101" s="15"/>
      <c r="D2101" s="16"/>
      <c r="E2101" s="16"/>
      <c r="F2101" s="16"/>
      <c r="G2101" s="16"/>
      <c r="H2101" s="16"/>
      <c r="I2101" s="16"/>
      <c r="J2101" s="16"/>
      <c r="K2101" s="17"/>
      <c r="L2101" s="16"/>
      <c r="M2101" s="17"/>
      <c r="N2101" s="17"/>
      <c r="O2101" s="17"/>
    </row>
    <row r="2102" spans="1:15" ht="12.75" x14ac:dyDescent="0.2">
      <c r="A2102" s="15"/>
      <c r="B2102" s="15"/>
      <c r="C2102" s="15"/>
      <c r="D2102" s="16"/>
      <c r="E2102" s="16"/>
      <c r="F2102" s="16"/>
      <c r="G2102" s="16"/>
      <c r="H2102" s="16"/>
      <c r="I2102" s="16"/>
      <c r="J2102" s="16"/>
      <c r="K2102" s="17"/>
      <c r="L2102" s="16"/>
      <c r="M2102" s="17"/>
      <c r="N2102" s="17"/>
      <c r="O2102" s="17"/>
    </row>
    <row r="2103" spans="1:15" ht="12.75" x14ac:dyDescent="0.2">
      <c r="A2103" s="15"/>
      <c r="B2103" s="15"/>
      <c r="C2103" s="15"/>
      <c r="D2103" s="16"/>
      <c r="E2103" s="16"/>
      <c r="F2103" s="16"/>
      <c r="G2103" s="16"/>
      <c r="H2103" s="16"/>
      <c r="I2103" s="16"/>
      <c r="J2103" s="16"/>
      <c r="K2103" s="17"/>
      <c r="L2103" s="16"/>
      <c r="M2103" s="17"/>
      <c r="N2103" s="17"/>
      <c r="O2103" s="17"/>
    </row>
    <row r="2104" spans="1:15" ht="12.75" x14ac:dyDescent="0.2">
      <c r="A2104" s="15"/>
      <c r="B2104" s="15"/>
      <c r="C2104" s="15"/>
      <c r="D2104" s="16"/>
      <c r="E2104" s="16"/>
      <c r="F2104" s="16"/>
      <c r="G2104" s="16"/>
      <c r="H2104" s="16"/>
      <c r="I2104" s="16"/>
      <c r="J2104" s="16"/>
      <c r="K2104" s="17"/>
      <c r="L2104" s="16"/>
      <c r="M2104" s="17"/>
      <c r="N2104" s="17"/>
      <c r="O2104" s="17"/>
    </row>
    <row r="2105" spans="1:15" ht="12.75" x14ac:dyDescent="0.2">
      <c r="A2105" s="15"/>
      <c r="B2105" s="15"/>
      <c r="C2105" s="15"/>
      <c r="D2105" s="16"/>
      <c r="E2105" s="16"/>
      <c r="F2105" s="16"/>
      <c r="G2105" s="16"/>
      <c r="H2105" s="16"/>
      <c r="I2105" s="16"/>
      <c r="J2105" s="16"/>
      <c r="K2105" s="17"/>
      <c r="L2105" s="16"/>
      <c r="M2105" s="17"/>
      <c r="N2105" s="17"/>
      <c r="O2105" s="17"/>
    </row>
    <row r="2106" spans="1:15" ht="12.75" x14ac:dyDescent="0.2">
      <c r="A2106" s="15"/>
      <c r="B2106" s="15"/>
      <c r="C2106" s="15"/>
      <c r="D2106" s="16"/>
      <c r="E2106" s="16"/>
      <c r="F2106" s="16"/>
      <c r="G2106" s="16"/>
      <c r="H2106" s="16"/>
      <c r="I2106" s="16"/>
      <c r="J2106" s="16"/>
      <c r="K2106" s="17"/>
      <c r="L2106" s="16"/>
      <c r="M2106" s="17"/>
      <c r="N2106" s="17"/>
      <c r="O2106" s="17"/>
    </row>
    <row r="2107" spans="1:15" ht="12.75" x14ac:dyDescent="0.2">
      <c r="A2107" s="15"/>
      <c r="B2107" s="15"/>
      <c r="C2107" s="15"/>
      <c r="D2107" s="16"/>
      <c r="E2107" s="16"/>
      <c r="F2107" s="16"/>
      <c r="G2107" s="16"/>
      <c r="H2107" s="16"/>
      <c r="I2107" s="16"/>
      <c r="J2107" s="16"/>
      <c r="K2107" s="17"/>
      <c r="L2107" s="16"/>
      <c r="M2107" s="17"/>
      <c r="N2107" s="17"/>
      <c r="O2107" s="17"/>
    </row>
    <row r="2108" spans="1:15" ht="12.75" x14ac:dyDescent="0.2">
      <c r="A2108" s="15"/>
      <c r="B2108" s="15"/>
      <c r="C2108" s="15"/>
      <c r="D2108" s="16"/>
      <c r="E2108" s="16"/>
      <c r="F2108" s="16"/>
      <c r="G2108" s="16"/>
      <c r="H2108" s="16"/>
      <c r="I2108" s="16"/>
      <c r="J2108" s="16"/>
      <c r="K2108" s="17"/>
      <c r="L2108" s="16"/>
      <c r="M2108" s="17"/>
      <c r="N2108" s="17"/>
      <c r="O2108" s="17"/>
    </row>
    <row r="2109" spans="1:15" ht="12.75" x14ac:dyDescent="0.2">
      <c r="A2109" s="15"/>
      <c r="B2109" s="15"/>
      <c r="C2109" s="15"/>
      <c r="D2109" s="16"/>
      <c r="E2109" s="16"/>
      <c r="F2109" s="16"/>
      <c r="G2109" s="16"/>
      <c r="H2109" s="16"/>
      <c r="I2109" s="16"/>
      <c r="J2109" s="16"/>
      <c r="K2109" s="17"/>
      <c r="L2109" s="16"/>
      <c r="M2109" s="17"/>
      <c r="N2109" s="17"/>
      <c r="O2109" s="17"/>
    </row>
    <row r="2110" spans="1:15" ht="12.75" x14ac:dyDescent="0.2">
      <c r="A2110" s="15"/>
      <c r="B2110" s="15"/>
      <c r="C2110" s="15"/>
      <c r="D2110" s="16"/>
      <c r="E2110" s="16"/>
      <c r="F2110" s="16"/>
      <c r="G2110" s="16"/>
      <c r="H2110" s="16"/>
      <c r="I2110" s="16"/>
      <c r="J2110" s="16"/>
      <c r="K2110" s="17"/>
      <c r="L2110" s="16"/>
      <c r="M2110" s="17"/>
      <c r="N2110" s="17"/>
      <c r="O2110" s="17"/>
    </row>
    <row r="2111" spans="1:15" ht="12.75" x14ac:dyDescent="0.2">
      <c r="A2111" s="15"/>
      <c r="B2111" s="15"/>
      <c r="C2111" s="15"/>
      <c r="D2111" s="16"/>
      <c r="E2111" s="16"/>
      <c r="F2111" s="16"/>
      <c r="G2111" s="16"/>
      <c r="H2111" s="16"/>
      <c r="I2111" s="16"/>
      <c r="J2111" s="16"/>
      <c r="K2111" s="17"/>
      <c r="L2111" s="16"/>
      <c r="M2111" s="17"/>
      <c r="N2111" s="17"/>
      <c r="O2111" s="17"/>
    </row>
    <row r="2112" spans="1:15" ht="12.75" x14ac:dyDescent="0.2">
      <c r="A2112" s="15"/>
      <c r="B2112" s="15"/>
      <c r="C2112" s="15"/>
      <c r="D2112" s="16"/>
      <c r="E2112" s="16"/>
      <c r="F2112" s="16"/>
      <c r="G2112" s="16"/>
      <c r="H2112" s="16"/>
      <c r="I2112" s="16"/>
      <c r="J2112" s="16"/>
      <c r="K2112" s="17"/>
      <c r="L2112" s="16"/>
      <c r="M2112" s="17"/>
      <c r="N2112" s="17"/>
      <c r="O2112" s="17"/>
    </row>
    <row r="2113" spans="1:15" ht="12.75" x14ac:dyDescent="0.2">
      <c r="A2113" s="15"/>
      <c r="B2113" s="15"/>
      <c r="C2113" s="15"/>
      <c r="D2113" s="16"/>
      <c r="E2113" s="16"/>
      <c r="F2113" s="16"/>
      <c r="G2113" s="16"/>
      <c r="H2113" s="16"/>
      <c r="I2113" s="16"/>
      <c r="J2113" s="16"/>
      <c r="K2113" s="17"/>
      <c r="L2113" s="16"/>
      <c r="M2113" s="17"/>
      <c r="N2113" s="17"/>
      <c r="O2113" s="17"/>
    </row>
    <row r="2114" spans="1:15" ht="12.75" x14ac:dyDescent="0.2">
      <c r="A2114" s="15"/>
      <c r="B2114" s="15"/>
      <c r="C2114" s="15"/>
      <c r="D2114" s="16"/>
      <c r="E2114" s="16"/>
      <c r="F2114" s="16"/>
      <c r="G2114" s="16"/>
      <c r="H2114" s="16"/>
      <c r="I2114" s="16"/>
      <c r="J2114" s="16"/>
      <c r="K2114" s="17"/>
      <c r="L2114" s="16"/>
      <c r="M2114" s="17"/>
      <c r="N2114" s="17"/>
      <c r="O2114" s="17"/>
    </row>
    <row r="2115" spans="1:15" ht="12.75" x14ac:dyDescent="0.2">
      <c r="A2115" s="15"/>
      <c r="B2115" s="15"/>
      <c r="C2115" s="15"/>
      <c r="D2115" s="16"/>
      <c r="E2115" s="16"/>
      <c r="F2115" s="16"/>
      <c r="G2115" s="16"/>
      <c r="H2115" s="16"/>
      <c r="I2115" s="16"/>
      <c r="J2115" s="16"/>
      <c r="K2115" s="17"/>
      <c r="L2115" s="16"/>
      <c r="M2115" s="17"/>
      <c r="N2115" s="17"/>
      <c r="O2115" s="17"/>
    </row>
    <row r="2116" spans="1:15" ht="12.75" x14ac:dyDescent="0.2">
      <c r="A2116" s="15"/>
      <c r="B2116" s="15"/>
      <c r="C2116" s="15"/>
      <c r="D2116" s="16"/>
      <c r="E2116" s="16"/>
      <c r="F2116" s="16"/>
      <c r="G2116" s="16"/>
      <c r="H2116" s="16"/>
      <c r="I2116" s="16"/>
      <c r="J2116" s="16"/>
      <c r="K2116" s="17"/>
      <c r="L2116" s="16"/>
      <c r="M2116" s="17"/>
      <c r="N2116" s="17"/>
      <c r="O2116" s="17"/>
    </row>
    <row r="2117" spans="1:15" ht="12.75" x14ac:dyDescent="0.2">
      <c r="A2117" s="15"/>
      <c r="B2117" s="15"/>
      <c r="C2117" s="15"/>
      <c r="D2117" s="16"/>
      <c r="E2117" s="16"/>
      <c r="F2117" s="16"/>
      <c r="G2117" s="16"/>
      <c r="H2117" s="16"/>
      <c r="I2117" s="16"/>
      <c r="J2117" s="16"/>
      <c r="K2117" s="17"/>
      <c r="L2117" s="16"/>
      <c r="M2117" s="17"/>
      <c r="N2117" s="17"/>
      <c r="O2117" s="17"/>
    </row>
    <row r="2118" spans="1:15" ht="12.75" x14ac:dyDescent="0.2">
      <c r="A2118" s="15"/>
      <c r="B2118" s="15"/>
      <c r="C2118" s="15"/>
      <c r="D2118" s="16"/>
      <c r="E2118" s="16"/>
      <c r="F2118" s="16"/>
      <c r="G2118" s="16"/>
      <c r="H2118" s="16"/>
      <c r="I2118" s="16"/>
      <c r="J2118" s="16"/>
      <c r="K2118" s="17"/>
      <c r="L2118" s="16"/>
      <c r="M2118" s="17"/>
      <c r="N2118" s="17"/>
      <c r="O2118" s="17"/>
    </row>
    <row r="2119" spans="1:15" ht="12.75" x14ac:dyDescent="0.2">
      <c r="A2119" s="15"/>
      <c r="B2119" s="15"/>
      <c r="C2119" s="15"/>
      <c r="D2119" s="16"/>
      <c r="E2119" s="16"/>
      <c r="F2119" s="16"/>
      <c r="G2119" s="16"/>
      <c r="H2119" s="16"/>
      <c r="I2119" s="16"/>
      <c r="J2119" s="16"/>
      <c r="K2119" s="17"/>
      <c r="L2119" s="16"/>
      <c r="M2119" s="17"/>
      <c r="N2119" s="17"/>
      <c r="O2119" s="17"/>
    </row>
    <row r="2120" spans="1:15" ht="12.75" x14ac:dyDescent="0.2">
      <c r="A2120" s="15"/>
      <c r="B2120" s="15"/>
      <c r="C2120" s="15"/>
      <c r="D2120" s="16"/>
      <c r="E2120" s="16"/>
      <c r="F2120" s="16"/>
      <c r="G2120" s="16"/>
      <c r="H2120" s="16"/>
      <c r="I2120" s="16"/>
      <c r="J2120" s="16"/>
      <c r="K2120" s="17"/>
      <c r="L2120" s="16"/>
      <c r="M2120" s="17"/>
      <c r="N2120" s="17"/>
      <c r="O2120" s="17"/>
    </row>
    <row r="2121" spans="1:15" ht="12.75" x14ac:dyDescent="0.2">
      <c r="A2121" s="15"/>
      <c r="B2121" s="15"/>
      <c r="C2121" s="15"/>
      <c r="D2121" s="16"/>
      <c r="E2121" s="16"/>
      <c r="F2121" s="16"/>
      <c r="G2121" s="16"/>
      <c r="H2121" s="16"/>
      <c r="I2121" s="16"/>
      <c r="J2121" s="16"/>
      <c r="K2121" s="17"/>
      <c r="L2121" s="16"/>
      <c r="M2121" s="17"/>
      <c r="N2121" s="17"/>
      <c r="O2121" s="17"/>
    </row>
    <row r="2122" spans="1:15" ht="12.75" x14ac:dyDescent="0.2">
      <c r="A2122" s="15"/>
      <c r="B2122" s="15"/>
      <c r="C2122" s="15"/>
      <c r="D2122" s="16"/>
      <c r="E2122" s="16"/>
      <c r="F2122" s="16"/>
      <c r="G2122" s="16"/>
      <c r="H2122" s="16"/>
      <c r="I2122" s="16"/>
      <c r="J2122" s="16"/>
      <c r="K2122" s="17"/>
      <c r="L2122" s="16"/>
      <c r="M2122" s="17"/>
      <c r="N2122" s="17"/>
      <c r="O2122" s="17"/>
    </row>
    <row r="2123" spans="1:15" ht="12.75" x14ac:dyDescent="0.2">
      <c r="A2123" s="15"/>
      <c r="B2123" s="15"/>
      <c r="C2123" s="15"/>
      <c r="D2123" s="16"/>
      <c r="E2123" s="16"/>
      <c r="F2123" s="16"/>
      <c r="G2123" s="16"/>
      <c r="H2123" s="16"/>
      <c r="I2123" s="16"/>
      <c r="J2123" s="16"/>
      <c r="K2123" s="17"/>
      <c r="L2123" s="16"/>
      <c r="M2123" s="17"/>
      <c r="N2123" s="17"/>
      <c r="O2123" s="17"/>
    </row>
    <row r="2124" spans="1:15" ht="12.75" x14ac:dyDescent="0.2">
      <c r="A2124" s="15"/>
      <c r="B2124" s="15"/>
      <c r="C2124" s="15"/>
      <c r="D2124" s="16"/>
      <c r="E2124" s="16"/>
      <c r="F2124" s="16"/>
      <c r="G2124" s="16"/>
      <c r="H2124" s="16"/>
      <c r="I2124" s="16"/>
      <c r="J2124" s="16"/>
      <c r="K2124" s="17"/>
      <c r="L2124" s="16"/>
      <c r="M2124" s="17"/>
      <c r="N2124" s="17"/>
      <c r="O2124" s="17"/>
    </row>
    <row r="2125" spans="1:15" ht="12.75" x14ac:dyDescent="0.2">
      <c r="A2125" s="15"/>
      <c r="B2125" s="15"/>
      <c r="C2125" s="15"/>
      <c r="D2125" s="16"/>
      <c r="E2125" s="16"/>
      <c r="F2125" s="16"/>
      <c r="G2125" s="16"/>
      <c r="H2125" s="16"/>
      <c r="I2125" s="16"/>
      <c r="J2125" s="16"/>
      <c r="K2125" s="17"/>
      <c r="L2125" s="16"/>
      <c r="M2125" s="17"/>
      <c r="N2125" s="17"/>
      <c r="O2125" s="17"/>
    </row>
    <row r="2126" spans="1:15" ht="12.75" x14ac:dyDescent="0.2">
      <c r="A2126" s="15"/>
      <c r="B2126" s="15"/>
      <c r="C2126" s="15"/>
      <c r="D2126" s="16"/>
      <c r="E2126" s="16"/>
      <c r="F2126" s="16"/>
      <c r="G2126" s="16"/>
      <c r="H2126" s="16"/>
      <c r="I2126" s="16"/>
      <c r="J2126" s="16"/>
      <c r="K2126" s="17"/>
      <c r="L2126" s="16"/>
      <c r="M2126" s="17"/>
      <c r="N2126" s="17"/>
      <c r="O2126" s="17"/>
    </row>
    <row r="2127" spans="1:15" ht="12.75" x14ac:dyDescent="0.2">
      <c r="A2127" s="15"/>
      <c r="B2127" s="15"/>
      <c r="C2127" s="15"/>
      <c r="D2127" s="16"/>
      <c r="E2127" s="16"/>
      <c r="F2127" s="16"/>
      <c r="G2127" s="16"/>
      <c r="H2127" s="16"/>
      <c r="I2127" s="16"/>
      <c r="J2127" s="16"/>
      <c r="K2127" s="17"/>
      <c r="L2127" s="16"/>
      <c r="M2127" s="17"/>
      <c r="N2127" s="17"/>
      <c r="O2127" s="17"/>
    </row>
    <row r="2128" spans="1:15" ht="12.75" x14ac:dyDescent="0.2">
      <c r="A2128" s="15"/>
      <c r="B2128" s="15"/>
      <c r="C2128" s="15"/>
      <c r="D2128" s="16"/>
      <c r="E2128" s="16"/>
      <c r="F2128" s="16"/>
      <c r="G2128" s="16"/>
      <c r="H2128" s="16"/>
      <c r="I2128" s="16"/>
      <c r="J2128" s="16"/>
      <c r="K2128" s="17"/>
      <c r="L2128" s="16"/>
      <c r="M2128" s="17"/>
      <c r="N2128" s="17"/>
      <c r="O2128" s="17"/>
    </row>
    <row r="2129" spans="1:15" ht="12.75" x14ac:dyDescent="0.2">
      <c r="A2129" s="15"/>
      <c r="B2129" s="15"/>
      <c r="C2129" s="15"/>
      <c r="D2129" s="16"/>
      <c r="E2129" s="16"/>
      <c r="F2129" s="16"/>
      <c r="G2129" s="16"/>
      <c r="H2129" s="16"/>
      <c r="I2129" s="16"/>
      <c r="J2129" s="16"/>
      <c r="K2129" s="17"/>
      <c r="L2129" s="16"/>
      <c r="M2129" s="17"/>
      <c r="N2129" s="17"/>
      <c r="O2129" s="17"/>
    </row>
    <row r="2130" spans="1:15" ht="12.75" x14ac:dyDescent="0.2">
      <c r="A2130" s="15"/>
      <c r="B2130" s="15"/>
      <c r="C2130" s="15"/>
      <c r="D2130" s="16"/>
      <c r="E2130" s="16"/>
      <c r="F2130" s="16"/>
      <c r="G2130" s="16"/>
      <c r="H2130" s="16"/>
      <c r="I2130" s="16"/>
      <c r="J2130" s="16"/>
      <c r="K2130" s="17"/>
      <c r="L2130" s="16"/>
      <c r="M2130" s="17"/>
      <c r="N2130" s="17"/>
      <c r="O2130" s="17"/>
    </row>
    <row r="2131" spans="1:15" ht="12.75" x14ac:dyDescent="0.2">
      <c r="A2131" s="15"/>
      <c r="B2131" s="15"/>
      <c r="C2131" s="15"/>
      <c r="D2131" s="16"/>
      <c r="E2131" s="16"/>
      <c r="F2131" s="16"/>
      <c r="G2131" s="16"/>
      <c r="H2131" s="16"/>
      <c r="I2131" s="16"/>
      <c r="J2131" s="16"/>
      <c r="K2131" s="17"/>
      <c r="L2131" s="16"/>
      <c r="M2131" s="17"/>
      <c r="N2131" s="17"/>
      <c r="O2131" s="17"/>
    </row>
    <row r="2132" spans="1:15" ht="12.75" x14ac:dyDescent="0.2">
      <c r="A2132" s="15"/>
      <c r="B2132" s="15"/>
      <c r="C2132" s="15"/>
      <c r="D2132" s="16"/>
      <c r="E2132" s="16"/>
      <c r="F2132" s="16"/>
      <c r="G2132" s="16"/>
      <c r="H2132" s="16"/>
      <c r="I2132" s="16"/>
      <c r="J2132" s="16"/>
      <c r="K2132" s="17"/>
      <c r="L2132" s="16"/>
      <c r="M2132" s="17"/>
      <c r="N2132" s="17"/>
      <c r="O2132" s="17"/>
    </row>
    <row r="2133" spans="1:15" ht="12.75" x14ac:dyDescent="0.2">
      <c r="A2133" s="15"/>
      <c r="B2133" s="15"/>
      <c r="C2133" s="15"/>
      <c r="D2133" s="16"/>
      <c r="E2133" s="16"/>
      <c r="F2133" s="16"/>
      <c r="G2133" s="16"/>
      <c r="H2133" s="16"/>
      <c r="I2133" s="16"/>
      <c r="J2133" s="16"/>
      <c r="K2133" s="17"/>
      <c r="L2133" s="16"/>
      <c r="M2133" s="17"/>
      <c r="N2133" s="17"/>
      <c r="O2133" s="17"/>
    </row>
    <row r="2134" spans="1:15" ht="12.75" x14ac:dyDescent="0.2">
      <c r="A2134" s="15"/>
      <c r="B2134" s="15"/>
      <c r="C2134" s="15"/>
      <c r="D2134" s="16"/>
      <c r="E2134" s="16"/>
      <c r="F2134" s="16"/>
      <c r="G2134" s="16"/>
      <c r="H2134" s="16"/>
      <c r="I2134" s="16"/>
      <c r="J2134" s="16"/>
      <c r="K2134" s="17"/>
      <c r="L2134" s="16"/>
      <c r="M2134" s="17"/>
      <c r="N2134" s="17"/>
      <c r="O2134" s="17"/>
    </row>
    <row r="2135" spans="1:15" ht="12.75" x14ac:dyDescent="0.2">
      <c r="A2135" s="15"/>
      <c r="B2135" s="15"/>
      <c r="C2135" s="15"/>
      <c r="D2135" s="16"/>
      <c r="E2135" s="16"/>
      <c r="F2135" s="16"/>
      <c r="G2135" s="16"/>
      <c r="H2135" s="16"/>
      <c r="I2135" s="16"/>
      <c r="J2135" s="16"/>
      <c r="K2135" s="17"/>
      <c r="L2135" s="16"/>
      <c r="M2135" s="17"/>
      <c r="N2135" s="17"/>
      <c r="O2135" s="17"/>
    </row>
    <row r="2136" spans="1:15" ht="12.75" x14ac:dyDescent="0.2">
      <c r="A2136" s="15"/>
      <c r="B2136" s="15"/>
      <c r="C2136" s="15"/>
      <c r="D2136" s="16"/>
      <c r="E2136" s="16"/>
      <c r="F2136" s="16"/>
      <c r="G2136" s="16"/>
      <c r="H2136" s="16"/>
      <c r="I2136" s="16"/>
      <c r="J2136" s="16"/>
      <c r="K2136" s="17"/>
      <c r="L2136" s="16"/>
      <c r="M2136" s="17"/>
      <c r="N2136" s="17"/>
      <c r="O2136" s="17"/>
    </row>
    <row r="2137" spans="1:15" ht="12.75" x14ac:dyDescent="0.2">
      <c r="A2137" s="15"/>
      <c r="B2137" s="15"/>
      <c r="C2137" s="15"/>
      <c r="D2137" s="16"/>
      <c r="E2137" s="16"/>
      <c r="F2137" s="16"/>
      <c r="G2137" s="16"/>
      <c r="H2137" s="16"/>
      <c r="I2137" s="16"/>
      <c r="J2137" s="16"/>
      <c r="K2137" s="17"/>
      <c r="L2137" s="16"/>
      <c r="M2137" s="17"/>
      <c r="N2137" s="17"/>
      <c r="O2137" s="17"/>
    </row>
    <row r="2138" spans="1:15" ht="12.75" x14ac:dyDescent="0.2">
      <c r="A2138" s="15"/>
      <c r="B2138" s="15"/>
      <c r="C2138" s="15"/>
      <c r="D2138" s="16"/>
      <c r="E2138" s="16"/>
      <c r="F2138" s="16"/>
      <c r="G2138" s="16"/>
      <c r="H2138" s="16"/>
      <c r="I2138" s="16"/>
      <c r="J2138" s="16"/>
      <c r="K2138" s="17"/>
      <c r="L2138" s="16"/>
      <c r="M2138" s="17"/>
      <c r="N2138" s="17"/>
      <c r="O2138" s="17"/>
    </row>
    <row r="2139" spans="1:15" ht="12.75" x14ac:dyDescent="0.2">
      <c r="A2139" s="15"/>
      <c r="B2139" s="15"/>
      <c r="C2139" s="15"/>
      <c r="D2139" s="16"/>
      <c r="E2139" s="16"/>
      <c r="F2139" s="16"/>
      <c r="G2139" s="16"/>
      <c r="H2139" s="16"/>
      <c r="I2139" s="16"/>
      <c r="J2139" s="16"/>
      <c r="K2139" s="17"/>
      <c r="L2139" s="16"/>
      <c r="M2139" s="17"/>
      <c r="N2139" s="17"/>
      <c r="O2139" s="17"/>
    </row>
    <row r="2140" spans="1:15" ht="12.75" x14ac:dyDescent="0.2">
      <c r="A2140" s="15"/>
      <c r="B2140" s="15"/>
      <c r="C2140" s="15"/>
      <c r="D2140" s="16"/>
      <c r="E2140" s="16"/>
      <c r="F2140" s="16"/>
      <c r="G2140" s="16"/>
      <c r="H2140" s="16"/>
      <c r="I2140" s="16"/>
      <c r="J2140" s="16"/>
      <c r="K2140" s="17"/>
      <c r="L2140" s="16"/>
      <c r="M2140" s="17"/>
      <c r="N2140" s="17"/>
      <c r="O2140" s="17"/>
    </row>
    <row r="2141" spans="1:15" ht="12.75" x14ac:dyDescent="0.2">
      <c r="A2141" s="15"/>
      <c r="B2141" s="15"/>
      <c r="C2141" s="15"/>
      <c r="D2141" s="16"/>
      <c r="E2141" s="16"/>
      <c r="F2141" s="16"/>
      <c r="G2141" s="16"/>
      <c r="H2141" s="16"/>
      <c r="I2141" s="16"/>
      <c r="J2141" s="16"/>
      <c r="K2141" s="17"/>
      <c r="L2141" s="16"/>
      <c r="M2141" s="17"/>
      <c r="N2141" s="17"/>
      <c r="O2141" s="17"/>
    </row>
    <row r="2142" spans="1:15" ht="12.75" x14ac:dyDescent="0.2">
      <c r="A2142" s="15"/>
      <c r="B2142" s="15"/>
      <c r="C2142" s="15"/>
      <c r="D2142" s="16"/>
      <c r="E2142" s="16"/>
      <c r="F2142" s="16"/>
      <c r="G2142" s="16"/>
      <c r="H2142" s="16"/>
      <c r="I2142" s="16"/>
      <c r="J2142" s="16"/>
      <c r="K2142" s="17"/>
      <c r="L2142" s="16"/>
      <c r="M2142" s="17"/>
      <c r="N2142" s="17"/>
      <c r="O2142" s="17"/>
    </row>
    <row r="2143" spans="1:15" ht="12.75" x14ac:dyDescent="0.2">
      <c r="A2143" s="15"/>
      <c r="B2143" s="15"/>
      <c r="C2143" s="15"/>
      <c r="D2143" s="16"/>
      <c r="E2143" s="16"/>
      <c r="F2143" s="16"/>
      <c r="G2143" s="16"/>
      <c r="H2143" s="16"/>
      <c r="I2143" s="16"/>
      <c r="J2143" s="16"/>
      <c r="K2143" s="17"/>
      <c r="L2143" s="16"/>
      <c r="M2143" s="17"/>
      <c r="N2143" s="17"/>
      <c r="O2143" s="17"/>
    </row>
    <row r="2144" spans="1:15" ht="12.75" x14ac:dyDescent="0.2">
      <c r="A2144" s="15"/>
      <c r="B2144" s="15"/>
      <c r="C2144" s="15"/>
      <c r="D2144" s="16"/>
      <c r="E2144" s="16"/>
      <c r="F2144" s="16"/>
      <c r="G2144" s="16"/>
      <c r="H2144" s="16"/>
      <c r="I2144" s="16"/>
      <c r="J2144" s="16"/>
      <c r="K2144" s="17"/>
      <c r="L2144" s="16"/>
      <c r="M2144" s="17"/>
      <c r="N2144" s="17"/>
      <c r="O2144" s="17"/>
    </row>
    <row r="2145" spans="1:15" ht="12.75" x14ac:dyDescent="0.2">
      <c r="A2145" s="15"/>
      <c r="B2145" s="15"/>
      <c r="C2145" s="15"/>
      <c r="D2145" s="16"/>
      <c r="E2145" s="16"/>
      <c r="F2145" s="16"/>
      <c r="G2145" s="16"/>
      <c r="H2145" s="16"/>
      <c r="I2145" s="16"/>
      <c r="J2145" s="16"/>
      <c r="K2145" s="17"/>
      <c r="L2145" s="16"/>
      <c r="M2145" s="17"/>
      <c r="N2145" s="17"/>
      <c r="O2145" s="17"/>
    </row>
    <row r="2146" spans="1:15" ht="12.75" x14ac:dyDescent="0.2">
      <c r="A2146" s="15"/>
      <c r="B2146" s="15"/>
      <c r="C2146" s="15"/>
      <c r="D2146" s="16"/>
      <c r="E2146" s="16"/>
      <c r="F2146" s="16"/>
      <c r="G2146" s="16"/>
      <c r="H2146" s="16"/>
      <c r="I2146" s="16"/>
      <c r="J2146" s="16"/>
      <c r="K2146" s="17"/>
      <c r="L2146" s="16"/>
      <c r="M2146" s="17"/>
      <c r="N2146" s="17"/>
      <c r="O2146" s="17"/>
    </row>
    <row r="2147" spans="1:15" ht="12.75" x14ac:dyDescent="0.2">
      <c r="A2147" s="15"/>
      <c r="B2147" s="15"/>
      <c r="C2147" s="15"/>
      <c r="D2147" s="16"/>
      <c r="E2147" s="16"/>
      <c r="F2147" s="16"/>
      <c r="G2147" s="16"/>
      <c r="H2147" s="16"/>
      <c r="I2147" s="16"/>
      <c r="J2147" s="16"/>
      <c r="K2147" s="17"/>
      <c r="L2147" s="16"/>
      <c r="M2147" s="17"/>
      <c r="N2147" s="17"/>
      <c r="O2147" s="17"/>
    </row>
    <row r="2148" spans="1:15" ht="12.75" x14ac:dyDescent="0.2">
      <c r="A2148" s="15"/>
      <c r="B2148" s="15"/>
      <c r="C2148" s="15"/>
      <c r="D2148" s="16"/>
      <c r="E2148" s="16"/>
      <c r="F2148" s="16"/>
      <c r="G2148" s="16"/>
      <c r="H2148" s="16"/>
      <c r="I2148" s="16"/>
      <c r="J2148" s="16"/>
      <c r="K2148" s="17"/>
      <c r="L2148" s="16"/>
      <c r="M2148" s="17"/>
      <c r="N2148" s="17"/>
      <c r="O2148" s="17"/>
    </row>
    <row r="2149" spans="1:15" ht="12.75" x14ac:dyDescent="0.2">
      <c r="A2149" s="15"/>
      <c r="B2149" s="15"/>
      <c r="C2149" s="15"/>
      <c r="D2149" s="16"/>
      <c r="E2149" s="16"/>
      <c r="F2149" s="16"/>
      <c r="G2149" s="16"/>
      <c r="H2149" s="16"/>
      <c r="I2149" s="16"/>
      <c r="J2149" s="16"/>
      <c r="K2149" s="17"/>
      <c r="L2149" s="16"/>
      <c r="M2149" s="17"/>
      <c r="N2149" s="17"/>
      <c r="O2149" s="17"/>
    </row>
    <row r="2150" spans="1:15" ht="12.75" x14ac:dyDescent="0.2">
      <c r="A2150" s="15"/>
      <c r="B2150" s="15"/>
      <c r="C2150" s="15"/>
      <c r="D2150" s="16"/>
      <c r="E2150" s="16"/>
      <c r="F2150" s="16"/>
      <c r="G2150" s="16"/>
      <c r="H2150" s="16"/>
      <c r="I2150" s="16"/>
      <c r="J2150" s="16"/>
      <c r="K2150" s="17"/>
      <c r="L2150" s="16"/>
      <c r="M2150" s="17"/>
      <c r="N2150" s="17"/>
      <c r="O2150" s="17"/>
    </row>
    <row r="2151" spans="1:15" ht="12.75" x14ac:dyDescent="0.2">
      <c r="A2151" s="15"/>
      <c r="B2151" s="15"/>
      <c r="C2151" s="15"/>
      <c r="D2151" s="16"/>
      <c r="E2151" s="16"/>
      <c r="F2151" s="16"/>
      <c r="G2151" s="16"/>
      <c r="H2151" s="16"/>
      <c r="I2151" s="16"/>
      <c r="J2151" s="16"/>
      <c r="K2151" s="17"/>
      <c r="L2151" s="16"/>
      <c r="M2151" s="17"/>
      <c r="N2151" s="17"/>
      <c r="O2151" s="17"/>
    </row>
    <row r="2152" spans="1:15" ht="12.75" x14ac:dyDescent="0.2">
      <c r="A2152" s="15"/>
      <c r="B2152" s="15"/>
      <c r="C2152" s="15"/>
      <c r="D2152" s="16"/>
      <c r="E2152" s="16"/>
      <c r="F2152" s="16"/>
      <c r="G2152" s="16"/>
      <c r="H2152" s="16"/>
      <c r="I2152" s="16"/>
      <c r="J2152" s="16"/>
      <c r="K2152" s="17"/>
      <c r="L2152" s="16"/>
      <c r="M2152" s="17"/>
      <c r="N2152" s="17"/>
      <c r="O2152" s="17"/>
    </row>
    <row r="2153" spans="1:15" ht="12.75" x14ac:dyDescent="0.2">
      <c r="A2153" s="15"/>
      <c r="B2153" s="15"/>
      <c r="C2153" s="15"/>
      <c r="D2153" s="16"/>
      <c r="E2153" s="16"/>
      <c r="F2153" s="16"/>
      <c r="G2153" s="16"/>
      <c r="H2153" s="16"/>
      <c r="I2153" s="16"/>
      <c r="J2153" s="16"/>
      <c r="K2153" s="17"/>
      <c r="L2153" s="16"/>
      <c r="M2153" s="17"/>
      <c r="N2153" s="17"/>
      <c r="O2153" s="17"/>
    </row>
    <row r="2154" spans="1:15" ht="12.75" x14ac:dyDescent="0.2">
      <c r="A2154" s="15"/>
      <c r="B2154" s="15"/>
      <c r="C2154" s="15"/>
      <c r="D2154" s="16"/>
      <c r="E2154" s="16"/>
      <c r="F2154" s="16"/>
      <c r="G2154" s="16"/>
      <c r="H2154" s="16"/>
      <c r="I2154" s="16"/>
      <c r="J2154" s="16"/>
      <c r="K2154" s="17"/>
      <c r="L2154" s="16"/>
      <c r="M2154" s="17"/>
      <c r="N2154" s="17"/>
      <c r="O2154" s="17"/>
    </row>
    <row r="2155" spans="1:15" ht="12.75" x14ac:dyDescent="0.2">
      <c r="A2155" s="15"/>
      <c r="B2155" s="15"/>
      <c r="C2155" s="15"/>
      <c r="D2155" s="16"/>
      <c r="E2155" s="16"/>
      <c r="F2155" s="16"/>
      <c r="G2155" s="16"/>
      <c r="H2155" s="16"/>
      <c r="I2155" s="16"/>
      <c r="J2155" s="16"/>
      <c r="K2155" s="17"/>
      <c r="L2155" s="16"/>
      <c r="M2155" s="17"/>
      <c r="N2155" s="17"/>
      <c r="O2155" s="17"/>
    </row>
    <row r="2156" spans="1:15" ht="12.75" x14ac:dyDescent="0.2">
      <c r="A2156" s="15"/>
      <c r="B2156" s="15"/>
      <c r="C2156" s="15"/>
      <c r="D2156" s="16"/>
      <c r="E2156" s="16"/>
      <c r="F2156" s="16"/>
      <c r="G2156" s="16"/>
      <c r="H2156" s="16"/>
      <c r="I2156" s="16"/>
      <c r="J2156" s="16"/>
      <c r="K2156" s="17"/>
      <c r="L2156" s="16"/>
      <c r="M2156" s="17"/>
      <c r="N2156" s="17"/>
      <c r="O2156" s="17"/>
    </row>
    <row r="2157" spans="1:15" ht="12.75" x14ac:dyDescent="0.2">
      <c r="A2157" s="15"/>
      <c r="B2157" s="15"/>
      <c r="C2157" s="15"/>
      <c r="D2157" s="16"/>
      <c r="E2157" s="16"/>
      <c r="F2157" s="16"/>
      <c r="G2157" s="16"/>
      <c r="H2157" s="16"/>
      <c r="I2157" s="16"/>
      <c r="J2157" s="16"/>
      <c r="K2157" s="17"/>
      <c r="L2157" s="16"/>
      <c r="M2157" s="17"/>
      <c r="N2157" s="17"/>
      <c r="O2157" s="17"/>
    </row>
    <row r="2158" spans="1:15" ht="12.75" x14ac:dyDescent="0.2">
      <c r="A2158" s="15"/>
      <c r="B2158" s="15"/>
      <c r="C2158" s="15"/>
      <c r="D2158" s="16"/>
      <c r="E2158" s="16"/>
      <c r="F2158" s="16"/>
      <c r="G2158" s="16"/>
      <c r="H2158" s="16"/>
      <c r="I2158" s="16"/>
      <c r="J2158" s="16"/>
      <c r="K2158" s="17"/>
      <c r="L2158" s="16"/>
      <c r="M2158" s="17"/>
      <c r="N2158" s="17"/>
      <c r="O2158" s="17"/>
    </row>
    <row r="2159" spans="1:15" ht="12.75" x14ac:dyDescent="0.2">
      <c r="A2159" s="15"/>
      <c r="B2159" s="15"/>
      <c r="C2159" s="15"/>
      <c r="D2159" s="16"/>
      <c r="E2159" s="16"/>
      <c r="F2159" s="16"/>
      <c r="G2159" s="16"/>
      <c r="H2159" s="16"/>
      <c r="I2159" s="16"/>
      <c r="J2159" s="16"/>
      <c r="K2159" s="17"/>
      <c r="L2159" s="16"/>
      <c r="M2159" s="17"/>
      <c r="N2159" s="17"/>
      <c r="O2159" s="17"/>
    </row>
    <row r="2160" spans="1:15" ht="12.75" x14ac:dyDescent="0.2">
      <c r="A2160" s="15"/>
      <c r="B2160" s="15"/>
      <c r="C2160" s="15"/>
      <c r="D2160" s="16"/>
      <c r="E2160" s="16"/>
      <c r="F2160" s="16"/>
      <c r="G2160" s="16"/>
      <c r="H2160" s="16"/>
      <c r="I2160" s="16"/>
      <c r="J2160" s="16"/>
      <c r="K2160" s="17"/>
      <c r="L2160" s="16"/>
      <c r="M2160" s="17"/>
      <c r="N2160" s="17"/>
      <c r="O2160" s="17"/>
    </row>
    <row r="2161" spans="1:15" ht="12.75" x14ac:dyDescent="0.2">
      <c r="A2161" s="15"/>
      <c r="B2161" s="15"/>
      <c r="C2161" s="15"/>
      <c r="D2161" s="16"/>
      <c r="E2161" s="16"/>
      <c r="F2161" s="16"/>
      <c r="G2161" s="16"/>
      <c r="H2161" s="16"/>
      <c r="I2161" s="16"/>
      <c r="J2161" s="16"/>
      <c r="K2161" s="17"/>
      <c r="L2161" s="16"/>
      <c r="M2161" s="17"/>
      <c r="N2161" s="17"/>
      <c r="O2161" s="17"/>
    </row>
    <row r="2162" spans="1:15" ht="12.75" x14ac:dyDescent="0.2">
      <c r="A2162" s="15"/>
      <c r="B2162" s="15"/>
      <c r="C2162" s="15"/>
      <c r="D2162" s="16"/>
      <c r="E2162" s="16"/>
      <c r="F2162" s="16"/>
      <c r="G2162" s="16"/>
      <c r="H2162" s="16"/>
      <c r="I2162" s="16"/>
      <c r="J2162" s="16"/>
      <c r="K2162" s="17"/>
      <c r="L2162" s="16"/>
      <c r="M2162" s="17"/>
      <c r="N2162" s="17"/>
      <c r="O2162" s="17"/>
    </row>
    <row r="2163" spans="1:15" ht="12.75" x14ac:dyDescent="0.2">
      <c r="A2163" s="15"/>
      <c r="B2163" s="15"/>
      <c r="C2163" s="15"/>
      <c r="D2163" s="16"/>
      <c r="E2163" s="16"/>
      <c r="F2163" s="16"/>
      <c r="G2163" s="16"/>
      <c r="H2163" s="16"/>
      <c r="I2163" s="16"/>
      <c r="J2163" s="16"/>
      <c r="K2163" s="17"/>
      <c r="L2163" s="16"/>
      <c r="M2163" s="17"/>
      <c r="N2163" s="17"/>
      <c r="O2163" s="17"/>
    </row>
    <row r="2164" spans="1:15" ht="12.75" x14ac:dyDescent="0.2">
      <c r="A2164" s="15"/>
      <c r="B2164" s="15"/>
      <c r="C2164" s="15"/>
      <c r="D2164" s="16"/>
      <c r="E2164" s="16"/>
      <c r="F2164" s="16"/>
      <c r="G2164" s="16"/>
      <c r="H2164" s="16"/>
      <c r="I2164" s="16"/>
      <c r="J2164" s="16"/>
      <c r="K2164" s="17"/>
      <c r="L2164" s="16"/>
      <c r="M2164" s="17"/>
      <c r="N2164" s="17"/>
      <c r="O2164" s="17"/>
    </row>
    <row r="2165" spans="1:15" ht="12.75" x14ac:dyDescent="0.2">
      <c r="A2165" s="15"/>
      <c r="B2165" s="15"/>
      <c r="C2165" s="15"/>
      <c r="D2165" s="16"/>
      <c r="E2165" s="16"/>
      <c r="F2165" s="16"/>
      <c r="G2165" s="16"/>
      <c r="H2165" s="16"/>
      <c r="I2165" s="16"/>
      <c r="J2165" s="16"/>
      <c r="K2165" s="17"/>
      <c r="L2165" s="16"/>
      <c r="M2165" s="17"/>
      <c r="N2165" s="17"/>
      <c r="O2165" s="17"/>
    </row>
    <row r="2166" spans="1:15" ht="12.75" x14ac:dyDescent="0.2">
      <c r="A2166" s="15"/>
      <c r="B2166" s="15"/>
      <c r="C2166" s="15"/>
      <c r="D2166" s="16"/>
      <c r="E2166" s="16"/>
      <c r="F2166" s="16"/>
      <c r="G2166" s="16"/>
      <c r="H2166" s="16"/>
      <c r="I2166" s="16"/>
      <c r="J2166" s="16"/>
      <c r="K2166" s="17"/>
      <c r="L2166" s="16"/>
      <c r="M2166" s="17"/>
      <c r="N2166" s="17"/>
      <c r="O2166" s="17"/>
    </row>
    <row r="2167" spans="1:15" ht="12.75" x14ac:dyDescent="0.2">
      <c r="A2167" s="15"/>
      <c r="B2167" s="15"/>
      <c r="C2167" s="15"/>
      <c r="D2167" s="16"/>
      <c r="E2167" s="16"/>
      <c r="F2167" s="16"/>
      <c r="G2167" s="16"/>
      <c r="H2167" s="16"/>
      <c r="I2167" s="16"/>
      <c r="J2167" s="16"/>
      <c r="K2167" s="17"/>
      <c r="L2167" s="16"/>
      <c r="M2167" s="17"/>
      <c r="N2167" s="17"/>
      <c r="O2167" s="17"/>
    </row>
    <row r="2168" spans="1:15" ht="12.75" x14ac:dyDescent="0.2">
      <c r="A2168" s="15"/>
      <c r="B2168" s="15"/>
      <c r="C2168" s="15"/>
      <c r="D2168" s="16"/>
      <c r="E2168" s="16"/>
      <c r="F2168" s="16"/>
      <c r="G2168" s="16"/>
      <c r="H2168" s="16"/>
      <c r="I2168" s="16"/>
      <c r="J2168" s="16"/>
      <c r="K2168" s="17"/>
      <c r="L2168" s="16"/>
      <c r="M2168" s="17"/>
      <c r="N2168" s="17"/>
      <c r="O2168" s="17"/>
    </row>
    <row r="2169" spans="1:15" ht="12.75" x14ac:dyDescent="0.2">
      <c r="A2169" s="15"/>
      <c r="B2169" s="15"/>
      <c r="C2169" s="15"/>
      <c r="D2169" s="16"/>
      <c r="E2169" s="16"/>
      <c r="F2169" s="16"/>
      <c r="G2169" s="16"/>
      <c r="H2169" s="16"/>
      <c r="I2169" s="16"/>
      <c r="J2169" s="16"/>
      <c r="K2169" s="17"/>
      <c r="L2169" s="16"/>
      <c r="M2169" s="17"/>
      <c r="N2169" s="17"/>
      <c r="O2169" s="17"/>
    </row>
    <row r="2170" spans="1:15" ht="12.75" x14ac:dyDescent="0.2">
      <c r="A2170" s="15"/>
      <c r="B2170" s="15"/>
      <c r="C2170" s="15"/>
      <c r="D2170" s="16"/>
      <c r="E2170" s="16"/>
      <c r="F2170" s="16"/>
      <c r="G2170" s="16"/>
      <c r="H2170" s="16"/>
      <c r="I2170" s="16"/>
      <c r="J2170" s="16"/>
      <c r="K2170" s="17"/>
      <c r="L2170" s="16"/>
      <c r="M2170" s="17"/>
      <c r="N2170" s="17"/>
      <c r="O2170" s="17"/>
    </row>
    <row r="2171" spans="1:15" ht="12.75" x14ac:dyDescent="0.2">
      <c r="A2171" s="15"/>
      <c r="B2171" s="15"/>
      <c r="C2171" s="15"/>
      <c r="D2171" s="16"/>
      <c r="E2171" s="16"/>
      <c r="F2171" s="16"/>
      <c r="G2171" s="16"/>
      <c r="H2171" s="16"/>
      <c r="I2171" s="16"/>
      <c r="J2171" s="16"/>
      <c r="K2171" s="17"/>
      <c r="L2171" s="16"/>
      <c r="M2171" s="17"/>
      <c r="N2171" s="17"/>
      <c r="O2171" s="17"/>
    </row>
    <row r="2172" spans="1:15" ht="12.75" x14ac:dyDescent="0.2">
      <c r="A2172" s="15"/>
      <c r="B2172" s="15"/>
      <c r="C2172" s="15"/>
      <c r="D2172" s="16"/>
      <c r="E2172" s="16"/>
      <c r="F2172" s="16"/>
      <c r="G2172" s="16"/>
      <c r="H2172" s="16"/>
      <c r="I2172" s="16"/>
      <c r="J2172" s="16"/>
      <c r="K2172" s="17"/>
      <c r="L2172" s="16"/>
      <c r="M2172" s="17"/>
      <c r="N2172" s="17"/>
      <c r="O2172" s="17"/>
    </row>
    <row r="2173" spans="1:15" ht="12.75" x14ac:dyDescent="0.2">
      <c r="A2173" s="15"/>
      <c r="B2173" s="15"/>
      <c r="C2173" s="15"/>
      <c r="D2173" s="16"/>
      <c r="E2173" s="16"/>
      <c r="F2173" s="16"/>
      <c r="G2173" s="16"/>
      <c r="H2173" s="16"/>
      <c r="I2173" s="16"/>
      <c r="J2173" s="16"/>
      <c r="K2173" s="17"/>
      <c r="L2173" s="16"/>
      <c r="M2173" s="17"/>
      <c r="N2173" s="17"/>
      <c r="O2173" s="17"/>
    </row>
    <row r="2174" spans="1:15" ht="12.75" x14ac:dyDescent="0.2">
      <c r="A2174" s="15"/>
      <c r="B2174" s="15"/>
      <c r="C2174" s="15"/>
      <c r="D2174" s="16"/>
      <c r="E2174" s="16"/>
      <c r="F2174" s="16"/>
      <c r="G2174" s="16"/>
      <c r="H2174" s="16"/>
      <c r="I2174" s="16"/>
      <c r="J2174" s="16"/>
      <c r="K2174" s="17"/>
      <c r="L2174" s="16"/>
      <c r="M2174" s="17"/>
      <c r="N2174" s="17"/>
      <c r="O2174" s="17"/>
    </row>
    <row r="2175" spans="1:15" ht="12.75" x14ac:dyDescent="0.2">
      <c r="A2175" s="15"/>
      <c r="B2175" s="15"/>
      <c r="C2175" s="15"/>
      <c r="D2175" s="16"/>
      <c r="E2175" s="16"/>
      <c r="F2175" s="16"/>
      <c r="G2175" s="16"/>
      <c r="H2175" s="16"/>
      <c r="I2175" s="16"/>
      <c r="J2175" s="16"/>
      <c r="K2175" s="17"/>
      <c r="L2175" s="16"/>
      <c r="M2175" s="17"/>
      <c r="N2175" s="17"/>
      <c r="O2175" s="17"/>
    </row>
    <row r="2176" spans="1:15" ht="12.75" x14ac:dyDescent="0.2">
      <c r="A2176" s="15"/>
      <c r="B2176" s="15"/>
      <c r="C2176" s="15"/>
      <c r="D2176" s="16"/>
      <c r="E2176" s="16"/>
      <c r="F2176" s="16"/>
      <c r="G2176" s="16"/>
      <c r="H2176" s="16"/>
      <c r="I2176" s="16"/>
      <c r="J2176" s="16"/>
      <c r="K2176" s="17"/>
      <c r="L2176" s="16"/>
      <c r="M2176" s="17"/>
      <c r="N2176" s="17"/>
      <c r="O2176" s="17"/>
    </row>
    <row r="2177" spans="1:15" ht="12.75" x14ac:dyDescent="0.2">
      <c r="A2177" s="15"/>
      <c r="B2177" s="15"/>
      <c r="C2177" s="15"/>
      <c r="D2177" s="16"/>
      <c r="E2177" s="16"/>
      <c r="F2177" s="16"/>
      <c r="G2177" s="16"/>
      <c r="H2177" s="16"/>
      <c r="I2177" s="16"/>
      <c r="J2177" s="16"/>
      <c r="K2177" s="17"/>
      <c r="L2177" s="16"/>
      <c r="M2177" s="17"/>
      <c r="N2177" s="17"/>
      <c r="O2177" s="17"/>
    </row>
    <row r="2178" spans="1:15" ht="12.75" x14ac:dyDescent="0.2">
      <c r="A2178" s="15"/>
      <c r="B2178" s="15"/>
      <c r="C2178" s="15"/>
      <c r="D2178" s="16"/>
      <c r="E2178" s="16"/>
      <c r="F2178" s="16"/>
      <c r="G2178" s="16"/>
      <c r="H2178" s="16"/>
      <c r="I2178" s="16"/>
      <c r="J2178" s="16"/>
      <c r="K2178" s="17"/>
      <c r="L2178" s="16"/>
      <c r="M2178" s="17"/>
      <c r="N2178" s="17"/>
      <c r="O2178" s="17"/>
    </row>
    <row r="2179" spans="1:15" ht="12.75" x14ac:dyDescent="0.2">
      <c r="A2179" s="15"/>
      <c r="B2179" s="15"/>
      <c r="C2179" s="15"/>
      <c r="D2179" s="16"/>
      <c r="E2179" s="16"/>
      <c r="F2179" s="16"/>
      <c r="G2179" s="16"/>
      <c r="H2179" s="16"/>
      <c r="I2179" s="16"/>
      <c r="J2179" s="16"/>
      <c r="K2179" s="17"/>
      <c r="L2179" s="16"/>
      <c r="M2179" s="17"/>
      <c r="N2179" s="17"/>
      <c r="O2179" s="17"/>
    </row>
    <row r="2180" spans="1:15" ht="12.75" x14ac:dyDescent="0.2">
      <c r="A2180" s="15"/>
      <c r="B2180" s="15"/>
      <c r="C2180" s="15"/>
      <c r="D2180" s="16"/>
      <c r="E2180" s="16"/>
      <c r="F2180" s="16"/>
      <c r="G2180" s="16"/>
      <c r="H2180" s="16"/>
      <c r="I2180" s="16"/>
      <c r="J2180" s="16"/>
      <c r="K2180" s="17"/>
      <c r="L2180" s="16"/>
      <c r="M2180" s="17"/>
      <c r="N2180" s="17"/>
      <c r="O2180" s="17"/>
    </row>
    <row r="2181" spans="1:15" ht="12.75" x14ac:dyDescent="0.2">
      <c r="A2181" s="15"/>
      <c r="B2181" s="15"/>
      <c r="C2181" s="15"/>
      <c r="D2181" s="16"/>
      <c r="E2181" s="16"/>
      <c r="F2181" s="16"/>
      <c r="G2181" s="16"/>
      <c r="H2181" s="16"/>
      <c r="I2181" s="16"/>
      <c r="J2181" s="16"/>
      <c r="K2181" s="17"/>
      <c r="L2181" s="16"/>
      <c r="M2181" s="17"/>
      <c r="N2181" s="17"/>
      <c r="O2181" s="17"/>
    </row>
    <row r="2182" spans="1:15" ht="12.75" x14ac:dyDescent="0.2">
      <c r="A2182" s="15"/>
      <c r="B2182" s="15"/>
      <c r="C2182" s="15"/>
      <c r="D2182" s="16"/>
      <c r="E2182" s="16"/>
      <c r="F2182" s="16"/>
      <c r="G2182" s="16"/>
      <c r="H2182" s="16"/>
      <c r="I2182" s="16"/>
      <c r="J2182" s="16"/>
      <c r="K2182" s="17"/>
      <c r="L2182" s="16"/>
      <c r="M2182" s="17"/>
      <c r="N2182" s="17"/>
      <c r="O2182" s="17"/>
    </row>
    <row r="2183" spans="1:15" ht="12.75" x14ac:dyDescent="0.2">
      <c r="A2183" s="15"/>
      <c r="B2183" s="15"/>
      <c r="C2183" s="15"/>
      <c r="D2183" s="16"/>
      <c r="E2183" s="16"/>
      <c r="F2183" s="16"/>
      <c r="G2183" s="16"/>
      <c r="H2183" s="16"/>
      <c r="I2183" s="16"/>
      <c r="J2183" s="16"/>
      <c r="K2183" s="17"/>
      <c r="L2183" s="16"/>
      <c r="M2183" s="17"/>
      <c r="N2183" s="17"/>
      <c r="O2183" s="17"/>
    </row>
    <row r="2184" spans="1:15" ht="12.75" x14ac:dyDescent="0.2">
      <c r="A2184" s="15"/>
      <c r="B2184" s="15"/>
      <c r="C2184" s="15"/>
      <c r="D2184" s="16"/>
      <c r="E2184" s="16"/>
      <c r="F2184" s="16"/>
      <c r="G2184" s="16"/>
      <c r="H2184" s="16"/>
      <c r="I2184" s="16"/>
      <c r="J2184" s="16"/>
      <c r="K2184" s="17"/>
      <c r="L2184" s="16"/>
      <c r="M2184" s="17"/>
      <c r="N2184" s="17"/>
      <c r="O2184" s="17"/>
    </row>
    <row r="2185" spans="1:15" ht="12.75" x14ac:dyDescent="0.2">
      <c r="A2185" s="15"/>
      <c r="B2185" s="15"/>
      <c r="C2185" s="15"/>
      <c r="D2185" s="16"/>
      <c r="E2185" s="16"/>
      <c r="F2185" s="16"/>
      <c r="G2185" s="16"/>
      <c r="H2185" s="16"/>
      <c r="I2185" s="16"/>
      <c r="J2185" s="16"/>
      <c r="K2185" s="17"/>
      <c r="L2185" s="16"/>
      <c r="M2185" s="17"/>
      <c r="N2185" s="17"/>
      <c r="O2185" s="17"/>
    </row>
    <row r="2186" spans="1:15" ht="12.75" x14ac:dyDescent="0.2">
      <c r="A2186" s="15"/>
      <c r="B2186" s="15"/>
      <c r="C2186" s="15"/>
      <c r="D2186" s="16"/>
      <c r="E2186" s="16"/>
      <c r="F2186" s="16"/>
      <c r="G2186" s="16"/>
      <c r="H2186" s="16"/>
      <c r="I2186" s="16"/>
      <c r="J2186" s="16"/>
      <c r="K2186" s="17"/>
      <c r="L2186" s="16"/>
      <c r="M2186" s="17"/>
      <c r="N2186" s="17"/>
      <c r="O2186" s="17"/>
    </row>
    <row r="2187" spans="1:15" ht="12.75" x14ac:dyDescent="0.2">
      <c r="A2187" s="15"/>
      <c r="B2187" s="15"/>
      <c r="C2187" s="15"/>
      <c r="D2187" s="16"/>
      <c r="E2187" s="16"/>
      <c r="F2187" s="16"/>
      <c r="G2187" s="16"/>
      <c r="H2187" s="16"/>
      <c r="I2187" s="16"/>
      <c r="J2187" s="16"/>
      <c r="K2187" s="17"/>
      <c r="L2187" s="16"/>
      <c r="M2187" s="17"/>
      <c r="N2187" s="17"/>
      <c r="O2187" s="17"/>
    </row>
    <row r="2188" spans="1:15" ht="12.75" x14ac:dyDescent="0.2">
      <c r="A2188" s="15"/>
      <c r="B2188" s="15"/>
      <c r="C2188" s="15"/>
      <c r="D2188" s="16"/>
      <c r="E2188" s="16"/>
      <c r="F2188" s="16"/>
      <c r="G2188" s="16"/>
      <c r="H2188" s="16"/>
      <c r="I2188" s="16"/>
      <c r="J2188" s="16"/>
      <c r="K2188" s="17"/>
      <c r="L2188" s="16"/>
      <c r="M2188" s="17"/>
      <c r="N2188" s="17"/>
      <c r="O2188" s="17"/>
    </row>
    <row r="2189" spans="1:15" ht="12.75" x14ac:dyDescent="0.2">
      <c r="A2189" s="15"/>
      <c r="B2189" s="15"/>
      <c r="C2189" s="15"/>
      <c r="D2189" s="16"/>
      <c r="E2189" s="16"/>
      <c r="F2189" s="16"/>
      <c r="G2189" s="16"/>
      <c r="H2189" s="16"/>
      <c r="I2189" s="16"/>
      <c r="J2189" s="16"/>
      <c r="K2189" s="17"/>
      <c r="L2189" s="16"/>
      <c r="M2189" s="17"/>
      <c r="N2189" s="17"/>
      <c r="O2189" s="17"/>
    </row>
    <row r="2190" spans="1:15" ht="12.75" x14ac:dyDescent="0.2">
      <c r="A2190" s="15"/>
      <c r="B2190" s="15"/>
      <c r="C2190" s="15"/>
      <c r="D2190" s="16"/>
      <c r="E2190" s="16"/>
      <c r="F2190" s="16"/>
      <c r="G2190" s="16"/>
      <c r="H2190" s="16"/>
      <c r="I2190" s="16"/>
      <c r="J2190" s="16"/>
      <c r="K2190" s="17"/>
      <c r="L2190" s="16"/>
      <c r="M2190" s="17"/>
      <c r="N2190" s="17"/>
      <c r="O2190" s="17"/>
    </row>
    <row r="2191" spans="1:15" ht="12.75" x14ac:dyDescent="0.2">
      <c r="A2191" s="15"/>
      <c r="B2191" s="15"/>
      <c r="C2191" s="15"/>
      <c r="D2191" s="16"/>
      <c r="E2191" s="16"/>
      <c r="F2191" s="16"/>
      <c r="G2191" s="16"/>
      <c r="H2191" s="16"/>
      <c r="I2191" s="16"/>
      <c r="J2191" s="16"/>
      <c r="K2191" s="17"/>
      <c r="L2191" s="16"/>
      <c r="M2191" s="17"/>
      <c r="N2191" s="17"/>
      <c r="O2191" s="17"/>
    </row>
    <row r="2192" spans="1:15" ht="12.75" x14ac:dyDescent="0.2">
      <c r="A2192" s="15"/>
      <c r="B2192" s="15"/>
      <c r="C2192" s="15"/>
      <c r="D2192" s="16"/>
      <c r="E2192" s="16"/>
      <c r="F2192" s="16"/>
      <c r="G2192" s="16"/>
      <c r="H2192" s="16"/>
      <c r="I2192" s="16"/>
      <c r="J2192" s="16"/>
      <c r="K2192" s="17"/>
      <c r="L2192" s="16"/>
      <c r="M2192" s="17"/>
      <c r="N2192" s="17"/>
      <c r="O2192" s="17"/>
    </row>
    <row r="2193" spans="1:15" ht="12.75" x14ac:dyDescent="0.2">
      <c r="A2193" s="15"/>
      <c r="B2193" s="15"/>
      <c r="C2193" s="15"/>
      <c r="D2193" s="16"/>
      <c r="E2193" s="16"/>
      <c r="F2193" s="16"/>
      <c r="G2193" s="16"/>
      <c r="H2193" s="16"/>
      <c r="I2193" s="16"/>
      <c r="J2193" s="16"/>
      <c r="K2193" s="17"/>
      <c r="L2193" s="16"/>
      <c r="M2193" s="17"/>
      <c r="N2193" s="17"/>
      <c r="O2193" s="17"/>
    </row>
    <row r="2194" spans="1:15" ht="12.75" x14ac:dyDescent="0.2">
      <c r="A2194" s="15"/>
      <c r="B2194" s="15"/>
      <c r="C2194" s="15"/>
      <c r="D2194" s="16"/>
      <c r="E2194" s="16"/>
      <c r="F2194" s="16"/>
      <c r="G2194" s="16"/>
      <c r="H2194" s="16"/>
      <c r="I2194" s="16"/>
      <c r="J2194" s="16"/>
      <c r="K2194" s="17"/>
      <c r="L2194" s="16"/>
      <c r="M2194" s="17"/>
      <c r="N2194" s="17"/>
      <c r="O2194" s="17"/>
    </row>
    <row r="2195" spans="1:15" ht="12.75" x14ac:dyDescent="0.2">
      <c r="A2195" s="15"/>
      <c r="B2195" s="15"/>
      <c r="C2195" s="15"/>
      <c r="D2195" s="16"/>
      <c r="E2195" s="16"/>
      <c r="F2195" s="16"/>
      <c r="G2195" s="16"/>
      <c r="H2195" s="16"/>
      <c r="I2195" s="16"/>
      <c r="J2195" s="16"/>
      <c r="K2195" s="17"/>
      <c r="L2195" s="16"/>
      <c r="M2195" s="17"/>
      <c r="N2195" s="17"/>
      <c r="O2195" s="17"/>
    </row>
    <row r="2196" spans="1:15" ht="12.75" x14ac:dyDescent="0.2">
      <c r="A2196" s="15"/>
      <c r="B2196" s="15"/>
      <c r="C2196" s="15"/>
      <c r="D2196" s="16"/>
      <c r="E2196" s="16"/>
      <c r="F2196" s="16"/>
      <c r="G2196" s="16"/>
      <c r="H2196" s="16"/>
      <c r="I2196" s="16"/>
      <c r="J2196" s="16"/>
      <c r="K2196" s="17"/>
      <c r="L2196" s="16"/>
      <c r="M2196" s="17"/>
      <c r="N2196" s="17"/>
      <c r="O2196" s="17"/>
    </row>
    <row r="2197" spans="1:15" ht="12.75" x14ac:dyDescent="0.2">
      <c r="A2197" s="15"/>
      <c r="B2197" s="15"/>
      <c r="C2197" s="15"/>
      <c r="D2197" s="16"/>
      <c r="E2197" s="16"/>
      <c r="F2197" s="16"/>
      <c r="G2197" s="16"/>
      <c r="H2197" s="16"/>
      <c r="I2197" s="16"/>
      <c r="J2197" s="16"/>
      <c r="K2197" s="17"/>
      <c r="L2197" s="16"/>
      <c r="M2197" s="17"/>
      <c r="N2197" s="17"/>
      <c r="O2197" s="17"/>
    </row>
    <row r="2198" spans="1:15" ht="12.75" x14ac:dyDescent="0.2">
      <c r="A2198" s="15"/>
      <c r="B2198" s="15"/>
      <c r="C2198" s="15"/>
      <c r="D2198" s="16"/>
      <c r="E2198" s="16"/>
      <c r="F2198" s="16"/>
      <c r="G2198" s="16"/>
      <c r="H2198" s="16"/>
      <c r="I2198" s="16"/>
      <c r="J2198" s="16"/>
      <c r="K2198" s="17"/>
      <c r="L2198" s="16"/>
      <c r="M2198" s="17"/>
      <c r="N2198" s="17"/>
      <c r="O2198" s="17"/>
    </row>
    <row r="2199" spans="1:15" ht="12.75" x14ac:dyDescent="0.2">
      <c r="A2199" s="15"/>
      <c r="B2199" s="15"/>
      <c r="C2199" s="15"/>
      <c r="D2199" s="16"/>
      <c r="E2199" s="16"/>
      <c r="F2199" s="16"/>
      <c r="G2199" s="16"/>
      <c r="H2199" s="16"/>
      <c r="I2199" s="16"/>
      <c r="J2199" s="16"/>
      <c r="K2199" s="17"/>
      <c r="L2199" s="16"/>
      <c r="M2199" s="17"/>
      <c r="N2199" s="17"/>
      <c r="O2199" s="17"/>
    </row>
    <row r="2200" spans="1:15" ht="12.75" x14ac:dyDescent="0.2">
      <c r="A2200" s="15"/>
      <c r="B2200" s="15"/>
      <c r="C2200" s="15"/>
      <c r="D2200" s="16"/>
      <c r="E2200" s="16"/>
      <c r="F2200" s="16"/>
      <c r="G2200" s="16"/>
      <c r="H2200" s="16"/>
      <c r="I2200" s="16"/>
      <c r="J2200" s="16"/>
      <c r="K2200" s="17"/>
      <c r="L2200" s="16"/>
      <c r="M2200" s="17"/>
      <c r="N2200" s="17"/>
      <c r="O2200" s="17"/>
    </row>
    <row r="2201" spans="1:15" ht="12.75" x14ac:dyDescent="0.2">
      <c r="A2201" s="15"/>
      <c r="B2201" s="15"/>
      <c r="C2201" s="15"/>
      <c r="D2201" s="16"/>
      <c r="E2201" s="16"/>
      <c r="F2201" s="16"/>
      <c r="G2201" s="16"/>
      <c r="H2201" s="16"/>
      <c r="I2201" s="16"/>
      <c r="J2201" s="16"/>
      <c r="K2201" s="17"/>
      <c r="L2201" s="16"/>
      <c r="M2201" s="17"/>
      <c r="N2201" s="17"/>
      <c r="O2201" s="17"/>
    </row>
    <row r="2202" spans="1:15" ht="12.75" x14ac:dyDescent="0.2">
      <c r="A2202" s="15"/>
      <c r="B2202" s="15"/>
      <c r="C2202" s="15"/>
      <c r="D2202" s="16"/>
      <c r="E2202" s="16"/>
      <c r="F2202" s="16"/>
      <c r="G2202" s="16"/>
      <c r="H2202" s="16"/>
      <c r="I2202" s="16"/>
      <c r="J2202" s="16"/>
      <c r="K2202" s="17"/>
      <c r="L2202" s="16"/>
      <c r="M2202" s="17"/>
      <c r="N2202" s="17"/>
      <c r="O2202" s="17"/>
    </row>
    <row r="2203" spans="1:15" ht="12.75" x14ac:dyDescent="0.2">
      <c r="A2203" s="15"/>
      <c r="B2203" s="15"/>
      <c r="C2203" s="15"/>
      <c r="D2203" s="16"/>
      <c r="E2203" s="16"/>
      <c r="F2203" s="16"/>
      <c r="G2203" s="16"/>
      <c r="H2203" s="16"/>
      <c r="I2203" s="16"/>
      <c r="J2203" s="16"/>
      <c r="K2203" s="17"/>
      <c r="L2203" s="16"/>
      <c r="M2203" s="17"/>
      <c r="N2203" s="17"/>
      <c r="O2203" s="17"/>
    </row>
    <row r="2204" spans="1:15" ht="12.75" x14ac:dyDescent="0.2">
      <c r="A2204" s="15"/>
      <c r="B2204" s="15"/>
      <c r="C2204" s="15"/>
      <c r="D2204" s="16"/>
      <c r="E2204" s="16"/>
      <c r="F2204" s="16"/>
      <c r="G2204" s="16"/>
      <c r="H2204" s="16"/>
      <c r="I2204" s="16"/>
      <c r="J2204" s="16"/>
      <c r="K2204" s="17"/>
      <c r="L2204" s="16"/>
      <c r="M2204" s="17"/>
      <c r="N2204" s="17"/>
      <c r="O2204" s="17"/>
    </row>
    <row r="2205" spans="1:15" ht="12.75" x14ac:dyDescent="0.2">
      <c r="A2205" s="15"/>
      <c r="B2205" s="15"/>
      <c r="C2205" s="15"/>
      <c r="D2205" s="16"/>
      <c r="E2205" s="16"/>
      <c r="F2205" s="16"/>
      <c r="G2205" s="16"/>
      <c r="H2205" s="16"/>
      <c r="I2205" s="16"/>
      <c r="J2205" s="16"/>
      <c r="K2205" s="17"/>
      <c r="L2205" s="16"/>
      <c r="M2205" s="17"/>
      <c r="N2205" s="17"/>
      <c r="O2205" s="17"/>
    </row>
    <row r="2206" spans="1:15" ht="12.75" x14ac:dyDescent="0.2">
      <c r="A2206" s="15"/>
      <c r="B2206" s="15"/>
      <c r="C2206" s="15"/>
      <c r="D2206" s="16"/>
      <c r="E2206" s="16"/>
      <c r="F2206" s="16"/>
      <c r="G2206" s="16"/>
      <c r="H2206" s="16"/>
      <c r="I2206" s="16"/>
      <c r="J2206" s="16"/>
      <c r="K2206" s="17"/>
      <c r="L2206" s="16"/>
      <c r="M2206" s="17"/>
      <c r="N2206" s="17"/>
      <c r="O2206" s="17"/>
    </row>
    <row r="2207" spans="1:15" ht="12.75" x14ac:dyDescent="0.2">
      <c r="A2207" s="15"/>
      <c r="B2207" s="15"/>
      <c r="C2207" s="15"/>
      <c r="D2207" s="16"/>
      <c r="E2207" s="16"/>
      <c r="F2207" s="16"/>
      <c r="G2207" s="16"/>
      <c r="H2207" s="16"/>
      <c r="I2207" s="16"/>
      <c r="J2207" s="16"/>
      <c r="K2207" s="17"/>
      <c r="L2207" s="16"/>
      <c r="M2207" s="17"/>
      <c r="N2207" s="17"/>
      <c r="O2207" s="17"/>
    </row>
    <row r="2208" spans="1:15" ht="12.75" x14ac:dyDescent="0.2">
      <c r="A2208" s="15"/>
      <c r="B2208" s="15"/>
      <c r="C2208" s="15"/>
      <c r="D2208" s="16"/>
      <c r="E2208" s="16"/>
      <c r="F2208" s="16"/>
      <c r="G2208" s="16"/>
      <c r="H2208" s="16"/>
      <c r="I2208" s="16"/>
      <c r="J2208" s="16"/>
      <c r="K2208" s="17"/>
      <c r="L2208" s="16"/>
      <c r="M2208" s="17"/>
      <c r="N2208" s="17"/>
      <c r="O2208" s="17"/>
    </row>
    <row r="2209" spans="1:15" ht="12.75" x14ac:dyDescent="0.2">
      <c r="A2209" s="15"/>
      <c r="B2209" s="15"/>
      <c r="C2209" s="15"/>
      <c r="D2209" s="16"/>
      <c r="E2209" s="16"/>
      <c r="F2209" s="16"/>
      <c r="G2209" s="16"/>
      <c r="H2209" s="16"/>
      <c r="I2209" s="16"/>
      <c r="J2209" s="16"/>
      <c r="K2209" s="17"/>
      <c r="L2209" s="16"/>
      <c r="M2209" s="17"/>
      <c r="N2209" s="17"/>
      <c r="O2209" s="17"/>
    </row>
    <row r="2210" spans="1:15" ht="12.75" x14ac:dyDescent="0.2">
      <c r="A2210" s="15"/>
      <c r="B2210" s="15"/>
      <c r="C2210" s="15"/>
      <c r="D2210" s="16"/>
      <c r="E2210" s="16"/>
      <c r="F2210" s="16"/>
      <c r="G2210" s="16"/>
      <c r="H2210" s="16"/>
      <c r="I2210" s="16"/>
      <c r="J2210" s="16"/>
      <c r="K2210" s="17"/>
      <c r="L2210" s="16"/>
      <c r="M2210" s="17"/>
      <c r="N2210" s="17"/>
      <c r="O2210" s="17"/>
    </row>
    <row r="2211" spans="1:15" ht="12.75" x14ac:dyDescent="0.2">
      <c r="A2211" s="15"/>
      <c r="B2211" s="15"/>
      <c r="C2211" s="15"/>
      <c r="D2211" s="16"/>
      <c r="E2211" s="16"/>
      <c r="F2211" s="16"/>
      <c r="G2211" s="16"/>
      <c r="H2211" s="16"/>
      <c r="I2211" s="16"/>
      <c r="J2211" s="16"/>
      <c r="K2211" s="17"/>
      <c r="L2211" s="16"/>
      <c r="M2211" s="17"/>
      <c r="N2211" s="17"/>
      <c r="O2211" s="17"/>
    </row>
    <row r="2212" spans="1:15" ht="12.75" x14ac:dyDescent="0.2">
      <c r="A2212" s="15"/>
      <c r="B2212" s="15"/>
      <c r="C2212" s="15"/>
      <c r="D2212" s="16"/>
      <c r="E2212" s="16"/>
      <c r="F2212" s="16"/>
      <c r="G2212" s="16"/>
      <c r="H2212" s="16"/>
      <c r="I2212" s="16"/>
      <c r="J2212" s="16"/>
      <c r="K2212" s="17"/>
      <c r="L2212" s="16"/>
      <c r="M2212" s="17"/>
      <c r="N2212" s="17"/>
      <c r="O2212" s="17"/>
    </row>
    <row r="2213" spans="1:15" ht="12.75" x14ac:dyDescent="0.2">
      <c r="A2213" s="15"/>
      <c r="B2213" s="15"/>
      <c r="C2213" s="15"/>
      <c r="D2213" s="16"/>
      <c r="E2213" s="16"/>
      <c r="F2213" s="16"/>
      <c r="G2213" s="16"/>
      <c r="H2213" s="16"/>
      <c r="I2213" s="16"/>
      <c r="J2213" s="16"/>
      <c r="K2213" s="17"/>
      <c r="L2213" s="16"/>
      <c r="M2213" s="17"/>
      <c r="N2213" s="17"/>
      <c r="O2213" s="17"/>
    </row>
    <row r="2214" spans="1:15" ht="12.75" x14ac:dyDescent="0.2">
      <c r="A2214" s="15"/>
      <c r="B2214" s="15"/>
      <c r="C2214" s="15"/>
      <c r="D2214" s="16"/>
      <c r="E2214" s="16"/>
      <c r="F2214" s="16"/>
      <c r="G2214" s="16"/>
      <c r="H2214" s="16"/>
      <c r="I2214" s="16"/>
      <c r="J2214" s="16"/>
      <c r="K2214" s="17"/>
      <c r="L2214" s="16"/>
      <c r="M2214" s="17"/>
      <c r="N2214" s="17"/>
      <c r="O2214" s="17"/>
    </row>
    <row r="2215" spans="1:15" ht="12.75" x14ac:dyDescent="0.2">
      <c r="A2215" s="15"/>
      <c r="B2215" s="15"/>
      <c r="C2215" s="15"/>
      <c r="D2215" s="16"/>
      <c r="E2215" s="16"/>
      <c r="F2215" s="16"/>
      <c r="G2215" s="16"/>
      <c r="H2215" s="16"/>
      <c r="I2215" s="16"/>
      <c r="J2215" s="16"/>
      <c r="K2215" s="17"/>
      <c r="L2215" s="16"/>
      <c r="M2215" s="17"/>
      <c r="N2215" s="17"/>
      <c r="O2215" s="17"/>
    </row>
    <row r="2216" spans="1:15" ht="12.75" x14ac:dyDescent="0.2">
      <c r="A2216" s="15"/>
      <c r="B2216" s="15"/>
      <c r="C2216" s="15"/>
      <c r="D2216" s="16"/>
      <c r="E2216" s="16"/>
      <c r="F2216" s="16"/>
      <c r="G2216" s="16"/>
      <c r="H2216" s="16"/>
      <c r="I2216" s="16"/>
      <c r="J2216" s="16"/>
      <c r="K2216" s="17"/>
      <c r="L2216" s="16"/>
      <c r="M2216" s="17"/>
      <c r="N2216" s="17"/>
      <c r="O2216" s="17"/>
    </row>
    <row r="2217" spans="1:15" ht="12.75" x14ac:dyDescent="0.2">
      <c r="A2217" s="15"/>
      <c r="B2217" s="15"/>
      <c r="C2217" s="15"/>
      <c r="D2217" s="16"/>
      <c r="E2217" s="16"/>
      <c r="F2217" s="16"/>
      <c r="G2217" s="16"/>
      <c r="H2217" s="16"/>
      <c r="I2217" s="16"/>
      <c r="J2217" s="16"/>
      <c r="K2217" s="17"/>
      <c r="L2217" s="16"/>
      <c r="M2217" s="17"/>
      <c r="N2217" s="17"/>
      <c r="O2217" s="17"/>
    </row>
    <row r="2218" spans="1:15" ht="12.75" x14ac:dyDescent="0.2">
      <c r="A2218" s="15"/>
      <c r="B2218" s="15"/>
      <c r="C2218" s="15"/>
      <c r="D2218" s="16"/>
      <c r="E2218" s="16"/>
      <c r="F2218" s="16"/>
      <c r="G2218" s="16"/>
      <c r="H2218" s="16"/>
      <c r="I2218" s="16"/>
      <c r="J2218" s="16"/>
      <c r="K2218" s="17"/>
      <c r="L2218" s="16"/>
      <c r="M2218" s="17"/>
      <c r="N2218" s="17"/>
      <c r="O2218" s="17"/>
    </row>
    <row r="2219" spans="1:15" ht="12.75" x14ac:dyDescent="0.2">
      <c r="A2219" s="15"/>
      <c r="B2219" s="15"/>
      <c r="C2219" s="15"/>
      <c r="D2219" s="16"/>
      <c r="E2219" s="16"/>
      <c r="F2219" s="16"/>
      <c r="G2219" s="16"/>
      <c r="H2219" s="16"/>
      <c r="I2219" s="16"/>
      <c r="J2219" s="16"/>
      <c r="K2219" s="17"/>
      <c r="L2219" s="16"/>
      <c r="M2219" s="17"/>
      <c r="N2219" s="17"/>
      <c r="O2219" s="17"/>
    </row>
    <row r="2220" spans="1:15" ht="12.75" x14ac:dyDescent="0.2">
      <c r="A2220" s="15"/>
      <c r="B2220" s="15"/>
      <c r="C2220" s="15"/>
      <c r="D2220" s="16"/>
      <c r="E2220" s="16"/>
      <c r="F2220" s="16"/>
      <c r="G2220" s="16"/>
      <c r="H2220" s="16"/>
      <c r="I2220" s="16"/>
      <c r="J2220" s="16"/>
      <c r="K2220" s="17"/>
      <c r="L2220" s="16"/>
      <c r="M2220" s="17"/>
      <c r="N2220" s="17"/>
      <c r="O2220" s="17"/>
    </row>
    <row r="2221" spans="1:15" ht="12.75" x14ac:dyDescent="0.2">
      <c r="A2221" s="15"/>
      <c r="B2221" s="15"/>
      <c r="C2221" s="15"/>
      <c r="D2221" s="16"/>
      <c r="E2221" s="16"/>
      <c r="F2221" s="16"/>
      <c r="G2221" s="16"/>
      <c r="H2221" s="16"/>
      <c r="I2221" s="16"/>
      <c r="J2221" s="16"/>
      <c r="K2221" s="17"/>
      <c r="L2221" s="16"/>
      <c r="M2221" s="17"/>
      <c r="N2221" s="17"/>
      <c r="O2221" s="17"/>
    </row>
    <row r="2222" spans="1:15" ht="12.75" x14ac:dyDescent="0.2">
      <c r="A2222" s="15"/>
      <c r="B2222" s="15"/>
      <c r="C2222" s="15"/>
      <c r="D2222" s="16"/>
      <c r="E2222" s="16"/>
      <c r="F2222" s="16"/>
      <c r="G2222" s="16"/>
      <c r="H2222" s="16"/>
      <c r="I2222" s="16"/>
      <c r="J2222" s="16"/>
      <c r="K2222" s="17"/>
      <c r="L2222" s="16"/>
      <c r="M2222" s="17"/>
      <c r="N2222" s="17"/>
      <c r="O2222" s="17"/>
    </row>
    <row r="2223" spans="1:15" ht="12.75" x14ac:dyDescent="0.2">
      <c r="A2223" s="15"/>
      <c r="B2223" s="15"/>
      <c r="C2223" s="15"/>
      <c r="D2223" s="16"/>
      <c r="E2223" s="16"/>
      <c r="F2223" s="16"/>
      <c r="G2223" s="16"/>
      <c r="H2223" s="16"/>
      <c r="I2223" s="16"/>
      <c r="J2223" s="16"/>
      <c r="K2223" s="17"/>
      <c r="L2223" s="16"/>
      <c r="M2223" s="17"/>
      <c r="N2223" s="17"/>
      <c r="O2223" s="17"/>
    </row>
    <row r="2224" spans="1:15" ht="12.75" x14ac:dyDescent="0.2">
      <c r="A2224" s="15"/>
      <c r="B2224" s="15"/>
      <c r="C2224" s="15"/>
      <c r="D2224" s="16"/>
      <c r="E2224" s="16"/>
      <c r="F2224" s="16"/>
      <c r="G2224" s="16"/>
      <c r="H2224" s="16"/>
      <c r="I2224" s="16"/>
      <c r="J2224" s="16"/>
      <c r="K2224" s="17"/>
      <c r="L2224" s="16"/>
      <c r="M2224" s="17"/>
      <c r="N2224" s="17"/>
      <c r="O2224" s="17"/>
    </row>
    <row r="2225" spans="1:15" ht="12.75" x14ac:dyDescent="0.2">
      <c r="A2225" s="15"/>
      <c r="B2225" s="15"/>
      <c r="C2225" s="15"/>
      <c r="D2225" s="16"/>
      <c r="E2225" s="16"/>
      <c r="F2225" s="16"/>
      <c r="G2225" s="16"/>
      <c r="H2225" s="16"/>
      <c r="I2225" s="16"/>
      <c r="J2225" s="16"/>
      <c r="K2225" s="17"/>
      <c r="L2225" s="16"/>
      <c r="M2225" s="17"/>
      <c r="N2225" s="17"/>
      <c r="O2225" s="17"/>
    </row>
    <row r="2226" spans="1:15" ht="12.75" x14ac:dyDescent="0.2">
      <c r="A2226" s="15"/>
      <c r="B2226" s="15"/>
      <c r="C2226" s="15"/>
      <c r="D2226" s="16"/>
      <c r="E2226" s="16"/>
      <c r="F2226" s="16"/>
      <c r="G2226" s="16"/>
      <c r="H2226" s="16"/>
      <c r="I2226" s="16"/>
      <c r="J2226" s="16"/>
      <c r="K2226" s="17"/>
      <c r="L2226" s="16"/>
      <c r="M2226" s="17"/>
      <c r="N2226" s="17"/>
      <c r="O2226" s="17"/>
    </row>
    <row r="2227" spans="1:15" ht="12.75" x14ac:dyDescent="0.2">
      <c r="A2227" s="15"/>
      <c r="B2227" s="15"/>
      <c r="C2227" s="15"/>
      <c r="D2227" s="16"/>
      <c r="E2227" s="16"/>
      <c r="F2227" s="16"/>
      <c r="G2227" s="16"/>
      <c r="H2227" s="16"/>
      <c r="I2227" s="16"/>
      <c r="J2227" s="16"/>
      <c r="K2227" s="17"/>
      <c r="L2227" s="16"/>
      <c r="M2227" s="17"/>
      <c r="N2227" s="17"/>
      <c r="O2227" s="17"/>
    </row>
    <row r="2228" spans="1:15" ht="12.75" x14ac:dyDescent="0.2">
      <c r="A2228" s="15"/>
      <c r="B2228" s="15"/>
      <c r="C2228" s="15"/>
      <c r="D2228" s="16"/>
      <c r="E2228" s="16"/>
      <c r="F2228" s="16"/>
      <c r="G2228" s="16"/>
      <c r="H2228" s="16"/>
      <c r="I2228" s="16"/>
      <c r="J2228" s="16"/>
      <c r="K2228" s="17"/>
      <c r="L2228" s="16"/>
      <c r="M2228" s="17"/>
      <c r="N2228" s="17"/>
      <c r="O2228" s="17"/>
    </row>
    <row r="2229" spans="1:15" ht="12.75" x14ac:dyDescent="0.2">
      <c r="A2229" s="15"/>
      <c r="B2229" s="15"/>
      <c r="C2229" s="15"/>
      <c r="D2229" s="16"/>
      <c r="E2229" s="16"/>
      <c r="F2229" s="16"/>
      <c r="G2229" s="16"/>
      <c r="H2229" s="16"/>
      <c r="I2229" s="16"/>
      <c r="J2229" s="16"/>
      <c r="K2229" s="17"/>
      <c r="L2229" s="16"/>
      <c r="M2229" s="17"/>
      <c r="N2229" s="17"/>
      <c r="O2229" s="17"/>
    </row>
    <row r="2230" spans="1:15" ht="12.75" x14ac:dyDescent="0.2">
      <c r="A2230" s="15"/>
      <c r="B2230" s="15"/>
      <c r="C2230" s="15"/>
      <c r="D2230" s="16"/>
      <c r="E2230" s="16"/>
      <c r="F2230" s="16"/>
      <c r="G2230" s="16"/>
      <c r="H2230" s="16"/>
      <c r="I2230" s="16"/>
      <c r="J2230" s="16"/>
      <c r="K2230" s="17"/>
      <c r="L2230" s="16"/>
      <c r="M2230" s="17"/>
      <c r="N2230" s="17"/>
      <c r="O2230" s="17"/>
    </row>
    <row r="2231" spans="1:15" ht="12.75" x14ac:dyDescent="0.2">
      <c r="A2231" s="15"/>
      <c r="B2231" s="15"/>
      <c r="C2231" s="15"/>
      <c r="D2231" s="16"/>
      <c r="E2231" s="16"/>
      <c r="F2231" s="16"/>
      <c r="G2231" s="16"/>
      <c r="H2231" s="16"/>
      <c r="I2231" s="16"/>
      <c r="J2231" s="16"/>
      <c r="K2231" s="17"/>
      <c r="L2231" s="16"/>
      <c r="M2231" s="17"/>
      <c r="N2231" s="17"/>
      <c r="O2231" s="17"/>
    </row>
    <row r="2232" spans="1:15" ht="12.75" x14ac:dyDescent="0.2">
      <c r="A2232" s="15"/>
      <c r="B2232" s="15"/>
      <c r="C2232" s="15"/>
      <c r="D2232" s="16"/>
      <c r="E2232" s="16"/>
      <c r="F2232" s="16"/>
      <c r="G2232" s="16"/>
      <c r="H2232" s="16"/>
      <c r="I2232" s="16"/>
      <c r="J2232" s="16"/>
      <c r="K2232" s="17"/>
      <c r="L2232" s="16"/>
      <c r="M2232" s="17"/>
      <c r="N2232" s="17"/>
      <c r="O2232" s="17"/>
    </row>
    <row r="2233" spans="1:15" ht="12.75" x14ac:dyDescent="0.2">
      <c r="A2233" s="15"/>
      <c r="B2233" s="15"/>
      <c r="C2233" s="15"/>
      <c r="D2233" s="16"/>
      <c r="E2233" s="16"/>
      <c r="F2233" s="16"/>
      <c r="G2233" s="16"/>
      <c r="H2233" s="16"/>
      <c r="I2233" s="16"/>
      <c r="J2233" s="16"/>
      <c r="K2233" s="17"/>
      <c r="L2233" s="16"/>
      <c r="M2233" s="17"/>
      <c r="N2233" s="17"/>
      <c r="O2233" s="17"/>
    </row>
    <row r="2234" spans="1:15" ht="12.75" x14ac:dyDescent="0.2">
      <c r="A2234" s="15"/>
      <c r="B2234" s="15"/>
      <c r="C2234" s="15"/>
      <c r="D2234" s="16"/>
      <c r="E2234" s="16"/>
      <c r="F2234" s="16"/>
      <c r="G2234" s="16"/>
      <c r="H2234" s="16"/>
      <c r="I2234" s="16"/>
      <c r="J2234" s="16"/>
      <c r="K2234" s="17"/>
      <c r="L2234" s="16"/>
      <c r="M2234" s="17"/>
      <c r="N2234" s="17"/>
      <c r="O2234" s="17"/>
    </row>
    <row r="2235" spans="1:15" ht="12.75" x14ac:dyDescent="0.2">
      <c r="A2235" s="15"/>
      <c r="B2235" s="15"/>
      <c r="C2235" s="15"/>
      <c r="D2235" s="16"/>
      <c r="E2235" s="16"/>
      <c r="F2235" s="16"/>
      <c r="G2235" s="16"/>
      <c r="H2235" s="16"/>
      <c r="I2235" s="16"/>
      <c r="J2235" s="16"/>
      <c r="K2235" s="17"/>
      <c r="L2235" s="16"/>
      <c r="M2235" s="17"/>
      <c r="N2235" s="17"/>
      <c r="O2235" s="17"/>
    </row>
    <row r="2236" spans="1:15" ht="12.75" x14ac:dyDescent="0.2">
      <c r="A2236" s="15"/>
      <c r="B2236" s="15"/>
      <c r="C2236" s="15"/>
      <c r="D2236" s="16"/>
      <c r="E2236" s="16"/>
      <c r="F2236" s="16"/>
      <c r="G2236" s="16"/>
      <c r="H2236" s="16"/>
      <c r="I2236" s="16"/>
      <c r="J2236" s="16"/>
      <c r="K2236" s="17"/>
      <c r="L2236" s="16"/>
      <c r="M2236" s="17"/>
      <c r="N2236" s="17"/>
      <c r="O2236" s="17"/>
    </row>
    <row r="2237" spans="1:15" ht="12.75" x14ac:dyDescent="0.2">
      <c r="A2237" s="15"/>
      <c r="B2237" s="15"/>
      <c r="C2237" s="15"/>
      <c r="D2237" s="16"/>
      <c r="E2237" s="16"/>
      <c r="F2237" s="16"/>
      <c r="G2237" s="16"/>
      <c r="H2237" s="16"/>
      <c r="I2237" s="16"/>
      <c r="J2237" s="16"/>
      <c r="K2237" s="17"/>
      <c r="L2237" s="16"/>
      <c r="M2237" s="17"/>
      <c r="N2237" s="17"/>
      <c r="O2237" s="17"/>
    </row>
    <row r="2238" spans="1:15" ht="12.75" x14ac:dyDescent="0.2">
      <c r="A2238" s="15"/>
      <c r="B2238" s="15"/>
      <c r="C2238" s="15"/>
      <c r="D2238" s="16"/>
      <c r="E2238" s="16"/>
      <c r="F2238" s="16"/>
      <c r="G2238" s="16"/>
      <c r="H2238" s="16"/>
      <c r="I2238" s="16"/>
      <c r="J2238" s="16"/>
      <c r="K2238" s="17"/>
      <c r="L2238" s="16"/>
      <c r="M2238" s="17"/>
      <c r="N2238" s="17"/>
      <c r="O2238" s="17"/>
    </row>
    <row r="2239" spans="1:15" ht="12.75" x14ac:dyDescent="0.2">
      <c r="A2239" s="15"/>
      <c r="B2239" s="15"/>
      <c r="C2239" s="15"/>
      <c r="D2239" s="16"/>
      <c r="E2239" s="16"/>
      <c r="F2239" s="16"/>
      <c r="G2239" s="16"/>
      <c r="H2239" s="16"/>
      <c r="I2239" s="16"/>
      <c r="J2239" s="16"/>
      <c r="K2239" s="17"/>
      <c r="L2239" s="16"/>
      <c r="M2239" s="17"/>
      <c r="N2239" s="17"/>
      <c r="O2239" s="17"/>
    </row>
    <row r="2240" spans="1:15" ht="12.75" x14ac:dyDescent="0.2">
      <c r="A2240" s="15"/>
      <c r="B2240" s="15"/>
      <c r="C2240" s="15"/>
      <c r="D2240" s="16"/>
      <c r="E2240" s="16"/>
      <c r="F2240" s="16"/>
      <c r="G2240" s="16"/>
      <c r="H2240" s="16"/>
      <c r="I2240" s="16"/>
      <c r="J2240" s="16"/>
      <c r="K2240" s="17"/>
      <c r="L2240" s="16"/>
      <c r="M2240" s="17"/>
      <c r="N2240" s="17"/>
      <c r="O2240" s="17"/>
    </row>
    <row r="2241" spans="1:15" ht="12.75" x14ac:dyDescent="0.2">
      <c r="A2241" s="15"/>
      <c r="B2241" s="15"/>
      <c r="C2241" s="15"/>
      <c r="D2241" s="16"/>
      <c r="E2241" s="16"/>
      <c r="F2241" s="16"/>
      <c r="G2241" s="16"/>
      <c r="H2241" s="16"/>
      <c r="I2241" s="16"/>
      <c r="J2241" s="16"/>
      <c r="K2241" s="17"/>
      <c r="L2241" s="16"/>
      <c r="M2241" s="17"/>
      <c r="N2241" s="17"/>
      <c r="O2241" s="17"/>
    </row>
    <row r="2242" spans="1:15" ht="12.75" x14ac:dyDescent="0.2">
      <c r="A2242" s="15"/>
      <c r="B2242" s="15"/>
      <c r="C2242" s="15"/>
      <c r="D2242" s="16"/>
      <c r="E2242" s="16"/>
      <c r="F2242" s="16"/>
      <c r="G2242" s="16"/>
      <c r="H2242" s="16"/>
      <c r="I2242" s="16"/>
      <c r="J2242" s="16"/>
      <c r="K2242" s="17"/>
      <c r="L2242" s="16"/>
      <c r="M2242" s="17"/>
      <c r="N2242" s="17"/>
      <c r="O2242" s="17"/>
    </row>
    <row r="2243" spans="1:15" ht="12.75" x14ac:dyDescent="0.2">
      <c r="A2243" s="15"/>
      <c r="B2243" s="15"/>
      <c r="C2243" s="15"/>
      <c r="D2243" s="16"/>
      <c r="E2243" s="16"/>
      <c r="F2243" s="16"/>
      <c r="G2243" s="16"/>
      <c r="H2243" s="16"/>
      <c r="I2243" s="16"/>
      <c r="J2243" s="16"/>
      <c r="K2243" s="17"/>
      <c r="L2243" s="16"/>
      <c r="M2243" s="17"/>
      <c r="N2243" s="17"/>
      <c r="O2243" s="17"/>
    </row>
    <row r="2244" spans="1:15" ht="12.75" x14ac:dyDescent="0.2">
      <c r="A2244" s="15"/>
      <c r="B2244" s="15"/>
      <c r="C2244" s="15"/>
      <c r="D2244" s="16"/>
      <c r="E2244" s="16"/>
      <c r="F2244" s="16"/>
      <c r="G2244" s="16"/>
      <c r="H2244" s="16"/>
      <c r="I2244" s="16"/>
      <c r="J2244" s="16"/>
      <c r="K2244" s="17"/>
      <c r="L2244" s="16"/>
      <c r="M2244" s="17"/>
      <c r="N2244" s="17"/>
      <c r="O2244" s="17"/>
    </row>
    <row r="2245" spans="1:15" ht="12.75" x14ac:dyDescent="0.2">
      <c r="A2245" s="15"/>
      <c r="B2245" s="15"/>
      <c r="C2245" s="15"/>
      <c r="D2245" s="16"/>
      <c r="E2245" s="16"/>
      <c r="F2245" s="16"/>
      <c r="G2245" s="16"/>
      <c r="H2245" s="16"/>
      <c r="I2245" s="16"/>
      <c r="J2245" s="16"/>
      <c r="K2245" s="17"/>
      <c r="L2245" s="16"/>
      <c r="M2245" s="17"/>
      <c r="N2245" s="17"/>
      <c r="O2245" s="17"/>
    </row>
    <row r="2246" spans="1:15" ht="12.75" x14ac:dyDescent="0.2">
      <c r="A2246" s="15"/>
      <c r="B2246" s="15"/>
      <c r="C2246" s="15"/>
      <c r="D2246" s="16"/>
      <c r="E2246" s="16"/>
      <c r="F2246" s="16"/>
      <c r="G2246" s="16"/>
      <c r="H2246" s="16"/>
      <c r="I2246" s="16"/>
      <c r="J2246" s="16"/>
      <c r="K2246" s="17"/>
      <c r="L2246" s="16"/>
      <c r="M2246" s="17"/>
      <c r="N2246" s="17"/>
      <c r="O2246" s="17"/>
    </row>
    <row r="2247" spans="1:15" ht="12.75" x14ac:dyDescent="0.2">
      <c r="A2247" s="15"/>
      <c r="B2247" s="15"/>
      <c r="C2247" s="15"/>
      <c r="D2247" s="16"/>
      <c r="E2247" s="16"/>
      <c r="F2247" s="16"/>
      <c r="G2247" s="16"/>
      <c r="H2247" s="16"/>
      <c r="I2247" s="16"/>
      <c r="J2247" s="16"/>
      <c r="K2247" s="17"/>
      <c r="L2247" s="16"/>
      <c r="M2247" s="17"/>
      <c r="N2247" s="17"/>
      <c r="O2247" s="17"/>
    </row>
    <row r="2248" spans="1:15" ht="12.75" x14ac:dyDescent="0.2">
      <c r="A2248" s="15"/>
      <c r="B2248" s="15"/>
      <c r="C2248" s="15"/>
      <c r="D2248" s="16"/>
      <c r="E2248" s="16"/>
      <c r="F2248" s="16"/>
      <c r="G2248" s="16"/>
      <c r="H2248" s="16"/>
      <c r="I2248" s="16"/>
      <c r="J2248" s="16"/>
      <c r="K2248" s="17"/>
      <c r="L2248" s="16"/>
      <c r="M2248" s="17"/>
      <c r="N2248" s="17"/>
      <c r="O2248" s="17"/>
    </row>
    <row r="2249" spans="1:15" ht="12.75" x14ac:dyDescent="0.2">
      <c r="A2249" s="15"/>
      <c r="B2249" s="15"/>
      <c r="C2249" s="15"/>
      <c r="D2249" s="16"/>
      <c r="E2249" s="16"/>
      <c r="F2249" s="16"/>
      <c r="G2249" s="16"/>
      <c r="H2249" s="16"/>
      <c r="I2249" s="16"/>
      <c r="J2249" s="16"/>
      <c r="K2249" s="17"/>
      <c r="L2249" s="16"/>
      <c r="M2249" s="17"/>
      <c r="N2249" s="17"/>
      <c r="O2249" s="17"/>
    </row>
    <row r="2250" spans="1:15" ht="12.75" x14ac:dyDescent="0.2">
      <c r="A2250" s="15"/>
      <c r="B2250" s="15"/>
      <c r="C2250" s="15"/>
      <c r="D2250" s="16"/>
      <c r="E2250" s="16"/>
      <c r="F2250" s="16"/>
      <c r="G2250" s="16"/>
      <c r="H2250" s="16"/>
      <c r="I2250" s="16"/>
      <c r="J2250" s="16"/>
      <c r="K2250" s="17"/>
      <c r="L2250" s="16"/>
      <c r="M2250" s="17"/>
      <c r="N2250" s="17"/>
      <c r="O2250" s="17"/>
    </row>
    <row r="2251" spans="1:15" ht="12.75" x14ac:dyDescent="0.2">
      <c r="A2251" s="15"/>
      <c r="B2251" s="15"/>
      <c r="C2251" s="15"/>
      <c r="D2251" s="16"/>
      <c r="E2251" s="16"/>
      <c r="F2251" s="16"/>
      <c r="G2251" s="16"/>
      <c r="H2251" s="16"/>
      <c r="I2251" s="16"/>
      <c r="J2251" s="16"/>
      <c r="K2251" s="17"/>
      <c r="L2251" s="16"/>
      <c r="M2251" s="17"/>
      <c r="N2251" s="17"/>
      <c r="O2251" s="17"/>
    </row>
    <row r="2252" spans="1:15" ht="12.75" x14ac:dyDescent="0.2">
      <c r="A2252" s="15"/>
      <c r="B2252" s="15"/>
      <c r="C2252" s="15"/>
      <c r="D2252" s="16"/>
      <c r="E2252" s="16"/>
      <c r="F2252" s="16"/>
      <c r="G2252" s="16"/>
      <c r="H2252" s="16"/>
      <c r="I2252" s="16"/>
      <c r="J2252" s="16"/>
      <c r="K2252" s="17"/>
      <c r="L2252" s="16"/>
      <c r="M2252" s="17"/>
      <c r="N2252" s="17"/>
      <c r="O2252" s="17"/>
    </row>
    <row r="2253" spans="1:15" ht="12.75" x14ac:dyDescent="0.2">
      <c r="A2253" s="15"/>
      <c r="B2253" s="15"/>
      <c r="C2253" s="15"/>
      <c r="D2253" s="16"/>
      <c r="E2253" s="16"/>
      <c r="F2253" s="16"/>
      <c r="G2253" s="16"/>
      <c r="H2253" s="16"/>
      <c r="I2253" s="16"/>
      <c r="J2253" s="16"/>
      <c r="K2253" s="17"/>
      <c r="L2253" s="16"/>
      <c r="M2253" s="17"/>
      <c r="N2253" s="17"/>
      <c r="O2253" s="17"/>
    </row>
    <row r="2254" spans="1:15" ht="12.75" x14ac:dyDescent="0.2">
      <c r="A2254" s="15"/>
      <c r="B2254" s="15"/>
      <c r="C2254" s="15"/>
      <c r="D2254" s="16"/>
      <c r="E2254" s="16"/>
      <c r="F2254" s="16"/>
      <c r="G2254" s="16"/>
      <c r="H2254" s="16"/>
      <c r="I2254" s="16"/>
      <c r="J2254" s="16"/>
      <c r="K2254" s="17"/>
      <c r="L2254" s="16"/>
      <c r="M2254" s="17"/>
      <c r="N2254" s="17"/>
      <c r="O2254" s="17"/>
    </row>
    <row r="2255" spans="1:15" ht="12.75" x14ac:dyDescent="0.2">
      <c r="A2255" s="15"/>
      <c r="B2255" s="15"/>
      <c r="C2255" s="15"/>
      <c r="D2255" s="16"/>
      <c r="E2255" s="16"/>
      <c r="F2255" s="16"/>
      <c r="G2255" s="16"/>
      <c r="H2255" s="16"/>
      <c r="I2255" s="16"/>
      <c r="J2255" s="16"/>
      <c r="K2255" s="17"/>
      <c r="L2255" s="16"/>
      <c r="M2255" s="17"/>
      <c r="N2255" s="17"/>
      <c r="O2255" s="17"/>
    </row>
    <row r="2256" spans="1:15" ht="12.75" x14ac:dyDescent="0.2">
      <c r="A2256" s="15"/>
      <c r="B2256" s="15"/>
      <c r="C2256" s="15"/>
      <c r="D2256" s="16"/>
      <c r="E2256" s="16"/>
      <c r="F2256" s="16"/>
      <c r="G2256" s="16"/>
      <c r="H2256" s="16"/>
      <c r="I2256" s="16"/>
      <c r="J2256" s="16"/>
      <c r="K2256" s="17"/>
      <c r="L2256" s="16"/>
      <c r="M2256" s="17"/>
      <c r="N2256" s="17"/>
      <c r="O2256" s="17"/>
    </row>
    <row r="2257" spans="1:15" ht="12.75" x14ac:dyDescent="0.2">
      <c r="A2257" s="15"/>
      <c r="B2257" s="15"/>
      <c r="C2257" s="15"/>
      <c r="D2257" s="16"/>
      <c r="E2257" s="16"/>
      <c r="F2257" s="16"/>
      <c r="G2257" s="16"/>
      <c r="H2257" s="16"/>
      <c r="I2257" s="16"/>
      <c r="J2257" s="16"/>
      <c r="K2257" s="17"/>
      <c r="L2257" s="16"/>
      <c r="M2257" s="17"/>
      <c r="N2257" s="17"/>
      <c r="O2257" s="17"/>
    </row>
    <row r="2258" spans="1:15" ht="12.75" x14ac:dyDescent="0.2">
      <c r="A2258" s="15"/>
      <c r="B2258" s="15"/>
      <c r="C2258" s="15"/>
      <c r="D2258" s="16"/>
      <c r="E2258" s="16"/>
      <c r="F2258" s="16"/>
      <c r="G2258" s="16"/>
      <c r="H2258" s="16"/>
      <c r="I2258" s="16"/>
      <c r="J2258" s="16"/>
      <c r="K2258" s="17"/>
      <c r="L2258" s="16"/>
      <c r="M2258" s="17"/>
      <c r="N2258" s="17"/>
      <c r="O2258" s="17"/>
    </row>
    <row r="2259" spans="1:15" ht="12.75" x14ac:dyDescent="0.2">
      <c r="A2259" s="15"/>
      <c r="B2259" s="15"/>
      <c r="C2259" s="15"/>
      <c r="D2259" s="16"/>
      <c r="E2259" s="16"/>
      <c r="F2259" s="16"/>
      <c r="G2259" s="16"/>
      <c r="H2259" s="16"/>
      <c r="I2259" s="16"/>
      <c r="J2259" s="16"/>
      <c r="K2259" s="17"/>
      <c r="L2259" s="16"/>
      <c r="M2259" s="17"/>
      <c r="N2259" s="17"/>
      <c r="O2259" s="17"/>
    </row>
    <row r="2260" spans="1:15" ht="12.75" x14ac:dyDescent="0.2">
      <c r="A2260" s="15"/>
      <c r="B2260" s="15"/>
      <c r="C2260" s="15"/>
      <c r="D2260" s="16"/>
      <c r="E2260" s="16"/>
      <c r="F2260" s="16"/>
      <c r="G2260" s="16"/>
      <c r="H2260" s="16"/>
      <c r="I2260" s="16"/>
      <c r="J2260" s="16"/>
      <c r="K2260" s="17"/>
      <c r="L2260" s="16"/>
      <c r="M2260" s="17"/>
      <c r="N2260" s="17"/>
      <c r="O2260" s="17"/>
    </row>
    <row r="2261" spans="1:15" ht="12.75" x14ac:dyDescent="0.2">
      <c r="A2261" s="15"/>
      <c r="B2261" s="15"/>
      <c r="C2261" s="15"/>
      <c r="D2261" s="16"/>
      <c r="E2261" s="16"/>
      <c r="F2261" s="16"/>
      <c r="G2261" s="16"/>
      <c r="H2261" s="16"/>
      <c r="I2261" s="16"/>
      <c r="J2261" s="16"/>
      <c r="K2261" s="17"/>
      <c r="L2261" s="16"/>
      <c r="M2261" s="17"/>
      <c r="N2261" s="17"/>
      <c r="O2261" s="17"/>
    </row>
    <row r="2262" spans="1:15" ht="12.75" x14ac:dyDescent="0.2">
      <c r="A2262" s="15"/>
      <c r="B2262" s="15"/>
      <c r="C2262" s="15"/>
      <c r="D2262" s="16"/>
      <c r="E2262" s="16"/>
      <c r="F2262" s="16"/>
      <c r="G2262" s="16"/>
      <c r="H2262" s="16"/>
      <c r="I2262" s="16"/>
      <c r="J2262" s="16"/>
      <c r="K2262" s="17"/>
      <c r="L2262" s="16"/>
      <c r="M2262" s="17"/>
      <c r="N2262" s="17"/>
      <c r="O2262" s="17"/>
    </row>
    <row r="2263" spans="1:15" ht="12.75" x14ac:dyDescent="0.2">
      <c r="A2263" s="15"/>
      <c r="B2263" s="15"/>
      <c r="C2263" s="15"/>
      <c r="D2263" s="16"/>
      <c r="E2263" s="16"/>
      <c r="F2263" s="16"/>
      <c r="G2263" s="16"/>
      <c r="H2263" s="16"/>
      <c r="I2263" s="16"/>
      <c r="J2263" s="16"/>
      <c r="K2263" s="17"/>
      <c r="L2263" s="16"/>
      <c r="M2263" s="17"/>
      <c r="N2263" s="17"/>
      <c r="O2263" s="17"/>
    </row>
    <row r="2264" spans="1:15" ht="12.75" x14ac:dyDescent="0.2">
      <c r="A2264" s="15"/>
      <c r="B2264" s="15"/>
      <c r="C2264" s="15"/>
      <c r="D2264" s="16"/>
      <c r="E2264" s="16"/>
      <c r="F2264" s="16"/>
      <c r="G2264" s="16"/>
      <c r="H2264" s="16"/>
      <c r="I2264" s="16"/>
      <c r="J2264" s="16"/>
      <c r="K2264" s="17"/>
      <c r="L2264" s="16"/>
      <c r="M2264" s="17"/>
      <c r="N2264" s="17"/>
      <c r="O2264" s="17"/>
    </row>
    <row r="2265" spans="1:15" ht="12.75" x14ac:dyDescent="0.2">
      <c r="A2265" s="15"/>
      <c r="B2265" s="15"/>
      <c r="C2265" s="15"/>
      <c r="D2265" s="16"/>
      <c r="E2265" s="16"/>
      <c r="F2265" s="16"/>
      <c r="G2265" s="16"/>
      <c r="H2265" s="16"/>
      <c r="I2265" s="16"/>
      <c r="J2265" s="16"/>
      <c r="K2265" s="17"/>
      <c r="L2265" s="16"/>
      <c r="M2265" s="17"/>
      <c r="N2265" s="17"/>
      <c r="O2265" s="17"/>
    </row>
    <row r="2266" spans="1:15" ht="12.75" x14ac:dyDescent="0.2">
      <c r="A2266" s="15"/>
      <c r="B2266" s="15"/>
      <c r="C2266" s="15"/>
      <c r="D2266" s="16"/>
      <c r="E2266" s="16"/>
      <c r="F2266" s="16"/>
      <c r="G2266" s="16"/>
      <c r="H2266" s="16"/>
      <c r="I2266" s="16"/>
      <c r="J2266" s="16"/>
      <c r="K2266" s="17"/>
      <c r="L2266" s="16"/>
      <c r="M2266" s="17"/>
      <c r="N2266" s="17"/>
      <c r="O2266" s="17"/>
    </row>
    <row r="2267" spans="1:15" ht="12.75" x14ac:dyDescent="0.2">
      <c r="A2267" s="15"/>
      <c r="B2267" s="15"/>
      <c r="C2267" s="15"/>
      <c r="D2267" s="16"/>
      <c r="E2267" s="16"/>
      <c r="F2267" s="16"/>
      <c r="G2267" s="16"/>
      <c r="H2267" s="16"/>
      <c r="I2267" s="16"/>
      <c r="J2267" s="16"/>
      <c r="K2267" s="17"/>
      <c r="L2267" s="16"/>
      <c r="M2267" s="17"/>
      <c r="N2267" s="17"/>
      <c r="O2267" s="17"/>
    </row>
    <row r="2268" spans="1:15" ht="12.75" x14ac:dyDescent="0.2">
      <c r="A2268" s="15"/>
      <c r="B2268" s="15"/>
      <c r="C2268" s="15"/>
      <c r="D2268" s="16"/>
      <c r="E2268" s="16"/>
      <c r="F2268" s="16"/>
      <c r="G2268" s="16"/>
      <c r="H2268" s="16"/>
      <c r="I2268" s="16"/>
      <c r="J2268" s="16"/>
      <c r="K2268" s="17"/>
      <c r="L2268" s="16"/>
      <c r="M2268" s="17"/>
      <c r="N2268" s="17"/>
      <c r="O2268" s="17"/>
    </row>
    <row r="2269" spans="1:15" ht="12.75" x14ac:dyDescent="0.2">
      <c r="A2269" s="15"/>
      <c r="B2269" s="15"/>
      <c r="C2269" s="15"/>
      <c r="D2269" s="16"/>
      <c r="E2269" s="16"/>
      <c r="F2269" s="16"/>
      <c r="G2269" s="16"/>
      <c r="H2269" s="16"/>
      <c r="I2269" s="16"/>
      <c r="J2269" s="16"/>
      <c r="K2269" s="17"/>
      <c r="L2269" s="16"/>
      <c r="M2269" s="17"/>
      <c r="N2269" s="17"/>
      <c r="O2269" s="17"/>
    </row>
    <row r="2270" spans="1:15" ht="12.75" x14ac:dyDescent="0.2">
      <c r="A2270" s="15"/>
      <c r="B2270" s="15"/>
      <c r="C2270" s="15"/>
      <c r="D2270" s="16"/>
      <c r="E2270" s="16"/>
      <c r="F2270" s="16"/>
      <c r="G2270" s="16"/>
      <c r="H2270" s="16"/>
      <c r="I2270" s="16"/>
      <c r="J2270" s="16"/>
      <c r="K2270" s="17"/>
      <c r="L2270" s="16"/>
      <c r="M2270" s="17"/>
      <c r="N2270" s="17"/>
      <c r="O2270" s="17"/>
    </row>
    <row r="2271" spans="1:15" ht="12.75" x14ac:dyDescent="0.2">
      <c r="A2271" s="15"/>
      <c r="B2271" s="15"/>
      <c r="C2271" s="15"/>
      <c r="D2271" s="16"/>
      <c r="E2271" s="16"/>
      <c r="F2271" s="16"/>
      <c r="G2271" s="16"/>
      <c r="H2271" s="16"/>
      <c r="I2271" s="16"/>
      <c r="J2271" s="16"/>
      <c r="K2271" s="17"/>
      <c r="L2271" s="16"/>
      <c r="M2271" s="17"/>
      <c r="N2271" s="17"/>
      <c r="O2271" s="17"/>
    </row>
    <row r="2272" spans="1:15" ht="12.75" x14ac:dyDescent="0.2">
      <c r="A2272" s="15"/>
      <c r="B2272" s="15"/>
      <c r="C2272" s="15"/>
      <c r="D2272" s="16"/>
      <c r="E2272" s="16"/>
      <c r="F2272" s="16"/>
      <c r="G2272" s="16"/>
      <c r="H2272" s="16"/>
      <c r="I2272" s="16"/>
      <c r="J2272" s="16"/>
      <c r="K2272" s="17"/>
      <c r="L2272" s="16"/>
      <c r="M2272" s="17"/>
      <c r="N2272" s="17"/>
      <c r="O2272" s="17"/>
    </row>
    <row r="2273" spans="1:15" ht="12.75" x14ac:dyDescent="0.2">
      <c r="A2273" s="15"/>
      <c r="B2273" s="15"/>
      <c r="C2273" s="15"/>
      <c r="D2273" s="16"/>
      <c r="E2273" s="16"/>
      <c r="F2273" s="16"/>
      <c r="G2273" s="16"/>
      <c r="H2273" s="16"/>
      <c r="I2273" s="16"/>
      <c r="J2273" s="16"/>
      <c r="K2273" s="17"/>
      <c r="L2273" s="16"/>
      <c r="M2273" s="17"/>
      <c r="N2273" s="17"/>
      <c r="O2273" s="17"/>
    </row>
    <row r="2274" spans="1:15" ht="12.75" x14ac:dyDescent="0.2">
      <c r="A2274" s="15"/>
      <c r="B2274" s="15"/>
      <c r="C2274" s="15"/>
      <c r="D2274" s="16"/>
      <c r="E2274" s="16"/>
      <c r="F2274" s="16"/>
      <c r="G2274" s="16"/>
      <c r="H2274" s="16"/>
      <c r="I2274" s="16"/>
      <c r="J2274" s="16"/>
      <c r="K2274" s="17"/>
      <c r="L2274" s="16"/>
      <c r="M2274" s="17"/>
      <c r="N2274" s="17"/>
      <c r="O2274" s="17"/>
    </row>
    <row r="2275" spans="1:15" ht="12.75" x14ac:dyDescent="0.2">
      <c r="A2275" s="15"/>
      <c r="B2275" s="15"/>
      <c r="C2275" s="15"/>
      <c r="D2275" s="16"/>
      <c r="E2275" s="16"/>
      <c r="F2275" s="16"/>
      <c r="G2275" s="16"/>
      <c r="H2275" s="16"/>
      <c r="I2275" s="16"/>
      <c r="J2275" s="16"/>
      <c r="K2275" s="17"/>
      <c r="L2275" s="16"/>
      <c r="M2275" s="17"/>
      <c r="N2275" s="17"/>
      <c r="O2275" s="17"/>
    </row>
    <row r="2276" spans="1:15" ht="12.75" x14ac:dyDescent="0.2">
      <c r="A2276" s="15"/>
      <c r="B2276" s="15"/>
      <c r="C2276" s="15"/>
      <c r="D2276" s="16"/>
      <c r="E2276" s="16"/>
      <c r="F2276" s="16"/>
      <c r="G2276" s="16"/>
      <c r="H2276" s="16"/>
      <c r="I2276" s="16"/>
      <c r="J2276" s="16"/>
      <c r="K2276" s="17"/>
      <c r="L2276" s="16"/>
      <c r="M2276" s="17"/>
      <c r="N2276" s="17"/>
      <c r="O2276" s="17"/>
    </row>
    <row r="2277" spans="1:15" ht="12.75" x14ac:dyDescent="0.2">
      <c r="A2277" s="15"/>
      <c r="B2277" s="15"/>
      <c r="C2277" s="15"/>
      <c r="D2277" s="16"/>
      <c r="E2277" s="16"/>
      <c r="F2277" s="16"/>
      <c r="G2277" s="16"/>
      <c r="H2277" s="16"/>
      <c r="I2277" s="16"/>
      <c r="J2277" s="16"/>
      <c r="K2277" s="17"/>
      <c r="L2277" s="16"/>
      <c r="M2277" s="17"/>
      <c r="N2277" s="17"/>
      <c r="O2277" s="17"/>
    </row>
    <row r="2278" spans="1:15" ht="12.75" x14ac:dyDescent="0.2">
      <c r="A2278" s="15"/>
      <c r="B2278" s="15"/>
      <c r="C2278" s="15"/>
      <c r="D2278" s="16"/>
      <c r="E2278" s="16"/>
      <c r="F2278" s="16"/>
      <c r="G2278" s="16"/>
      <c r="H2278" s="16"/>
      <c r="I2278" s="16"/>
      <c r="J2278" s="16"/>
      <c r="K2278" s="17"/>
      <c r="L2278" s="16"/>
      <c r="M2278" s="17"/>
      <c r="N2278" s="17"/>
      <c r="O2278" s="17"/>
    </row>
    <row r="2279" spans="1:15" ht="12.75" x14ac:dyDescent="0.2">
      <c r="A2279" s="15"/>
      <c r="B2279" s="15"/>
      <c r="C2279" s="15"/>
      <c r="D2279" s="16"/>
      <c r="E2279" s="16"/>
      <c r="F2279" s="16"/>
      <c r="G2279" s="16"/>
      <c r="H2279" s="16"/>
      <c r="I2279" s="16"/>
      <c r="J2279" s="16"/>
      <c r="K2279" s="17"/>
      <c r="L2279" s="16"/>
      <c r="M2279" s="17"/>
      <c r="N2279" s="17"/>
      <c r="O2279" s="17"/>
    </row>
    <row r="2280" spans="1:15" ht="12.75" x14ac:dyDescent="0.2">
      <c r="A2280" s="15"/>
      <c r="B2280" s="15"/>
      <c r="C2280" s="15"/>
      <c r="D2280" s="16"/>
      <c r="E2280" s="16"/>
      <c r="F2280" s="16"/>
      <c r="G2280" s="16"/>
      <c r="H2280" s="16"/>
      <c r="I2280" s="16"/>
      <c r="J2280" s="16"/>
      <c r="K2280" s="17"/>
      <c r="L2280" s="16"/>
      <c r="M2280" s="17"/>
      <c r="N2280" s="17"/>
      <c r="O2280" s="17"/>
    </row>
    <row r="2281" spans="1:15" ht="12.75" x14ac:dyDescent="0.2">
      <c r="A2281" s="15"/>
      <c r="B2281" s="15"/>
      <c r="C2281" s="15"/>
      <c r="D2281" s="16"/>
      <c r="E2281" s="16"/>
      <c r="F2281" s="16"/>
      <c r="G2281" s="16"/>
      <c r="H2281" s="16"/>
      <c r="I2281" s="16"/>
      <c r="J2281" s="16"/>
      <c r="K2281" s="17"/>
      <c r="L2281" s="16"/>
      <c r="M2281" s="17"/>
      <c r="N2281" s="17"/>
      <c r="O2281" s="17"/>
    </row>
    <row r="2282" spans="1:15" ht="12.75" x14ac:dyDescent="0.2">
      <c r="A2282" s="15"/>
      <c r="B2282" s="15"/>
      <c r="C2282" s="15"/>
      <c r="D2282" s="16"/>
      <c r="E2282" s="16"/>
      <c r="F2282" s="16"/>
      <c r="G2282" s="16"/>
      <c r="H2282" s="16"/>
      <c r="I2282" s="16"/>
      <c r="J2282" s="16"/>
      <c r="K2282" s="17"/>
      <c r="L2282" s="16"/>
      <c r="M2282" s="17"/>
      <c r="N2282" s="17"/>
      <c r="O2282" s="17"/>
    </row>
    <row r="2283" spans="1:15" ht="12.75" x14ac:dyDescent="0.2">
      <c r="A2283" s="15"/>
      <c r="B2283" s="15"/>
      <c r="C2283" s="15"/>
      <c r="D2283" s="16"/>
      <c r="E2283" s="16"/>
      <c r="F2283" s="16"/>
      <c r="G2283" s="16"/>
      <c r="H2283" s="16"/>
      <c r="I2283" s="16"/>
      <c r="J2283" s="16"/>
      <c r="K2283" s="17"/>
      <c r="L2283" s="16"/>
      <c r="M2283" s="17"/>
      <c r="N2283" s="17"/>
      <c r="O2283" s="17"/>
    </row>
    <row r="2284" spans="1:15" ht="12.75" x14ac:dyDescent="0.2">
      <c r="A2284" s="15"/>
      <c r="B2284" s="15"/>
      <c r="C2284" s="15"/>
      <c r="D2284" s="16"/>
      <c r="E2284" s="16"/>
      <c r="F2284" s="16"/>
      <c r="G2284" s="16"/>
      <c r="H2284" s="16"/>
      <c r="I2284" s="16"/>
      <c r="J2284" s="16"/>
      <c r="K2284" s="17"/>
      <c r="L2284" s="16"/>
      <c r="M2284" s="17"/>
      <c r="N2284" s="17"/>
      <c r="O2284" s="17"/>
    </row>
    <row r="2285" spans="1:15" ht="12.75" x14ac:dyDescent="0.2">
      <c r="A2285" s="15"/>
      <c r="B2285" s="15"/>
      <c r="C2285" s="15"/>
      <c r="D2285" s="16"/>
      <c r="E2285" s="16"/>
      <c r="F2285" s="16"/>
      <c r="G2285" s="16"/>
      <c r="H2285" s="16"/>
      <c r="I2285" s="16"/>
      <c r="J2285" s="16"/>
      <c r="K2285" s="17"/>
      <c r="L2285" s="16"/>
      <c r="M2285" s="17"/>
      <c r="N2285" s="17"/>
      <c r="O2285" s="17"/>
    </row>
    <row r="2286" spans="1:15" ht="12.75" x14ac:dyDescent="0.2">
      <c r="A2286" s="15"/>
      <c r="B2286" s="15"/>
      <c r="C2286" s="15"/>
      <c r="D2286" s="16"/>
      <c r="E2286" s="16"/>
      <c r="F2286" s="16"/>
      <c r="G2286" s="16"/>
      <c r="H2286" s="16"/>
      <c r="I2286" s="16"/>
      <c r="J2286" s="16"/>
      <c r="K2286" s="17"/>
      <c r="L2286" s="16"/>
      <c r="M2286" s="17"/>
      <c r="N2286" s="17"/>
      <c r="O2286" s="17"/>
    </row>
    <row r="2287" spans="1:15" ht="12.75" x14ac:dyDescent="0.2">
      <c r="A2287" s="15"/>
      <c r="B2287" s="15"/>
      <c r="C2287" s="15"/>
      <c r="D2287" s="16"/>
      <c r="E2287" s="16"/>
      <c r="F2287" s="16"/>
      <c r="G2287" s="16"/>
      <c r="H2287" s="16"/>
      <c r="I2287" s="16"/>
      <c r="J2287" s="16"/>
      <c r="K2287" s="17"/>
      <c r="L2287" s="16"/>
      <c r="M2287" s="17"/>
      <c r="N2287" s="17"/>
      <c r="O2287" s="17"/>
    </row>
    <row r="2288" spans="1:15" ht="12.75" x14ac:dyDescent="0.2">
      <c r="A2288" s="15"/>
      <c r="B2288" s="15"/>
      <c r="C2288" s="15"/>
      <c r="D2288" s="16"/>
      <c r="E2288" s="16"/>
      <c r="F2288" s="16"/>
      <c r="G2288" s="16"/>
      <c r="H2288" s="16"/>
      <c r="I2288" s="16"/>
      <c r="J2288" s="16"/>
      <c r="K2288" s="17"/>
      <c r="L2288" s="16"/>
      <c r="M2288" s="17"/>
      <c r="N2288" s="17"/>
      <c r="O2288" s="17"/>
    </row>
    <row r="2289" spans="1:15" ht="12.75" x14ac:dyDescent="0.2">
      <c r="A2289" s="15"/>
      <c r="B2289" s="15"/>
      <c r="C2289" s="15"/>
      <c r="D2289" s="16"/>
      <c r="E2289" s="16"/>
      <c r="F2289" s="16"/>
      <c r="G2289" s="16"/>
      <c r="H2289" s="16"/>
      <c r="I2289" s="16"/>
      <c r="J2289" s="16"/>
      <c r="K2289" s="17"/>
      <c r="L2289" s="16"/>
      <c r="M2289" s="17"/>
      <c r="N2289" s="17"/>
      <c r="O2289" s="17"/>
    </row>
    <row r="2290" spans="1:15" ht="12.75" x14ac:dyDescent="0.2">
      <c r="A2290" s="15"/>
      <c r="B2290" s="15"/>
      <c r="C2290" s="15"/>
      <c r="D2290" s="16"/>
      <c r="E2290" s="16"/>
      <c r="F2290" s="16"/>
      <c r="G2290" s="16"/>
      <c r="H2290" s="16"/>
      <c r="I2290" s="16"/>
      <c r="J2290" s="16"/>
      <c r="K2290" s="17"/>
      <c r="L2290" s="16"/>
      <c r="M2290" s="17"/>
      <c r="N2290" s="17"/>
      <c r="O2290" s="17"/>
    </row>
    <row r="2291" spans="1:15" ht="12.75" x14ac:dyDescent="0.2">
      <c r="A2291" s="15"/>
      <c r="B2291" s="15"/>
      <c r="C2291" s="15"/>
      <c r="D2291" s="16"/>
      <c r="E2291" s="16"/>
      <c r="F2291" s="16"/>
      <c r="G2291" s="16"/>
      <c r="H2291" s="16"/>
      <c r="I2291" s="16"/>
      <c r="J2291" s="16"/>
      <c r="K2291" s="17"/>
      <c r="L2291" s="16"/>
      <c r="M2291" s="17"/>
      <c r="N2291" s="17"/>
      <c r="O2291" s="17"/>
    </row>
    <row r="2292" spans="1:15" ht="12.75" x14ac:dyDescent="0.2">
      <c r="A2292" s="15"/>
      <c r="B2292" s="15"/>
      <c r="C2292" s="15"/>
      <c r="D2292" s="16"/>
      <c r="E2292" s="16"/>
      <c r="F2292" s="16"/>
      <c r="G2292" s="16"/>
      <c r="H2292" s="16"/>
      <c r="I2292" s="16"/>
      <c r="J2292" s="16"/>
      <c r="K2292" s="17"/>
      <c r="L2292" s="16"/>
      <c r="M2292" s="17"/>
      <c r="N2292" s="17"/>
      <c r="O2292" s="17"/>
    </row>
    <row r="2293" spans="1:15" ht="12.75" x14ac:dyDescent="0.2">
      <c r="A2293" s="15"/>
      <c r="B2293" s="15"/>
      <c r="C2293" s="15"/>
      <c r="D2293" s="16"/>
      <c r="E2293" s="16"/>
      <c r="F2293" s="16"/>
      <c r="G2293" s="16"/>
      <c r="H2293" s="16"/>
      <c r="I2293" s="16"/>
      <c r="J2293" s="16"/>
      <c r="K2293" s="17"/>
      <c r="L2293" s="16"/>
      <c r="M2293" s="17"/>
      <c r="N2293" s="17"/>
      <c r="O2293" s="17"/>
    </row>
    <row r="2294" spans="1:15" ht="12.75" x14ac:dyDescent="0.2">
      <c r="A2294" s="15"/>
      <c r="B2294" s="15"/>
      <c r="C2294" s="15"/>
      <c r="D2294" s="16"/>
      <c r="E2294" s="16"/>
      <c r="F2294" s="16"/>
      <c r="G2294" s="16"/>
      <c r="H2294" s="16"/>
      <c r="I2294" s="16"/>
      <c r="J2294" s="16"/>
      <c r="K2294" s="17"/>
      <c r="L2294" s="16"/>
      <c r="M2294" s="17"/>
      <c r="N2294" s="17"/>
      <c r="O2294" s="17"/>
    </row>
    <row r="2295" spans="1:15" ht="12.75" x14ac:dyDescent="0.2">
      <c r="A2295" s="15"/>
      <c r="B2295" s="15"/>
      <c r="C2295" s="15"/>
      <c r="D2295" s="16"/>
      <c r="E2295" s="16"/>
      <c r="F2295" s="16"/>
      <c r="G2295" s="16"/>
      <c r="H2295" s="16"/>
      <c r="I2295" s="16"/>
      <c r="J2295" s="16"/>
      <c r="K2295" s="17"/>
      <c r="L2295" s="16"/>
      <c r="M2295" s="17"/>
      <c r="N2295" s="17"/>
      <c r="O2295" s="17"/>
    </row>
    <row r="2296" spans="1:15" ht="12.75" x14ac:dyDescent="0.2">
      <c r="A2296" s="15"/>
      <c r="B2296" s="15"/>
      <c r="C2296" s="15"/>
      <c r="D2296" s="16"/>
      <c r="E2296" s="16"/>
      <c r="F2296" s="16"/>
      <c r="G2296" s="16"/>
      <c r="H2296" s="16"/>
      <c r="I2296" s="16"/>
      <c r="J2296" s="16"/>
      <c r="K2296" s="17"/>
      <c r="L2296" s="16"/>
      <c r="M2296" s="17"/>
      <c r="N2296" s="17"/>
      <c r="O2296" s="17"/>
    </row>
    <row r="2297" spans="1:15" ht="12.75" x14ac:dyDescent="0.2">
      <c r="A2297" s="15"/>
      <c r="B2297" s="15"/>
      <c r="C2297" s="15"/>
      <c r="D2297" s="16"/>
      <c r="E2297" s="16"/>
      <c r="F2297" s="16"/>
      <c r="G2297" s="16"/>
      <c r="H2297" s="16"/>
      <c r="I2297" s="16"/>
      <c r="J2297" s="16"/>
      <c r="K2297" s="17"/>
      <c r="L2297" s="16"/>
      <c r="M2297" s="17"/>
      <c r="N2297" s="17"/>
      <c r="O2297" s="17"/>
    </row>
    <row r="2298" spans="1:15" ht="12.75" x14ac:dyDescent="0.2">
      <c r="A2298" s="15"/>
      <c r="B2298" s="15"/>
      <c r="C2298" s="15"/>
      <c r="D2298" s="16"/>
      <c r="E2298" s="16"/>
      <c r="F2298" s="16"/>
      <c r="G2298" s="16"/>
      <c r="H2298" s="16"/>
      <c r="I2298" s="16"/>
      <c r="J2298" s="16"/>
      <c r="K2298" s="17"/>
      <c r="L2298" s="16"/>
      <c r="M2298" s="17"/>
      <c r="N2298" s="17"/>
      <c r="O2298" s="17"/>
    </row>
    <row r="2299" spans="1:15" ht="12.75" x14ac:dyDescent="0.2">
      <c r="A2299" s="15"/>
      <c r="B2299" s="15"/>
      <c r="C2299" s="15"/>
      <c r="D2299" s="16"/>
      <c r="E2299" s="16"/>
      <c r="F2299" s="16"/>
      <c r="G2299" s="16"/>
      <c r="H2299" s="16"/>
      <c r="I2299" s="16"/>
      <c r="J2299" s="16"/>
      <c r="K2299" s="17"/>
      <c r="L2299" s="16"/>
      <c r="M2299" s="17"/>
      <c r="N2299" s="17"/>
      <c r="O2299" s="17"/>
    </row>
    <row r="2300" spans="1:15" ht="12.75" x14ac:dyDescent="0.2">
      <c r="A2300" s="15"/>
      <c r="B2300" s="15"/>
      <c r="C2300" s="15"/>
      <c r="D2300" s="16"/>
      <c r="E2300" s="16"/>
      <c r="F2300" s="16"/>
      <c r="G2300" s="16"/>
      <c r="H2300" s="16"/>
      <c r="I2300" s="16"/>
      <c r="J2300" s="16"/>
      <c r="K2300" s="17"/>
      <c r="L2300" s="16"/>
      <c r="M2300" s="17"/>
      <c r="N2300" s="17"/>
      <c r="O2300" s="17"/>
    </row>
    <row r="2301" spans="1:15" ht="12.75" x14ac:dyDescent="0.2">
      <c r="A2301" s="15"/>
      <c r="B2301" s="15"/>
      <c r="C2301" s="15"/>
      <c r="D2301" s="16"/>
      <c r="E2301" s="16"/>
      <c r="F2301" s="16"/>
      <c r="G2301" s="16"/>
      <c r="H2301" s="16"/>
      <c r="I2301" s="16"/>
      <c r="J2301" s="16"/>
      <c r="K2301" s="17"/>
      <c r="L2301" s="16"/>
      <c r="M2301" s="17"/>
      <c r="N2301" s="17"/>
      <c r="O2301" s="17"/>
    </row>
    <row r="2302" spans="1:15" ht="12.75" x14ac:dyDescent="0.2">
      <c r="A2302" s="15"/>
      <c r="B2302" s="15"/>
      <c r="C2302" s="15"/>
      <c r="D2302" s="16"/>
      <c r="E2302" s="16"/>
      <c r="F2302" s="16"/>
      <c r="G2302" s="16"/>
      <c r="H2302" s="16"/>
      <c r="I2302" s="16"/>
      <c r="J2302" s="16"/>
      <c r="K2302" s="17"/>
      <c r="L2302" s="16"/>
      <c r="M2302" s="17"/>
      <c r="N2302" s="17"/>
      <c r="O2302" s="17"/>
    </row>
    <row r="2303" spans="1:15" ht="12.75" x14ac:dyDescent="0.2">
      <c r="A2303" s="15"/>
      <c r="B2303" s="15"/>
      <c r="C2303" s="15"/>
      <c r="D2303" s="16"/>
      <c r="E2303" s="16"/>
      <c r="F2303" s="16"/>
      <c r="G2303" s="16"/>
      <c r="H2303" s="16"/>
      <c r="I2303" s="16"/>
      <c r="J2303" s="16"/>
      <c r="K2303" s="17"/>
      <c r="L2303" s="16"/>
      <c r="M2303" s="17"/>
      <c r="N2303" s="17"/>
      <c r="O2303" s="17"/>
    </row>
    <row r="2304" spans="1:15" ht="12.75" x14ac:dyDescent="0.2">
      <c r="A2304" s="15"/>
      <c r="B2304" s="15"/>
      <c r="C2304" s="15"/>
      <c r="D2304" s="16"/>
      <c r="E2304" s="16"/>
      <c r="F2304" s="16"/>
      <c r="G2304" s="16"/>
      <c r="H2304" s="16"/>
      <c r="I2304" s="16"/>
      <c r="J2304" s="16"/>
      <c r="K2304" s="17"/>
      <c r="L2304" s="16"/>
      <c r="M2304" s="17"/>
      <c r="N2304" s="17"/>
      <c r="O2304" s="17"/>
    </row>
    <row r="2305" spans="1:15" ht="12.75" x14ac:dyDescent="0.2">
      <c r="A2305" s="15"/>
      <c r="B2305" s="15"/>
      <c r="C2305" s="15"/>
      <c r="D2305" s="16"/>
      <c r="E2305" s="16"/>
      <c r="F2305" s="16"/>
      <c r="G2305" s="16"/>
      <c r="H2305" s="16"/>
      <c r="I2305" s="16"/>
      <c r="J2305" s="16"/>
      <c r="K2305" s="17"/>
      <c r="L2305" s="16"/>
      <c r="M2305" s="17"/>
      <c r="N2305" s="17"/>
      <c r="O2305" s="17"/>
    </row>
    <row r="2306" spans="1:15" ht="12.75" x14ac:dyDescent="0.2">
      <c r="A2306" s="15"/>
      <c r="B2306" s="15"/>
      <c r="C2306" s="15"/>
      <c r="D2306" s="16"/>
      <c r="E2306" s="16"/>
      <c r="F2306" s="16"/>
      <c r="G2306" s="16"/>
      <c r="H2306" s="16"/>
      <c r="I2306" s="16"/>
      <c r="J2306" s="16"/>
      <c r="K2306" s="17"/>
      <c r="L2306" s="16"/>
      <c r="M2306" s="17"/>
      <c r="N2306" s="17"/>
      <c r="O2306" s="17"/>
    </row>
    <row r="2307" spans="1:15" ht="12.75" x14ac:dyDescent="0.2">
      <c r="A2307" s="15"/>
      <c r="B2307" s="15"/>
      <c r="C2307" s="15"/>
      <c r="D2307" s="16"/>
      <c r="E2307" s="16"/>
      <c r="F2307" s="16"/>
      <c r="G2307" s="16"/>
      <c r="H2307" s="16"/>
      <c r="I2307" s="16"/>
      <c r="J2307" s="16"/>
      <c r="K2307" s="17"/>
      <c r="L2307" s="16"/>
      <c r="M2307" s="17"/>
      <c r="N2307" s="17"/>
      <c r="O2307" s="17"/>
    </row>
    <row r="2308" spans="1:15" ht="12.75" x14ac:dyDescent="0.2">
      <c r="A2308" s="15"/>
      <c r="B2308" s="15"/>
      <c r="C2308" s="15"/>
      <c r="D2308" s="16"/>
      <c r="E2308" s="16"/>
      <c r="F2308" s="16"/>
      <c r="G2308" s="16"/>
      <c r="H2308" s="16"/>
      <c r="I2308" s="16"/>
      <c r="J2308" s="16"/>
      <c r="K2308" s="17"/>
      <c r="L2308" s="16"/>
      <c r="M2308" s="17"/>
      <c r="N2308" s="17"/>
      <c r="O2308" s="17"/>
    </row>
    <row r="2309" spans="1:15" ht="12.75" x14ac:dyDescent="0.2">
      <c r="A2309" s="15"/>
      <c r="B2309" s="15"/>
      <c r="C2309" s="15"/>
      <c r="D2309" s="16"/>
      <c r="E2309" s="16"/>
      <c r="F2309" s="16"/>
      <c r="G2309" s="16"/>
      <c r="H2309" s="16"/>
      <c r="I2309" s="16"/>
      <c r="J2309" s="16"/>
      <c r="K2309" s="17"/>
      <c r="L2309" s="16"/>
      <c r="M2309" s="17"/>
      <c r="N2309" s="17"/>
      <c r="O2309" s="17"/>
    </row>
    <row r="2310" spans="1:15" ht="12.75" x14ac:dyDescent="0.2">
      <c r="A2310" s="15"/>
      <c r="B2310" s="15"/>
      <c r="C2310" s="15"/>
      <c r="D2310" s="16"/>
      <c r="E2310" s="16"/>
      <c r="F2310" s="16"/>
      <c r="G2310" s="16"/>
      <c r="H2310" s="16"/>
      <c r="I2310" s="16"/>
      <c r="J2310" s="16"/>
      <c r="K2310" s="17"/>
      <c r="L2310" s="16"/>
      <c r="M2310" s="17"/>
      <c r="N2310" s="17"/>
      <c r="O2310" s="17"/>
    </row>
    <row r="2311" spans="1:15" ht="12.75" x14ac:dyDescent="0.2">
      <c r="A2311" s="15"/>
      <c r="B2311" s="15"/>
      <c r="C2311" s="15"/>
      <c r="D2311" s="16"/>
      <c r="E2311" s="16"/>
      <c r="F2311" s="16"/>
      <c r="G2311" s="16"/>
      <c r="H2311" s="16"/>
      <c r="I2311" s="16"/>
      <c r="J2311" s="16"/>
      <c r="K2311" s="17"/>
      <c r="L2311" s="16"/>
      <c r="M2311" s="17"/>
      <c r="N2311" s="17"/>
      <c r="O2311" s="17"/>
    </row>
    <row r="2312" spans="1:15" ht="12.75" x14ac:dyDescent="0.2">
      <c r="A2312" s="15"/>
      <c r="B2312" s="15"/>
      <c r="C2312" s="15"/>
      <c r="D2312" s="16"/>
      <c r="E2312" s="16"/>
      <c r="F2312" s="16"/>
      <c r="G2312" s="16"/>
      <c r="H2312" s="16"/>
      <c r="I2312" s="16"/>
      <c r="J2312" s="16"/>
      <c r="K2312" s="17"/>
      <c r="L2312" s="16"/>
      <c r="M2312" s="17"/>
      <c r="N2312" s="17"/>
      <c r="O2312" s="17"/>
    </row>
    <row r="2313" spans="1:15" ht="12.75" x14ac:dyDescent="0.2">
      <c r="A2313" s="15"/>
      <c r="B2313" s="15"/>
      <c r="C2313" s="15"/>
      <c r="D2313" s="16"/>
      <c r="E2313" s="16"/>
      <c r="F2313" s="16"/>
      <c r="G2313" s="16"/>
      <c r="H2313" s="16"/>
      <c r="I2313" s="16"/>
      <c r="J2313" s="16"/>
      <c r="K2313" s="17"/>
      <c r="L2313" s="16"/>
      <c r="M2313" s="17"/>
      <c r="N2313" s="17"/>
      <c r="O2313" s="17"/>
    </row>
    <row r="2314" spans="1:15" ht="12.75" x14ac:dyDescent="0.2">
      <c r="A2314" s="15"/>
      <c r="B2314" s="15"/>
      <c r="C2314" s="15"/>
      <c r="D2314" s="16"/>
      <c r="E2314" s="16"/>
      <c r="F2314" s="16"/>
      <c r="G2314" s="16"/>
      <c r="H2314" s="16"/>
      <c r="I2314" s="16"/>
      <c r="J2314" s="16"/>
      <c r="K2314" s="17"/>
      <c r="L2314" s="16"/>
      <c r="M2314" s="17"/>
      <c r="N2314" s="17"/>
      <c r="O2314" s="17"/>
    </row>
    <row r="2315" spans="1:15" ht="12.75" x14ac:dyDescent="0.2">
      <c r="A2315" s="15"/>
      <c r="B2315" s="15"/>
      <c r="C2315" s="15"/>
      <c r="D2315" s="16"/>
      <c r="E2315" s="16"/>
      <c r="F2315" s="16"/>
      <c r="G2315" s="16"/>
      <c r="H2315" s="16"/>
      <c r="I2315" s="16"/>
      <c r="J2315" s="16"/>
      <c r="K2315" s="17"/>
      <c r="L2315" s="16"/>
      <c r="M2315" s="17"/>
      <c r="N2315" s="17"/>
      <c r="O2315" s="17"/>
    </row>
    <row r="2316" spans="1:15" ht="12.75" x14ac:dyDescent="0.2">
      <c r="A2316" s="15"/>
      <c r="B2316" s="15"/>
      <c r="C2316" s="15"/>
      <c r="D2316" s="16"/>
      <c r="E2316" s="16"/>
      <c r="F2316" s="16"/>
      <c r="G2316" s="16"/>
      <c r="H2316" s="16"/>
      <c r="I2316" s="16"/>
      <c r="J2316" s="16"/>
      <c r="K2316" s="17"/>
      <c r="L2316" s="16"/>
      <c r="M2316" s="17"/>
      <c r="N2316" s="17"/>
      <c r="O2316" s="17"/>
    </row>
    <row r="2317" spans="1:15" ht="12.75" x14ac:dyDescent="0.2">
      <c r="A2317" s="15"/>
      <c r="B2317" s="15"/>
      <c r="C2317" s="15"/>
      <c r="D2317" s="16"/>
      <c r="E2317" s="16"/>
      <c r="F2317" s="16"/>
      <c r="G2317" s="16"/>
      <c r="H2317" s="16"/>
      <c r="I2317" s="16"/>
      <c r="J2317" s="16"/>
      <c r="K2317" s="17"/>
      <c r="L2317" s="16"/>
      <c r="M2317" s="17"/>
      <c r="N2317" s="17"/>
      <c r="O2317" s="17"/>
    </row>
    <row r="2318" spans="1:15" ht="12.75" x14ac:dyDescent="0.2">
      <c r="A2318" s="15"/>
      <c r="B2318" s="15"/>
      <c r="C2318" s="15"/>
      <c r="D2318" s="16"/>
      <c r="E2318" s="16"/>
      <c r="F2318" s="16"/>
      <c r="G2318" s="16"/>
      <c r="H2318" s="16"/>
      <c r="I2318" s="16"/>
      <c r="J2318" s="16"/>
      <c r="K2318" s="17"/>
      <c r="L2318" s="16"/>
      <c r="M2318" s="17"/>
      <c r="N2318" s="17"/>
      <c r="O2318" s="17"/>
    </row>
    <row r="2319" spans="1:15" ht="12.75" x14ac:dyDescent="0.2">
      <c r="A2319" s="15"/>
      <c r="B2319" s="15"/>
      <c r="C2319" s="15"/>
      <c r="D2319" s="16"/>
      <c r="E2319" s="16"/>
      <c r="F2319" s="16"/>
      <c r="G2319" s="16"/>
      <c r="H2319" s="16"/>
      <c r="I2319" s="16"/>
      <c r="J2319" s="16"/>
      <c r="K2319" s="17"/>
      <c r="L2319" s="16"/>
      <c r="M2319" s="17"/>
      <c r="N2319" s="17"/>
      <c r="O2319" s="17"/>
    </row>
    <row r="2320" spans="1:15" ht="12.75" x14ac:dyDescent="0.2">
      <c r="A2320" s="15"/>
      <c r="B2320" s="15"/>
      <c r="C2320" s="15"/>
      <c r="D2320" s="16"/>
      <c r="E2320" s="16"/>
      <c r="F2320" s="16"/>
      <c r="G2320" s="16"/>
      <c r="H2320" s="16"/>
      <c r="I2320" s="16"/>
      <c r="J2320" s="16"/>
      <c r="K2320" s="17"/>
      <c r="L2320" s="16"/>
      <c r="M2320" s="17"/>
      <c r="N2320" s="17"/>
      <c r="O2320" s="17"/>
    </row>
    <row r="2321" spans="1:15" ht="12.75" x14ac:dyDescent="0.2">
      <c r="A2321" s="15"/>
      <c r="B2321" s="15"/>
      <c r="C2321" s="15"/>
      <c r="D2321" s="16"/>
      <c r="E2321" s="16"/>
      <c r="F2321" s="16"/>
      <c r="G2321" s="16"/>
      <c r="H2321" s="16"/>
      <c r="I2321" s="16"/>
      <c r="J2321" s="16"/>
      <c r="K2321" s="17"/>
      <c r="L2321" s="16"/>
      <c r="M2321" s="17"/>
      <c r="N2321" s="17"/>
      <c r="O2321" s="17"/>
    </row>
    <row r="2322" spans="1:15" ht="12.75" x14ac:dyDescent="0.2">
      <c r="A2322" s="15"/>
      <c r="B2322" s="15"/>
      <c r="C2322" s="15"/>
      <c r="D2322" s="16"/>
      <c r="E2322" s="16"/>
      <c r="F2322" s="16"/>
      <c r="G2322" s="16"/>
      <c r="H2322" s="16"/>
      <c r="I2322" s="16"/>
      <c r="J2322" s="16"/>
      <c r="K2322" s="17"/>
      <c r="L2322" s="16"/>
      <c r="M2322" s="17"/>
      <c r="N2322" s="17"/>
      <c r="O2322" s="17"/>
    </row>
    <row r="2323" spans="1:15" ht="12.75" x14ac:dyDescent="0.2">
      <c r="A2323" s="15"/>
      <c r="B2323" s="15"/>
      <c r="C2323" s="15"/>
      <c r="D2323" s="16"/>
      <c r="E2323" s="16"/>
      <c r="F2323" s="16"/>
      <c r="G2323" s="16"/>
      <c r="H2323" s="16"/>
      <c r="I2323" s="16"/>
      <c r="J2323" s="16"/>
      <c r="K2323" s="17"/>
      <c r="L2323" s="16"/>
      <c r="M2323" s="17"/>
      <c r="N2323" s="17"/>
      <c r="O2323" s="17"/>
    </row>
    <row r="2324" spans="1:15" ht="12.75" x14ac:dyDescent="0.2">
      <c r="A2324" s="15"/>
      <c r="B2324" s="15"/>
      <c r="C2324" s="15"/>
      <c r="D2324" s="16"/>
      <c r="E2324" s="16"/>
      <c r="F2324" s="16"/>
      <c r="G2324" s="16"/>
      <c r="H2324" s="16"/>
      <c r="I2324" s="16"/>
      <c r="J2324" s="16"/>
      <c r="K2324" s="17"/>
      <c r="L2324" s="16"/>
      <c r="M2324" s="17"/>
      <c r="N2324" s="17"/>
      <c r="O2324" s="17"/>
    </row>
    <row r="2325" spans="1:15" ht="12.75" x14ac:dyDescent="0.2">
      <c r="A2325" s="15"/>
      <c r="B2325" s="15"/>
      <c r="C2325" s="15"/>
      <c r="D2325" s="16"/>
      <c r="E2325" s="16"/>
      <c r="F2325" s="16"/>
      <c r="G2325" s="16"/>
      <c r="H2325" s="16"/>
      <c r="I2325" s="16"/>
      <c r="J2325" s="16"/>
      <c r="K2325" s="17"/>
      <c r="L2325" s="16"/>
      <c r="M2325" s="17"/>
      <c r="N2325" s="17"/>
      <c r="O2325" s="17"/>
    </row>
    <row r="2326" spans="1:15" ht="12.75" x14ac:dyDescent="0.2">
      <c r="A2326" s="15"/>
      <c r="B2326" s="15"/>
      <c r="C2326" s="15"/>
      <c r="D2326" s="16"/>
      <c r="E2326" s="16"/>
      <c r="F2326" s="16"/>
      <c r="G2326" s="16"/>
      <c r="H2326" s="16"/>
      <c r="I2326" s="16"/>
      <c r="J2326" s="16"/>
      <c r="K2326" s="17"/>
      <c r="L2326" s="16"/>
      <c r="M2326" s="17"/>
      <c r="N2326" s="17"/>
      <c r="O2326" s="17"/>
    </row>
    <row r="2327" spans="1:15" ht="12.75" x14ac:dyDescent="0.2">
      <c r="A2327" s="15"/>
      <c r="B2327" s="15"/>
      <c r="C2327" s="15"/>
      <c r="D2327" s="16"/>
      <c r="E2327" s="16"/>
      <c r="F2327" s="16"/>
      <c r="G2327" s="16"/>
      <c r="H2327" s="16"/>
      <c r="I2327" s="16"/>
      <c r="J2327" s="16"/>
      <c r="K2327" s="17"/>
      <c r="L2327" s="16"/>
      <c r="M2327" s="17"/>
      <c r="N2327" s="17"/>
      <c r="O2327" s="17"/>
    </row>
    <row r="2328" spans="1:15" ht="12.75" x14ac:dyDescent="0.2">
      <c r="A2328" s="15"/>
      <c r="B2328" s="15"/>
      <c r="C2328" s="15"/>
      <c r="D2328" s="16"/>
      <c r="E2328" s="16"/>
      <c r="F2328" s="16"/>
      <c r="G2328" s="16"/>
      <c r="H2328" s="16"/>
      <c r="I2328" s="16"/>
      <c r="J2328" s="16"/>
      <c r="K2328" s="17"/>
      <c r="L2328" s="16"/>
      <c r="M2328" s="17"/>
      <c r="N2328" s="17"/>
      <c r="O2328" s="17"/>
    </row>
    <row r="2329" spans="1:15" ht="12.75" x14ac:dyDescent="0.2">
      <c r="A2329" s="15"/>
      <c r="B2329" s="15"/>
      <c r="C2329" s="15"/>
      <c r="D2329" s="16"/>
      <c r="E2329" s="16"/>
      <c r="F2329" s="16"/>
      <c r="G2329" s="16"/>
      <c r="H2329" s="16"/>
      <c r="I2329" s="16"/>
      <c r="J2329" s="16"/>
      <c r="K2329" s="17"/>
      <c r="L2329" s="16"/>
      <c r="M2329" s="17"/>
      <c r="N2329" s="17"/>
      <c r="O2329" s="17"/>
    </row>
    <row r="2330" spans="1:15" ht="12.75" x14ac:dyDescent="0.2">
      <c r="A2330" s="15"/>
      <c r="B2330" s="15"/>
      <c r="C2330" s="15"/>
      <c r="D2330" s="16"/>
      <c r="E2330" s="16"/>
      <c r="F2330" s="16"/>
      <c r="G2330" s="16"/>
      <c r="H2330" s="16"/>
      <c r="I2330" s="16"/>
      <c r="J2330" s="16"/>
      <c r="K2330" s="17"/>
      <c r="L2330" s="16"/>
      <c r="M2330" s="17"/>
      <c r="N2330" s="17"/>
      <c r="O2330" s="17"/>
    </row>
    <row r="2331" spans="1:15" ht="12.75" x14ac:dyDescent="0.2">
      <c r="A2331" s="15"/>
      <c r="B2331" s="15"/>
      <c r="C2331" s="15"/>
      <c r="D2331" s="16"/>
      <c r="E2331" s="16"/>
      <c r="F2331" s="16"/>
      <c r="G2331" s="16"/>
      <c r="H2331" s="16"/>
      <c r="I2331" s="16"/>
      <c r="J2331" s="16"/>
      <c r="K2331" s="17"/>
      <c r="L2331" s="16"/>
      <c r="M2331" s="17"/>
      <c r="N2331" s="17"/>
      <c r="O2331" s="17"/>
    </row>
    <row r="2332" spans="1:15" ht="12.75" x14ac:dyDescent="0.2">
      <c r="A2332" s="15"/>
      <c r="B2332" s="15"/>
      <c r="C2332" s="15"/>
      <c r="D2332" s="16"/>
      <c r="E2332" s="16"/>
      <c r="F2332" s="16"/>
      <c r="G2332" s="16"/>
      <c r="H2332" s="16"/>
      <c r="I2332" s="16"/>
      <c r="J2332" s="16"/>
      <c r="K2332" s="17"/>
      <c r="L2332" s="16"/>
      <c r="M2332" s="17"/>
      <c r="N2332" s="17"/>
      <c r="O2332" s="17"/>
    </row>
    <row r="2333" spans="1:15" ht="12.75" x14ac:dyDescent="0.2">
      <c r="A2333" s="15"/>
      <c r="B2333" s="15"/>
      <c r="C2333" s="15"/>
      <c r="D2333" s="16"/>
      <c r="E2333" s="16"/>
      <c r="F2333" s="16"/>
      <c r="G2333" s="16"/>
      <c r="H2333" s="16"/>
      <c r="I2333" s="16"/>
      <c r="J2333" s="16"/>
      <c r="K2333" s="17"/>
      <c r="L2333" s="16"/>
      <c r="M2333" s="17"/>
      <c r="N2333" s="17"/>
      <c r="O2333" s="17"/>
    </row>
    <row r="2334" spans="1:15" ht="12.75" x14ac:dyDescent="0.2">
      <c r="A2334" s="15"/>
      <c r="B2334" s="15"/>
      <c r="C2334" s="15"/>
      <c r="D2334" s="16"/>
      <c r="E2334" s="16"/>
      <c r="F2334" s="16"/>
      <c r="G2334" s="16"/>
      <c r="H2334" s="16"/>
      <c r="I2334" s="16"/>
      <c r="J2334" s="16"/>
      <c r="K2334" s="17"/>
      <c r="L2334" s="16"/>
      <c r="M2334" s="17"/>
      <c r="N2334" s="17"/>
      <c r="O2334" s="17"/>
    </row>
    <row r="2335" spans="1:15" ht="12.75" x14ac:dyDescent="0.2">
      <c r="A2335" s="15"/>
      <c r="B2335" s="15"/>
      <c r="C2335" s="15"/>
      <c r="D2335" s="16"/>
      <c r="E2335" s="16"/>
      <c r="F2335" s="16"/>
      <c r="G2335" s="16"/>
      <c r="H2335" s="16"/>
      <c r="I2335" s="16"/>
      <c r="J2335" s="16"/>
      <c r="K2335" s="17"/>
      <c r="L2335" s="16"/>
      <c r="M2335" s="17"/>
      <c r="N2335" s="17"/>
      <c r="O2335" s="17"/>
    </row>
    <row r="2336" spans="1:15" ht="12.75" x14ac:dyDescent="0.2">
      <c r="A2336" s="15"/>
      <c r="B2336" s="15"/>
      <c r="C2336" s="15"/>
      <c r="D2336" s="16"/>
      <c r="E2336" s="16"/>
      <c r="F2336" s="16"/>
      <c r="G2336" s="16"/>
      <c r="H2336" s="16"/>
      <c r="I2336" s="16"/>
      <c r="J2336" s="16"/>
      <c r="K2336" s="17"/>
      <c r="L2336" s="16"/>
      <c r="M2336" s="17"/>
      <c r="N2336" s="17"/>
      <c r="O2336" s="17"/>
    </row>
    <row r="2337" spans="1:15" ht="12.75" x14ac:dyDescent="0.2">
      <c r="A2337" s="15"/>
      <c r="B2337" s="15"/>
      <c r="C2337" s="15"/>
      <c r="D2337" s="16"/>
      <c r="E2337" s="16"/>
      <c r="F2337" s="16"/>
      <c r="G2337" s="16"/>
      <c r="H2337" s="16"/>
      <c r="I2337" s="16"/>
      <c r="J2337" s="16"/>
      <c r="K2337" s="17"/>
      <c r="L2337" s="16"/>
      <c r="M2337" s="17"/>
      <c r="N2337" s="17"/>
      <c r="O2337" s="17"/>
    </row>
    <row r="2338" spans="1:15" ht="12.75" x14ac:dyDescent="0.2">
      <c r="A2338" s="15"/>
      <c r="B2338" s="15"/>
      <c r="C2338" s="15"/>
      <c r="D2338" s="16"/>
      <c r="E2338" s="16"/>
      <c r="F2338" s="16"/>
      <c r="G2338" s="16"/>
      <c r="H2338" s="16"/>
      <c r="I2338" s="16"/>
      <c r="J2338" s="16"/>
      <c r="K2338" s="17"/>
      <c r="L2338" s="16"/>
      <c r="M2338" s="17"/>
      <c r="N2338" s="17"/>
      <c r="O2338" s="17"/>
    </row>
    <row r="2339" spans="1:15" ht="12.75" x14ac:dyDescent="0.2">
      <c r="A2339" s="15"/>
      <c r="B2339" s="15"/>
      <c r="C2339" s="15"/>
      <c r="D2339" s="16"/>
      <c r="E2339" s="16"/>
      <c r="F2339" s="16"/>
      <c r="G2339" s="16"/>
      <c r="H2339" s="16"/>
      <c r="I2339" s="16"/>
      <c r="J2339" s="16"/>
      <c r="K2339" s="17"/>
      <c r="L2339" s="16"/>
      <c r="M2339" s="17"/>
      <c r="N2339" s="17"/>
      <c r="O2339" s="17"/>
    </row>
    <row r="2340" spans="1:15" ht="12.75" x14ac:dyDescent="0.2">
      <c r="A2340" s="15"/>
      <c r="B2340" s="15"/>
      <c r="C2340" s="15"/>
      <c r="D2340" s="16"/>
      <c r="E2340" s="16"/>
      <c r="F2340" s="16"/>
      <c r="G2340" s="16"/>
      <c r="H2340" s="16"/>
      <c r="I2340" s="16"/>
      <c r="J2340" s="16"/>
      <c r="K2340" s="17"/>
      <c r="L2340" s="16"/>
      <c r="M2340" s="17"/>
      <c r="N2340" s="17"/>
      <c r="O2340" s="17"/>
    </row>
    <row r="2341" spans="1:15" ht="12.75" x14ac:dyDescent="0.2">
      <c r="A2341" s="15"/>
      <c r="B2341" s="15"/>
      <c r="C2341" s="15"/>
      <c r="D2341" s="16"/>
      <c r="E2341" s="16"/>
      <c r="F2341" s="16"/>
      <c r="G2341" s="16"/>
      <c r="H2341" s="16"/>
      <c r="I2341" s="16"/>
      <c r="J2341" s="16"/>
      <c r="K2341" s="17"/>
      <c r="L2341" s="16"/>
      <c r="M2341" s="17"/>
      <c r="N2341" s="17"/>
      <c r="O2341" s="17"/>
    </row>
    <row r="2342" spans="1:15" ht="12.75" x14ac:dyDescent="0.2">
      <c r="A2342" s="15"/>
      <c r="B2342" s="15"/>
      <c r="C2342" s="15"/>
      <c r="D2342" s="16"/>
      <c r="E2342" s="16"/>
      <c r="F2342" s="16"/>
      <c r="G2342" s="16"/>
      <c r="H2342" s="16"/>
      <c r="I2342" s="16"/>
      <c r="J2342" s="16"/>
      <c r="K2342" s="17"/>
      <c r="L2342" s="16"/>
      <c r="M2342" s="17"/>
      <c r="N2342" s="17"/>
      <c r="O2342" s="17"/>
    </row>
    <row r="2343" spans="1:15" ht="12.75" x14ac:dyDescent="0.2">
      <c r="A2343" s="15"/>
      <c r="B2343" s="15"/>
      <c r="C2343" s="15"/>
      <c r="D2343" s="16"/>
      <c r="E2343" s="16"/>
      <c r="F2343" s="16"/>
      <c r="G2343" s="16"/>
      <c r="H2343" s="16"/>
      <c r="I2343" s="16"/>
      <c r="J2343" s="16"/>
      <c r="K2343" s="17"/>
      <c r="L2343" s="16"/>
      <c r="M2343" s="17"/>
      <c r="N2343" s="17"/>
      <c r="O2343" s="17"/>
    </row>
    <row r="2344" spans="1:15" ht="12.75" x14ac:dyDescent="0.2">
      <c r="A2344" s="15"/>
      <c r="B2344" s="15"/>
      <c r="C2344" s="15"/>
      <c r="D2344" s="16"/>
      <c r="E2344" s="16"/>
      <c r="F2344" s="16"/>
      <c r="G2344" s="16"/>
      <c r="H2344" s="16"/>
      <c r="I2344" s="16"/>
      <c r="J2344" s="16"/>
      <c r="K2344" s="17"/>
      <c r="L2344" s="16"/>
      <c r="M2344" s="17"/>
      <c r="N2344" s="17"/>
      <c r="O2344" s="17"/>
    </row>
    <row r="2345" spans="1:15" ht="12.75" x14ac:dyDescent="0.2">
      <c r="A2345" s="15"/>
      <c r="B2345" s="15"/>
      <c r="C2345" s="15"/>
      <c r="D2345" s="16"/>
      <c r="E2345" s="16"/>
      <c r="F2345" s="16"/>
      <c r="G2345" s="16"/>
      <c r="H2345" s="16"/>
      <c r="I2345" s="16"/>
      <c r="J2345" s="16"/>
      <c r="K2345" s="17"/>
      <c r="L2345" s="16"/>
      <c r="M2345" s="17"/>
      <c r="N2345" s="17"/>
      <c r="O2345" s="17"/>
    </row>
    <row r="2346" spans="1:15" ht="12.75" x14ac:dyDescent="0.2">
      <c r="A2346" s="15"/>
      <c r="B2346" s="15"/>
      <c r="C2346" s="15"/>
      <c r="D2346" s="16"/>
      <c r="E2346" s="16"/>
      <c r="F2346" s="16"/>
      <c r="G2346" s="16"/>
      <c r="H2346" s="16"/>
      <c r="I2346" s="16"/>
      <c r="J2346" s="16"/>
      <c r="K2346" s="17"/>
      <c r="L2346" s="16"/>
      <c r="M2346" s="17"/>
      <c r="N2346" s="17"/>
      <c r="O2346" s="17"/>
    </row>
    <row r="2347" spans="1:15" ht="12.75" x14ac:dyDescent="0.2">
      <c r="A2347" s="15"/>
      <c r="B2347" s="15"/>
      <c r="C2347" s="15"/>
      <c r="D2347" s="16"/>
      <c r="E2347" s="16"/>
      <c r="F2347" s="16"/>
      <c r="G2347" s="16"/>
      <c r="H2347" s="16"/>
      <c r="I2347" s="16"/>
      <c r="J2347" s="16"/>
      <c r="K2347" s="17"/>
      <c r="L2347" s="16"/>
      <c r="M2347" s="17"/>
      <c r="N2347" s="17"/>
      <c r="O2347" s="17"/>
    </row>
    <row r="2348" spans="1:15" ht="12.75" x14ac:dyDescent="0.2">
      <c r="A2348" s="15"/>
      <c r="B2348" s="15"/>
      <c r="C2348" s="15"/>
      <c r="D2348" s="16"/>
      <c r="E2348" s="16"/>
      <c r="F2348" s="16"/>
      <c r="G2348" s="16"/>
      <c r="H2348" s="16"/>
      <c r="I2348" s="16"/>
      <c r="J2348" s="16"/>
      <c r="K2348" s="17"/>
      <c r="L2348" s="16"/>
      <c r="M2348" s="17"/>
      <c r="N2348" s="17"/>
      <c r="O2348" s="17"/>
    </row>
    <row r="2349" spans="1:15" ht="12.75" x14ac:dyDescent="0.2">
      <c r="A2349" s="15"/>
      <c r="B2349" s="15"/>
      <c r="C2349" s="15"/>
      <c r="D2349" s="16"/>
      <c r="E2349" s="16"/>
      <c r="F2349" s="16"/>
      <c r="G2349" s="16"/>
      <c r="H2349" s="16"/>
      <c r="I2349" s="16"/>
      <c r="J2349" s="16"/>
      <c r="K2349" s="17"/>
      <c r="L2349" s="16"/>
      <c r="M2349" s="17"/>
      <c r="N2349" s="17"/>
      <c r="O2349" s="17"/>
    </row>
    <row r="2350" spans="1:15" ht="12.75" x14ac:dyDescent="0.2">
      <c r="A2350" s="15"/>
      <c r="B2350" s="15"/>
      <c r="C2350" s="15"/>
      <c r="D2350" s="16"/>
      <c r="E2350" s="16"/>
      <c r="F2350" s="16"/>
      <c r="G2350" s="16"/>
      <c r="H2350" s="16"/>
      <c r="I2350" s="16"/>
      <c r="J2350" s="16"/>
      <c r="K2350" s="17"/>
      <c r="L2350" s="16"/>
      <c r="M2350" s="17"/>
      <c r="N2350" s="17"/>
      <c r="O2350" s="17"/>
    </row>
    <row r="2351" spans="1:15" ht="12.75" x14ac:dyDescent="0.2">
      <c r="A2351" s="15"/>
      <c r="B2351" s="15"/>
      <c r="C2351" s="15"/>
      <c r="D2351" s="16"/>
      <c r="E2351" s="16"/>
      <c r="F2351" s="16"/>
      <c r="G2351" s="16"/>
      <c r="H2351" s="16"/>
      <c r="I2351" s="16"/>
      <c r="J2351" s="16"/>
      <c r="K2351" s="17"/>
      <c r="L2351" s="16"/>
      <c r="M2351" s="17"/>
      <c r="N2351" s="17"/>
      <c r="O2351" s="17"/>
    </row>
    <row r="2352" spans="1:15" ht="12.75" x14ac:dyDescent="0.2">
      <c r="A2352" s="15"/>
      <c r="B2352" s="15"/>
      <c r="C2352" s="15"/>
      <c r="D2352" s="16"/>
      <c r="E2352" s="16"/>
      <c r="F2352" s="16"/>
      <c r="G2352" s="16"/>
      <c r="H2352" s="16"/>
      <c r="I2352" s="16"/>
      <c r="J2352" s="16"/>
      <c r="K2352" s="17"/>
      <c r="L2352" s="16"/>
      <c r="M2352" s="17"/>
      <c r="N2352" s="17"/>
      <c r="O2352" s="17"/>
    </row>
    <row r="2353" spans="1:15" ht="12.75" x14ac:dyDescent="0.2">
      <c r="A2353" s="15"/>
      <c r="B2353" s="15"/>
      <c r="C2353" s="15"/>
      <c r="D2353" s="16"/>
      <c r="E2353" s="16"/>
      <c r="F2353" s="16"/>
      <c r="G2353" s="16"/>
      <c r="H2353" s="16"/>
      <c r="I2353" s="16"/>
      <c r="J2353" s="16"/>
      <c r="K2353" s="17"/>
      <c r="L2353" s="16"/>
      <c r="M2353" s="17"/>
      <c r="N2353" s="17"/>
      <c r="O2353" s="17"/>
    </row>
    <row r="2354" spans="1:15" ht="12.75" x14ac:dyDescent="0.2">
      <c r="A2354" s="15"/>
      <c r="B2354" s="15"/>
      <c r="C2354" s="15"/>
      <c r="D2354" s="16"/>
      <c r="E2354" s="16"/>
      <c r="F2354" s="16"/>
      <c r="G2354" s="16"/>
      <c r="H2354" s="16"/>
      <c r="I2354" s="16"/>
      <c r="J2354" s="16"/>
      <c r="K2354" s="17"/>
      <c r="L2354" s="16"/>
      <c r="M2354" s="17"/>
      <c r="N2354" s="17"/>
      <c r="O2354" s="17"/>
    </row>
    <row r="2355" spans="1:15" ht="12.75" x14ac:dyDescent="0.2">
      <c r="A2355" s="15"/>
      <c r="B2355" s="15"/>
      <c r="C2355" s="15"/>
      <c r="D2355" s="16"/>
      <c r="E2355" s="16"/>
      <c r="F2355" s="16"/>
      <c r="G2355" s="16"/>
      <c r="H2355" s="16"/>
      <c r="I2355" s="16"/>
      <c r="J2355" s="16"/>
      <c r="K2355" s="17"/>
      <c r="L2355" s="16"/>
      <c r="M2355" s="17"/>
      <c r="N2355" s="17"/>
      <c r="O2355" s="17"/>
    </row>
    <row r="2356" spans="1:15" ht="12.75" x14ac:dyDescent="0.2">
      <c r="A2356" s="15"/>
      <c r="B2356" s="15"/>
      <c r="C2356" s="15"/>
      <c r="D2356" s="16"/>
      <c r="E2356" s="16"/>
      <c r="F2356" s="16"/>
      <c r="G2356" s="16"/>
      <c r="H2356" s="16"/>
      <c r="I2356" s="16"/>
      <c r="J2356" s="16"/>
      <c r="K2356" s="17"/>
      <c r="L2356" s="16"/>
      <c r="M2356" s="17"/>
      <c r="N2356" s="17"/>
      <c r="O2356" s="17"/>
    </row>
    <row r="2357" spans="1:15" ht="12.75" x14ac:dyDescent="0.2">
      <c r="A2357" s="15"/>
      <c r="B2357" s="15"/>
      <c r="C2357" s="15"/>
      <c r="D2357" s="16"/>
      <c r="E2357" s="16"/>
      <c r="F2357" s="16"/>
      <c r="G2357" s="16"/>
      <c r="H2357" s="16"/>
      <c r="I2357" s="16"/>
      <c r="J2357" s="16"/>
      <c r="K2357" s="17"/>
      <c r="L2357" s="16"/>
      <c r="M2357" s="17"/>
      <c r="N2357" s="17"/>
      <c r="O2357" s="17"/>
    </row>
    <row r="2358" spans="1:15" ht="12.75" x14ac:dyDescent="0.2">
      <c r="A2358" s="15"/>
      <c r="B2358" s="15"/>
      <c r="C2358" s="15"/>
      <c r="D2358" s="16"/>
      <c r="E2358" s="16"/>
      <c r="F2358" s="16"/>
      <c r="G2358" s="16"/>
      <c r="H2358" s="16"/>
      <c r="I2358" s="16"/>
      <c r="J2358" s="16"/>
      <c r="K2358" s="17"/>
      <c r="L2358" s="16"/>
      <c r="M2358" s="17"/>
      <c r="N2358" s="17"/>
      <c r="O2358" s="17"/>
    </row>
    <row r="2359" spans="1:15" ht="12.75" x14ac:dyDescent="0.2">
      <c r="A2359" s="15"/>
      <c r="B2359" s="15"/>
      <c r="C2359" s="15"/>
      <c r="D2359" s="16"/>
      <c r="E2359" s="16"/>
      <c r="F2359" s="16"/>
      <c r="G2359" s="16"/>
      <c r="H2359" s="16"/>
      <c r="I2359" s="16"/>
      <c r="J2359" s="16"/>
      <c r="K2359" s="17"/>
      <c r="L2359" s="16"/>
      <c r="M2359" s="17"/>
      <c r="N2359" s="17"/>
      <c r="O2359" s="17"/>
    </row>
    <row r="2360" spans="1:15" ht="12.75" x14ac:dyDescent="0.2">
      <c r="A2360" s="15"/>
      <c r="B2360" s="15"/>
      <c r="C2360" s="15"/>
      <c r="D2360" s="16"/>
      <c r="E2360" s="16"/>
      <c r="F2360" s="16"/>
      <c r="G2360" s="16"/>
      <c r="H2360" s="16"/>
      <c r="I2360" s="16"/>
      <c r="J2360" s="16"/>
      <c r="K2360" s="17"/>
      <c r="L2360" s="16"/>
      <c r="M2360" s="17"/>
      <c r="N2360" s="17"/>
      <c r="O2360" s="17"/>
    </row>
    <row r="2361" spans="1:15" ht="12.75" x14ac:dyDescent="0.2">
      <c r="A2361" s="15"/>
      <c r="B2361" s="15"/>
      <c r="C2361" s="15"/>
      <c r="D2361" s="16"/>
      <c r="E2361" s="16"/>
      <c r="F2361" s="16"/>
      <c r="G2361" s="16"/>
      <c r="H2361" s="16"/>
      <c r="I2361" s="16"/>
      <c r="J2361" s="16"/>
      <c r="K2361" s="17"/>
      <c r="L2361" s="16"/>
      <c r="M2361" s="17"/>
      <c r="N2361" s="17"/>
      <c r="O2361" s="17"/>
    </row>
    <row r="2362" spans="1:15" ht="12.75" x14ac:dyDescent="0.2">
      <c r="A2362" s="15"/>
      <c r="B2362" s="15"/>
      <c r="C2362" s="15"/>
      <c r="D2362" s="16"/>
      <c r="E2362" s="16"/>
      <c r="F2362" s="16"/>
      <c r="G2362" s="16"/>
      <c r="H2362" s="16"/>
      <c r="I2362" s="16"/>
      <c r="J2362" s="16"/>
      <c r="K2362" s="17"/>
      <c r="L2362" s="16"/>
      <c r="M2362" s="17"/>
      <c r="N2362" s="17"/>
      <c r="O2362" s="17"/>
    </row>
    <row r="2363" spans="1:15" ht="12.75" x14ac:dyDescent="0.2">
      <c r="A2363" s="15"/>
      <c r="B2363" s="15"/>
      <c r="C2363" s="15"/>
      <c r="D2363" s="16"/>
      <c r="E2363" s="16"/>
      <c r="F2363" s="16"/>
      <c r="G2363" s="16"/>
      <c r="H2363" s="16"/>
      <c r="I2363" s="16"/>
      <c r="J2363" s="16"/>
      <c r="K2363" s="17"/>
      <c r="L2363" s="16"/>
      <c r="M2363" s="17"/>
      <c r="N2363" s="17"/>
      <c r="O2363" s="17"/>
    </row>
    <row r="2364" spans="1:15" ht="12.75" x14ac:dyDescent="0.2">
      <c r="A2364" s="15"/>
      <c r="B2364" s="15"/>
      <c r="C2364" s="15"/>
      <c r="D2364" s="16"/>
      <c r="E2364" s="16"/>
      <c r="F2364" s="16"/>
      <c r="G2364" s="16"/>
      <c r="H2364" s="16"/>
      <c r="I2364" s="16"/>
      <c r="J2364" s="16"/>
      <c r="K2364" s="17"/>
      <c r="L2364" s="16"/>
      <c r="M2364" s="17"/>
      <c r="N2364" s="17"/>
      <c r="O2364" s="17"/>
    </row>
    <row r="2365" spans="1:15" ht="12.75" x14ac:dyDescent="0.2">
      <c r="A2365" s="15"/>
      <c r="B2365" s="15"/>
      <c r="C2365" s="15"/>
      <c r="D2365" s="16"/>
      <c r="E2365" s="16"/>
      <c r="F2365" s="16"/>
      <c r="G2365" s="16"/>
      <c r="H2365" s="16"/>
      <c r="I2365" s="16"/>
      <c r="J2365" s="16"/>
      <c r="K2365" s="17"/>
      <c r="L2365" s="16"/>
      <c r="M2365" s="17"/>
      <c r="N2365" s="17"/>
      <c r="O2365" s="17"/>
    </row>
    <row r="2366" spans="1:15" ht="12.75" x14ac:dyDescent="0.2">
      <c r="A2366" s="15"/>
      <c r="B2366" s="15"/>
      <c r="C2366" s="15"/>
      <c r="D2366" s="16"/>
      <c r="E2366" s="16"/>
      <c r="F2366" s="16"/>
      <c r="G2366" s="16"/>
      <c r="H2366" s="16"/>
      <c r="I2366" s="16"/>
      <c r="J2366" s="16"/>
      <c r="K2366" s="17"/>
      <c r="L2366" s="16"/>
      <c r="M2366" s="17"/>
      <c r="N2366" s="17"/>
      <c r="O2366" s="17"/>
    </row>
    <row r="2367" spans="1:15" ht="12.75" x14ac:dyDescent="0.2">
      <c r="A2367" s="15"/>
      <c r="B2367" s="15"/>
      <c r="C2367" s="15"/>
      <c r="D2367" s="16"/>
      <c r="E2367" s="16"/>
      <c r="F2367" s="16"/>
      <c r="G2367" s="16"/>
      <c r="H2367" s="16"/>
      <c r="I2367" s="16"/>
      <c r="J2367" s="16"/>
      <c r="K2367" s="17"/>
      <c r="L2367" s="16"/>
      <c r="M2367" s="17"/>
      <c r="N2367" s="17"/>
      <c r="O2367" s="17"/>
    </row>
    <row r="2368" spans="1:15" ht="12.75" x14ac:dyDescent="0.2">
      <c r="A2368" s="15"/>
      <c r="B2368" s="15"/>
      <c r="C2368" s="15"/>
      <c r="D2368" s="16"/>
      <c r="E2368" s="16"/>
      <c r="F2368" s="16"/>
      <c r="G2368" s="16"/>
      <c r="H2368" s="16"/>
      <c r="I2368" s="16"/>
      <c r="J2368" s="16"/>
      <c r="K2368" s="17"/>
      <c r="L2368" s="16"/>
      <c r="M2368" s="17"/>
      <c r="N2368" s="17"/>
      <c r="O2368" s="17"/>
    </row>
    <row r="2369" spans="1:15" ht="12.75" x14ac:dyDescent="0.2">
      <c r="A2369" s="15"/>
      <c r="B2369" s="15"/>
      <c r="C2369" s="15"/>
      <c r="D2369" s="16"/>
      <c r="E2369" s="16"/>
      <c r="F2369" s="16"/>
      <c r="G2369" s="16"/>
      <c r="H2369" s="16"/>
      <c r="I2369" s="16"/>
      <c r="J2369" s="16"/>
      <c r="K2369" s="17"/>
      <c r="L2369" s="16"/>
      <c r="M2369" s="17"/>
      <c r="N2369" s="17"/>
      <c r="O2369" s="17"/>
    </row>
    <row r="2370" spans="1:15" ht="12.75" x14ac:dyDescent="0.2">
      <c r="A2370" s="15"/>
      <c r="B2370" s="15"/>
      <c r="C2370" s="15"/>
      <c r="D2370" s="16"/>
      <c r="E2370" s="16"/>
      <c r="F2370" s="16"/>
      <c r="G2370" s="16"/>
      <c r="H2370" s="16"/>
      <c r="I2370" s="16"/>
      <c r="J2370" s="16"/>
      <c r="K2370" s="17"/>
      <c r="L2370" s="16"/>
      <c r="M2370" s="17"/>
      <c r="N2370" s="17"/>
      <c r="O2370" s="17"/>
    </row>
    <row r="2371" spans="1:15" ht="12.75" x14ac:dyDescent="0.2">
      <c r="A2371" s="15"/>
      <c r="B2371" s="15"/>
      <c r="C2371" s="15"/>
      <c r="D2371" s="16"/>
      <c r="E2371" s="16"/>
      <c r="F2371" s="16"/>
      <c r="G2371" s="16"/>
      <c r="H2371" s="16"/>
      <c r="I2371" s="16"/>
      <c r="J2371" s="16"/>
      <c r="K2371" s="17"/>
      <c r="L2371" s="16"/>
      <c r="M2371" s="17"/>
      <c r="N2371" s="17"/>
      <c r="O2371" s="17"/>
    </row>
    <row r="2372" spans="1:15" ht="12.75" x14ac:dyDescent="0.2">
      <c r="A2372" s="15"/>
      <c r="B2372" s="15"/>
      <c r="C2372" s="15"/>
      <c r="D2372" s="16"/>
      <c r="E2372" s="16"/>
      <c r="F2372" s="16"/>
      <c r="G2372" s="16"/>
      <c r="H2372" s="16"/>
      <c r="I2372" s="16"/>
      <c r="J2372" s="16"/>
      <c r="K2372" s="17"/>
      <c r="L2372" s="16"/>
      <c r="M2372" s="17"/>
      <c r="N2372" s="17"/>
      <c r="O2372" s="17"/>
    </row>
    <row r="2373" spans="1:15" ht="12.75" x14ac:dyDescent="0.2">
      <c r="A2373" s="15"/>
      <c r="B2373" s="15"/>
      <c r="C2373" s="15"/>
      <c r="D2373" s="16"/>
      <c r="E2373" s="16"/>
      <c r="F2373" s="16"/>
      <c r="G2373" s="16"/>
      <c r="H2373" s="16"/>
      <c r="I2373" s="16"/>
      <c r="J2373" s="16"/>
      <c r="K2373" s="17"/>
      <c r="L2373" s="16"/>
      <c r="M2373" s="17"/>
      <c r="N2373" s="17"/>
      <c r="O2373" s="17"/>
    </row>
    <row r="2374" spans="1:15" ht="12.75" x14ac:dyDescent="0.2">
      <c r="A2374" s="15"/>
      <c r="B2374" s="15"/>
      <c r="C2374" s="15"/>
      <c r="D2374" s="16"/>
      <c r="E2374" s="16"/>
      <c r="F2374" s="16"/>
      <c r="G2374" s="16"/>
      <c r="H2374" s="16"/>
      <c r="I2374" s="16"/>
      <c r="J2374" s="16"/>
      <c r="K2374" s="17"/>
      <c r="L2374" s="16"/>
      <c r="M2374" s="17"/>
      <c r="N2374" s="17"/>
      <c r="O2374" s="17"/>
    </row>
    <row r="2375" spans="1:15" ht="12.75" x14ac:dyDescent="0.2">
      <c r="A2375" s="15"/>
      <c r="B2375" s="15"/>
      <c r="C2375" s="15"/>
      <c r="D2375" s="16"/>
      <c r="E2375" s="16"/>
      <c r="F2375" s="16"/>
      <c r="G2375" s="16"/>
      <c r="H2375" s="16"/>
      <c r="I2375" s="16"/>
      <c r="J2375" s="16"/>
      <c r="K2375" s="17"/>
      <c r="L2375" s="16"/>
      <c r="M2375" s="17"/>
      <c r="N2375" s="17"/>
      <c r="O2375" s="17"/>
    </row>
    <row r="2376" spans="1:15" ht="12.75" x14ac:dyDescent="0.2">
      <c r="A2376" s="15"/>
      <c r="B2376" s="15"/>
      <c r="C2376" s="15"/>
      <c r="D2376" s="16"/>
      <c r="E2376" s="16"/>
      <c r="F2376" s="16"/>
      <c r="G2376" s="16"/>
      <c r="H2376" s="16"/>
      <c r="I2376" s="16"/>
      <c r="J2376" s="16"/>
      <c r="K2376" s="17"/>
      <c r="L2376" s="16"/>
      <c r="M2376" s="17"/>
      <c r="N2376" s="17"/>
      <c r="O2376" s="17"/>
    </row>
    <row r="2377" spans="1:15" ht="12.75" x14ac:dyDescent="0.2">
      <c r="A2377" s="15"/>
      <c r="B2377" s="15"/>
      <c r="C2377" s="15"/>
      <c r="D2377" s="16"/>
      <c r="E2377" s="16"/>
      <c r="F2377" s="16"/>
      <c r="G2377" s="16"/>
      <c r="H2377" s="16"/>
      <c r="I2377" s="16"/>
      <c r="J2377" s="16"/>
      <c r="K2377" s="17"/>
      <c r="L2377" s="16"/>
      <c r="M2377" s="17"/>
      <c r="N2377" s="17"/>
      <c r="O2377" s="17"/>
    </row>
    <row r="2378" spans="1:15" ht="12.75" x14ac:dyDescent="0.2">
      <c r="A2378" s="15"/>
      <c r="B2378" s="15"/>
      <c r="C2378" s="15"/>
      <c r="D2378" s="16"/>
      <c r="E2378" s="16"/>
      <c r="F2378" s="16"/>
      <c r="G2378" s="16"/>
      <c r="H2378" s="16"/>
      <c r="I2378" s="16"/>
      <c r="J2378" s="16"/>
      <c r="K2378" s="17"/>
      <c r="L2378" s="16"/>
      <c r="M2378" s="17"/>
      <c r="N2378" s="17"/>
      <c r="O2378" s="17"/>
    </row>
    <row r="2379" spans="1:15" ht="12.75" x14ac:dyDescent="0.2">
      <c r="A2379" s="15"/>
      <c r="B2379" s="15"/>
      <c r="C2379" s="15"/>
      <c r="D2379" s="16"/>
      <c r="E2379" s="16"/>
      <c r="F2379" s="16"/>
      <c r="G2379" s="16"/>
      <c r="H2379" s="16"/>
      <c r="I2379" s="16"/>
      <c r="J2379" s="16"/>
      <c r="K2379" s="17"/>
      <c r="L2379" s="16"/>
      <c r="M2379" s="17"/>
      <c r="N2379" s="17"/>
      <c r="O2379" s="17"/>
    </row>
    <row r="2380" spans="1:15" ht="12.75" x14ac:dyDescent="0.2">
      <c r="A2380" s="15"/>
      <c r="B2380" s="15"/>
      <c r="C2380" s="15"/>
      <c r="D2380" s="16"/>
      <c r="E2380" s="16"/>
      <c r="F2380" s="16"/>
      <c r="G2380" s="16"/>
      <c r="H2380" s="16"/>
      <c r="I2380" s="16"/>
      <c r="J2380" s="16"/>
      <c r="K2380" s="17"/>
      <c r="L2380" s="16"/>
      <c r="M2380" s="17"/>
      <c r="N2380" s="17"/>
      <c r="O2380" s="17"/>
    </row>
    <row r="2381" spans="1:15" ht="12.75" x14ac:dyDescent="0.2">
      <c r="A2381" s="15"/>
      <c r="B2381" s="15"/>
      <c r="C2381" s="15"/>
      <c r="D2381" s="16"/>
      <c r="E2381" s="16"/>
      <c r="F2381" s="16"/>
      <c r="G2381" s="16"/>
      <c r="H2381" s="16"/>
      <c r="I2381" s="16"/>
      <c r="J2381" s="16"/>
      <c r="K2381" s="17"/>
      <c r="L2381" s="16"/>
      <c r="M2381" s="17"/>
      <c r="N2381" s="17"/>
      <c r="O2381" s="17"/>
    </row>
    <row r="2382" spans="1:15" ht="12.75" x14ac:dyDescent="0.2">
      <c r="A2382" s="15"/>
      <c r="B2382" s="15"/>
      <c r="C2382" s="15"/>
      <c r="D2382" s="16"/>
      <c r="E2382" s="16"/>
      <c r="F2382" s="16"/>
      <c r="G2382" s="16"/>
      <c r="H2382" s="16"/>
      <c r="I2382" s="16"/>
      <c r="J2382" s="16"/>
      <c r="K2382" s="17"/>
      <c r="L2382" s="16"/>
      <c r="M2382" s="17"/>
      <c r="N2382" s="17"/>
      <c r="O2382" s="17"/>
    </row>
    <row r="2383" spans="1:15" ht="12.75" x14ac:dyDescent="0.2">
      <c r="A2383" s="15"/>
      <c r="B2383" s="15"/>
      <c r="C2383" s="15"/>
      <c r="D2383" s="16"/>
      <c r="E2383" s="16"/>
      <c r="F2383" s="16"/>
      <c r="G2383" s="16"/>
      <c r="H2383" s="16"/>
      <c r="I2383" s="16"/>
      <c r="J2383" s="16"/>
      <c r="K2383" s="17"/>
      <c r="L2383" s="16"/>
      <c r="M2383" s="17"/>
      <c r="N2383" s="17"/>
      <c r="O2383" s="17"/>
    </row>
    <row r="2384" spans="1:15" ht="12.75" x14ac:dyDescent="0.2">
      <c r="A2384" s="15"/>
      <c r="B2384" s="15"/>
      <c r="C2384" s="15"/>
      <c r="D2384" s="16"/>
      <c r="E2384" s="16"/>
      <c r="F2384" s="16"/>
      <c r="G2384" s="16"/>
      <c r="H2384" s="16"/>
      <c r="I2384" s="16"/>
      <c r="J2384" s="16"/>
      <c r="K2384" s="17"/>
      <c r="L2384" s="16"/>
      <c r="M2384" s="17"/>
      <c r="N2384" s="17"/>
      <c r="O2384" s="17"/>
    </row>
    <row r="2385" spans="1:15" ht="12.75" x14ac:dyDescent="0.2">
      <c r="A2385" s="15"/>
      <c r="B2385" s="15"/>
      <c r="C2385" s="15"/>
      <c r="D2385" s="16"/>
      <c r="E2385" s="16"/>
      <c r="F2385" s="16"/>
      <c r="G2385" s="16"/>
      <c r="H2385" s="16"/>
      <c r="I2385" s="16"/>
      <c r="J2385" s="16"/>
      <c r="K2385" s="17"/>
      <c r="L2385" s="16"/>
      <c r="M2385" s="17"/>
      <c r="N2385" s="17"/>
      <c r="O2385" s="17"/>
    </row>
    <row r="2386" spans="1:15" ht="12.75" x14ac:dyDescent="0.2">
      <c r="A2386" s="15"/>
      <c r="B2386" s="15"/>
      <c r="C2386" s="15"/>
      <c r="D2386" s="16"/>
      <c r="E2386" s="16"/>
      <c r="F2386" s="16"/>
      <c r="G2386" s="16"/>
      <c r="H2386" s="16"/>
      <c r="I2386" s="16"/>
      <c r="J2386" s="16"/>
      <c r="K2386" s="17"/>
      <c r="L2386" s="16"/>
      <c r="M2386" s="17"/>
      <c r="N2386" s="17"/>
      <c r="O2386" s="17"/>
    </row>
    <row r="2387" spans="1:15" ht="12.75" x14ac:dyDescent="0.2">
      <c r="A2387" s="15"/>
      <c r="B2387" s="15"/>
      <c r="C2387" s="15"/>
      <c r="D2387" s="16"/>
      <c r="E2387" s="16"/>
      <c r="F2387" s="16"/>
      <c r="G2387" s="16"/>
      <c r="H2387" s="16"/>
      <c r="I2387" s="16"/>
      <c r="J2387" s="16"/>
      <c r="K2387" s="17"/>
      <c r="L2387" s="16"/>
      <c r="M2387" s="17"/>
      <c r="N2387" s="17"/>
      <c r="O2387" s="17"/>
    </row>
    <row r="2388" spans="1:15" ht="12.75" x14ac:dyDescent="0.2">
      <c r="A2388" s="15"/>
      <c r="B2388" s="15"/>
      <c r="C2388" s="15"/>
      <c r="D2388" s="16"/>
      <c r="E2388" s="16"/>
      <c r="F2388" s="16"/>
      <c r="G2388" s="16"/>
      <c r="H2388" s="16"/>
      <c r="I2388" s="16"/>
      <c r="J2388" s="16"/>
      <c r="K2388" s="17"/>
      <c r="L2388" s="16"/>
      <c r="M2388" s="17"/>
      <c r="N2388" s="17"/>
      <c r="O2388" s="17"/>
    </row>
    <row r="2389" spans="1:15" ht="12.75" x14ac:dyDescent="0.2">
      <c r="A2389" s="15"/>
      <c r="B2389" s="15"/>
      <c r="C2389" s="15"/>
      <c r="D2389" s="16"/>
      <c r="E2389" s="16"/>
      <c r="F2389" s="16"/>
      <c r="G2389" s="16"/>
      <c r="H2389" s="16"/>
      <c r="I2389" s="16"/>
      <c r="J2389" s="16"/>
      <c r="K2389" s="17"/>
      <c r="L2389" s="16"/>
      <c r="M2389" s="17"/>
      <c r="N2389" s="17"/>
      <c r="O2389" s="17"/>
    </row>
    <row r="2390" spans="1:15" ht="12.75" x14ac:dyDescent="0.2">
      <c r="A2390" s="15"/>
      <c r="B2390" s="15"/>
      <c r="C2390" s="15"/>
      <c r="D2390" s="16"/>
      <c r="E2390" s="16"/>
      <c r="F2390" s="16"/>
      <c r="G2390" s="16"/>
      <c r="H2390" s="16"/>
      <c r="I2390" s="16"/>
      <c r="J2390" s="16"/>
      <c r="K2390" s="17"/>
      <c r="L2390" s="16"/>
      <c r="M2390" s="17"/>
      <c r="N2390" s="17"/>
      <c r="O2390" s="17"/>
    </row>
    <row r="2391" spans="1:15" ht="12.75" x14ac:dyDescent="0.2">
      <c r="A2391" s="15"/>
      <c r="B2391" s="15"/>
      <c r="C2391" s="15"/>
      <c r="D2391" s="16"/>
      <c r="E2391" s="16"/>
      <c r="F2391" s="16"/>
      <c r="G2391" s="16"/>
      <c r="H2391" s="16"/>
      <c r="I2391" s="16"/>
      <c r="J2391" s="16"/>
      <c r="K2391" s="17"/>
      <c r="L2391" s="16"/>
      <c r="M2391" s="17"/>
      <c r="N2391" s="17"/>
      <c r="O2391" s="17"/>
    </row>
    <row r="2392" spans="1:15" ht="12.75" x14ac:dyDescent="0.2">
      <c r="A2392" s="15"/>
      <c r="B2392" s="15"/>
      <c r="C2392" s="15"/>
      <c r="D2392" s="16"/>
      <c r="E2392" s="16"/>
      <c r="F2392" s="16"/>
      <c r="G2392" s="16"/>
      <c r="H2392" s="16"/>
      <c r="I2392" s="16"/>
      <c r="J2392" s="16"/>
      <c r="K2392" s="17"/>
      <c r="L2392" s="16"/>
      <c r="M2392" s="17"/>
      <c r="N2392" s="17"/>
      <c r="O2392" s="17"/>
    </row>
    <row r="2393" spans="1:15" ht="12.75" x14ac:dyDescent="0.2">
      <c r="A2393" s="15"/>
      <c r="B2393" s="15"/>
      <c r="C2393" s="15"/>
      <c r="D2393" s="16"/>
      <c r="E2393" s="16"/>
      <c r="F2393" s="16"/>
      <c r="G2393" s="16"/>
      <c r="H2393" s="16"/>
      <c r="I2393" s="16"/>
      <c r="J2393" s="16"/>
      <c r="K2393" s="17"/>
      <c r="L2393" s="16"/>
      <c r="M2393" s="17"/>
      <c r="N2393" s="17"/>
      <c r="O2393" s="17"/>
    </row>
    <row r="2394" spans="1:15" ht="12.75" x14ac:dyDescent="0.2">
      <c r="A2394" s="15"/>
      <c r="B2394" s="15"/>
      <c r="C2394" s="15"/>
      <c r="D2394" s="16"/>
      <c r="E2394" s="16"/>
      <c r="F2394" s="16"/>
      <c r="G2394" s="16"/>
      <c r="H2394" s="16"/>
      <c r="I2394" s="16"/>
      <c r="J2394" s="16"/>
      <c r="K2394" s="17"/>
      <c r="L2394" s="16"/>
      <c r="M2394" s="17"/>
      <c r="N2394" s="17"/>
      <c r="O2394" s="17"/>
    </row>
    <row r="2395" spans="1:15" ht="12.75" x14ac:dyDescent="0.2">
      <c r="A2395" s="15"/>
      <c r="B2395" s="15"/>
      <c r="C2395" s="15"/>
      <c r="D2395" s="16"/>
      <c r="E2395" s="16"/>
      <c r="F2395" s="16"/>
      <c r="G2395" s="16"/>
      <c r="H2395" s="16"/>
      <c r="I2395" s="16"/>
      <c r="J2395" s="16"/>
      <c r="K2395" s="17"/>
      <c r="L2395" s="16"/>
      <c r="M2395" s="17"/>
      <c r="N2395" s="17"/>
      <c r="O2395" s="17"/>
    </row>
    <row r="2396" spans="1:15" ht="12.75" x14ac:dyDescent="0.2">
      <c r="A2396" s="15"/>
      <c r="B2396" s="15"/>
      <c r="C2396" s="15"/>
      <c r="D2396" s="16"/>
      <c r="E2396" s="16"/>
      <c r="F2396" s="16"/>
      <c r="G2396" s="16"/>
      <c r="H2396" s="16"/>
      <c r="I2396" s="16"/>
      <c r="J2396" s="16"/>
      <c r="K2396" s="17"/>
      <c r="L2396" s="16"/>
      <c r="M2396" s="17"/>
      <c r="N2396" s="17"/>
      <c r="O2396" s="17"/>
    </row>
    <row r="2397" spans="1:15" ht="12.75" x14ac:dyDescent="0.2">
      <c r="A2397" s="15"/>
      <c r="B2397" s="15"/>
      <c r="C2397" s="15"/>
      <c r="D2397" s="16"/>
      <c r="E2397" s="16"/>
      <c r="F2397" s="16"/>
      <c r="G2397" s="16"/>
      <c r="H2397" s="16"/>
      <c r="I2397" s="16"/>
      <c r="J2397" s="16"/>
      <c r="K2397" s="17"/>
      <c r="L2397" s="16"/>
      <c r="M2397" s="17"/>
      <c r="N2397" s="17"/>
      <c r="O2397" s="17"/>
    </row>
    <row r="2398" spans="1:15" ht="12.75" x14ac:dyDescent="0.2">
      <c r="A2398" s="15"/>
      <c r="B2398" s="15"/>
      <c r="C2398" s="15"/>
      <c r="D2398" s="16"/>
      <c r="E2398" s="16"/>
      <c r="F2398" s="16"/>
      <c r="G2398" s="16"/>
      <c r="H2398" s="16"/>
      <c r="I2398" s="16"/>
      <c r="J2398" s="16"/>
      <c r="K2398" s="17"/>
      <c r="L2398" s="16"/>
      <c r="M2398" s="17"/>
      <c r="N2398" s="17"/>
      <c r="O2398" s="17"/>
    </row>
    <row r="2399" spans="1:15" ht="12.75" x14ac:dyDescent="0.2">
      <c r="A2399" s="15"/>
      <c r="B2399" s="15"/>
      <c r="C2399" s="15"/>
      <c r="D2399" s="16"/>
      <c r="E2399" s="16"/>
      <c r="F2399" s="16"/>
      <c r="G2399" s="16"/>
      <c r="H2399" s="16"/>
      <c r="I2399" s="16"/>
      <c r="J2399" s="16"/>
      <c r="K2399" s="17"/>
      <c r="L2399" s="16"/>
      <c r="M2399" s="17"/>
      <c r="N2399" s="17"/>
      <c r="O2399" s="17"/>
    </row>
    <row r="2400" spans="1:15" ht="12.75" x14ac:dyDescent="0.2">
      <c r="A2400" s="15"/>
      <c r="B2400" s="15"/>
      <c r="C2400" s="15"/>
      <c r="D2400" s="16"/>
      <c r="E2400" s="16"/>
      <c r="F2400" s="16"/>
      <c r="G2400" s="16"/>
      <c r="H2400" s="16"/>
      <c r="I2400" s="16"/>
      <c r="J2400" s="16"/>
      <c r="K2400" s="17"/>
      <c r="L2400" s="16"/>
      <c r="M2400" s="17"/>
      <c r="N2400" s="17"/>
      <c r="O2400" s="17"/>
    </row>
    <row r="2401" spans="1:15" ht="12.75" x14ac:dyDescent="0.2">
      <c r="A2401" s="15"/>
      <c r="B2401" s="15"/>
      <c r="C2401" s="15"/>
      <c r="D2401" s="16"/>
      <c r="E2401" s="16"/>
      <c r="F2401" s="16"/>
      <c r="G2401" s="16"/>
      <c r="H2401" s="16"/>
      <c r="I2401" s="16"/>
      <c r="J2401" s="16"/>
      <c r="K2401" s="17"/>
      <c r="L2401" s="16"/>
      <c r="M2401" s="17"/>
      <c r="N2401" s="17"/>
      <c r="O2401" s="17"/>
    </row>
    <row r="2402" spans="1:15" ht="12.75" x14ac:dyDescent="0.2">
      <c r="A2402" s="15"/>
      <c r="B2402" s="15"/>
      <c r="C2402" s="15"/>
      <c r="D2402" s="16"/>
      <c r="E2402" s="16"/>
      <c r="F2402" s="16"/>
      <c r="G2402" s="16"/>
      <c r="H2402" s="16"/>
      <c r="I2402" s="16"/>
      <c r="J2402" s="16"/>
      <c r="K2402" s="17"/>
      <c r="L2402" s="16"/>
      <c r="M2402" s="17"/>
      <c r="N2402" s="17"/>
      <c r="O2402" s="17"/>
    </row>
    <row r="2403" spans="1:15" ht="12.75" x14ac:dyDescent="0.2">
      <c r="A2403" s="15"/>
      <c r="B2403" s="15"/>
      <c r="C2403" s="15"/>
      <c r="D2403" s="16"/>
      <c r="E2403" s="16"/>
      <c r="F2403" s="16"/>
      <c r="G2403" s="16"/>
      <c r="H2403" s="16"/>
      <c r="I2403" s="16"/>
      <c r="J2403" s="16"/>
      <c r="K2403" s="17"/>
      <c r="L2403" s="16"/>
      <c r="M2403" s="17"/>
      <c r="N2403" s="17"/>
      <c r="O2403" s="17"/>
    </row>
    <row r="2404" spans="1:15" ht="12.75" x14ac:dyDescent="0.2">
      <c r="A2404" s="15"/>
      <c r="B2404" s="15"/>
      <c r="C2404" s="15"/>
      <c r="D2404" s="16"/>
      <c r="E2404" s="16"/>
      <c r="F2404" s="16"/>
      <c r="G2404" s="16"/>
      <c r="H2404" s="16"/>
      <c r="I2404" s="16"/>
      <c r="J2404" s="16"/>
      <c r="K2404" s="17"/>
      <c r="L2404" s="16"/>
      <c r="M2404" s="17"/>
      <c r="N2404" s="17"/>
      <c r="O2404" s="17"/>
    </row>
    <row r="2405" spans="1:15" ht="12.75" x14ac:dyDescent="0.2">
      <c r="A2405" s="15"/>
      <c r="B2405" s="15"/>
      <c r="C2405" s="15"/>
      <c r="D2405" s="16"/>
      <c r="E2405" s="16"/>
      <c r="F2405" s="16"/>
      <c r="G2405" s="16"/>
      <c r="H2405" s="16"/>
      <c r="I2405" s="16"/>
      <c r="J2405" s="16"/>
      <c r="K2405" s="17"/>
      <c r="L2405" s="16"/>
      <c r="M2405" s="17"/>
      <c r="N2405" s="17"/>
      <c r="O2405" s="17"/>
    </row>
    <row r="2406" spans="1:15" ht="12.75" x14ac:dyDescent="0.2">
      <c r="A2406" s="15"/>
      <c r="B2406" s="15"/>
      <c r="C2406" s="15"/>
      <c r="D2406" s="16"/>
      <c r="E2406" s="16"/>
      <c r="F2406" s="16"/>
      <c r="G2406" s="16"/>
      <c r="H2406" s="16"/>
      <c r="I2406" s="16"/>
      <c r="J2406" s="16"/>
      <c r="K2406" s="17"/>
      <c r="L2406" s="16"/>
      <c r="M2406" s="17"/>
      <c r="N2406" s="17"/>
      <c r="O2406" s="17"/>
    </row>
    <row r="2407" spans="1:15" ht="12.75" x14ac:dyDescent="0.2">
      <c r="A2407" s="15"/>
      <c r="B2407" s="15"/>
      <c r="C2407" s="15"/>
      <c r="D2407" s="16"/>
      <c r="E2407" s="16"/>
      <c r="F2407" s="16"/>
      <c r="G2407" s="16"/>
      <c r="H2407" s="16"/>
      <c r="I2407" s="16"/>
      <c r="J2407" s="16"/>
      <c r="K2407" s="17"/>
      <c r="L2407" s="16"/>
      <c r="M2407" s="17"/>
      <c r="N2407" s="17"/>
      <c r="O2407" s="17"/>
    </row>
    <row r="2408" spans="1:15" ht="12.75" x14ac:dyDescent="0.2">
      <c r="A2408" s="15"/>
      <c r="B2408" s="15"/>
      <c r="C2408" s="15"/>
      <c r="D2408" s="16"/>
      <c r="E2408" s="16"/>
      <c r="F2408" s="16"/>
      <c r="G2408" s="16"/>
      <c r="H2408" s="16"/>
      <c r="I2408" s="16"/>
      <c r="J2408" s="16"/>
      <c r="K2408" s="17"/>
      <c r="L2408" s="16"/>
      <c r="M2408" s="17"/>
      <c r="N2408" s="17"/>
      <c r="O2408" s="17"/>
    </row>
    <row r="2409" spans="1:15" ht="12.75" x14ac:dyDescent="0.2">
      <c r="A2409" s="15"/>
      <c r="B2409" s="15"/>
      <c r="C2409" s="15"/>
      <c r="D2409" s="16"/>
      <c r="E2409" s="16"/>
      <c r="F2409" s="16"/>
      <c r="G2409" s="16"/>
      <c r="H2409" s="16"/>
      <c r="I2409" s="16"/>
      <c r="J2409" s="16"/>
      <c r="K2409" s="17"/>
      <c r="L2409" s="16"/>
      <c r="M2409" s="17"/>
      <c r="N2409" s="17"/>
      <c r="O2409" s="17"/>
    </row>
    <row r="2410" spans="1:15" ht="12.75" x14ac:dyDescent="0.2">
      <c r="A2410" s="15"/>
      <c r="B2410" s="15"/>
      <c r="C2410" s="15"/>
      <c r="D2410" s="16"/>
      <c r="E2410" s="16"/>
      <c r="F2410" s="16"/>
      <c r="G2410" s="16"/>
      <c r="H2410" s="16"/>
      <c r="I2410" s="16"/>
      <c r="J2410" s="16"/>
      <c r="K2410" s="17"/>
      <c r="L2410" s="16"/>
      <c r="M2410" s="17"/>
      <c r="N2410" s="17"/>
      <c r="O2410" s="17"/>
    </row>
    <row r="2411" spans="1:15" ht="12.75" x14ac:dyDescent="0.2">
      <c r="A2411" s="15"/>
      <c r="B2411" s="15"/>
      <c r="C2411" s="15"/>
      <c r="D2411" s="16"/>
      <c r="E2411" s="16"/>
      <c r="F2411" s="16"/>
      <c r="G2411" s="16"/>
      <c r="H2411" s="16"/>
      <c r="I2411" s="16"/>
      <c r="J2411" s="16"/>
      <c r="K2411" s="17"/>
      <c r="L2411" s="16"/>
      <c r="M2411" s="17"/>
      <c r="N2411" s="17"/>
      <c r="O2411" s="17"/>
    </row>
    <row r="2412" spans="1:15" ht="12.75" x14ac:dyDescent="0.2">
      <c r="A2412" s="15"/>
      <c r="B2412" s="15"/>
      <c r="C2412" s="15"/>
      <c r="D2412" s="16"/>
      <c r="E2412" s="16"/>
      <c r="F2412" s="16"/>
      <c r="G2412" s="16"/>
      <c r="H2412" s="16"/>
      <c r="I2412" s="16"/>
      <c r="J2412" s="16"/>
      <c r="K2412" s="17"/>
      <c r="L2412" s="16"/>
      <c r="M2412" s="17"/>
      <c r="N2412" s="17"/>
      <c r="O2412" s="17"/>
    </row>
    <row r="2413" spans="1:15" ht="12.75" x14ac:dyDescent="0.2">
      <c r="A2413" s="15"/>
      <c r="B2413" s="15"/>
      <c r="C2413" s="15"/>
      <c r="D2413" s="16"/>
      <c r="E2413" s="16"/>
      <c r="F2413" s="16"/>
      <c r="G2413" s="16"/>
      <c r="H2413" s="16"/>
      <c r="I2413" s="16"/>
      <c r="J2413" s="16"/>
      <c r="K2413" s="17"/>
      <c r="L2413" s="16"/>
      <c r="M2413" s="17"/>
      <c r="N2413" s="17"/>
      <c r="O2413" s="17"/>
    </row>
    <row r="2414" spans="1:15" ht="12.75" x14ac:dyDescent="0.2">
      <c r="A2414" s="15"/>
      <c r="B2414" s="15"/>
      <c r="C2414" s="15"/>
      <c r="D2414" s="16"/>
      <c r="E2414" s="16"/>
      <c r="F2414" s="16"/>
      <c r="G2414" s="16"/>
      <c r="H2414" s="16"/>
      <c r="I2414" s="16"/>
      <c r="J2414" s="16"/>
      <c r="K2414" s="17"/>
      <c r="L2414" s="16"/>
      <c r="M2414" s="17"/>
      <c r="N2414" s="17"/>
      <c r="O2414" s="17"/>
    </row>
    <row r="2415" spans="1:15" ht="12.75" x14ac:dyDescent="0.2">
      <c r="A2415" s="15"/>
      <c r="B2415" s="15"/>
      <c r="C2415" s="15"/>
      <c r="D2415" s="16"/>
      <c r="E2415" s="16"/>
      <c r="F2415" s="16"/>
      <c r="G2415" s="16"/>
      <c r="H2415" s="16"/>
      <c r="I2415" s="16"/>
      <c r="J2415" s="16"/>
      <c r="K2415" s="17"/>
      <c r="L2415" s="16"/>
      <c r="M2415" s="17"/>
      <c r="N2415" s="17"/>
      <c r="O2415" s="17"/>
    </row>
    <row r="2416" spans="1:15" ht="12.75" x14ac:dyDescent="0.2">
      <c r="A2416" s="15"/>
      <c r="B2416" s="15"/>
      <c r="C2416" s="15"/>
      <c r="D2416" s="16"/>
      <c r="E2416" s="16"/>
      <c r="F2416" s="16"/>
      <c r="G2416" s="16"/>
      <c r="H2416" s="16"/>
      <c r="I2416" s="16"/>
      <c r="J2416" s="16"/>
      <c r="K2416" s="17"/>
      <c r="L2416" s="16"/>
      <c r="M2416" s="17"/>
      <c r="N2416" s="17"/>
      <c r="O2416" s="17"/>
    </row>
    <row r="2417" spans="1:15" ht="12.75" x14ac:dyDescent="0.2">
      <c r="A2417" s="15"/>
      <c r="B2417" s="15"/>
      <c r="C2417" s="15"/>
      <c r="D2417" s="16"/>
      <c r="E2417" s="16"/>
      <c r="F2417" s="16"/>
      <c r="G2417" s="16"/>
      <c r="H2417" s="16"/>
      <c r="I2417" s="16"/>
      <c r="J2417" s="16"/>
      <c r="K2417" s="17"/>
      <c r="L2417" s="16"/>
      <c r="M2417" s="17"/>
      <c r="N2417" s="17"/>
      <c r="O2417" s="17"/>
    </row>
    <row r="2418" spans="1:15" ht="12.75" x14ac:dyDescent="0.2">
      <c r="A2418" s="15"/>
      <c r="B2418" s="15"/>
      <c r="C2418" s="15"/>
      <c r="D2418" s="16"/>
      <c r="E2418" s="16"/>
      <c r="F2418" s="16"/>
      <c r="G2418" s="16"/>
      <c r="H2418" s="16"/>
      <c r="I2418" s="16"/>
      <c r="J2418" s="16"/>
      <c r="K2418" s="17"/>
      <c r="L2418" s="16"/>
      <c r="M2418" s="17"/>
      <c r="N2418" s="17"/>
      <c r="O2418" s="17"/>
    </row>
    <row r="2419" spans="1:15" ht="12.75" x14ac:dyDescent="0.2">
      <c r="A2419" s="15"/>
      <c r="B2419" s="15"/>
      <c r="C2419" s="15"/>
      <c r="D2419" s="16"/>
      <c r="E2419" s="16"/>
      <c r="F2419" s="16"/>
      <c r="G2419" s="16"/>
      <c r="H2419" s="16"/>
      <c r="I2419" s="16"/>
      <c r="J2419" s="16"/>
      <c r="K2419" s="17"/>
      <c r="L2419" s="16"/>
      <c r="M2419" s="17"/>
      <c r="N2419" s="17"/>
      <c r="O2419" s="17"/>
    </row>
    <row r="2420" spans="1:15" ht="12.75" x14ac:dyDescent="0.2">
      <c r="A2420" s="15"/>
      <c r="B2420" s="15"/>
      <c r="C2420" s="15"/>
      <c r="D2420" s="16"/>
      <c r="E2420" s="16"/>
      <c r="F2420" s="16"/>
      <c r="G2420" s="16"/>
      <c r="H2420" s="16"/>
      <c r="I2420" s="16"/>
      <c r="J2420" s="16"/>
      <c r="K2420" s="17"/>
      <c r="L2420" s="16"/>
      <c r="M2420" s="17"/>
      <c r="N2420" s="17"/>
      <c r="O2420" s="17"/>
    </row>
    <row r="2421" spans="1:15" ht="12.75" x14ac:dyDescent="0.2">
      <c r="A2421" s="15"/>
      <c r="B2421" s="15"/>
      <c r="C2421" s="15"/>
      <c r="D2421" s="16"/>
      <c r="E2421" s="16"/>
      <c r="F2421" s="16"/>
      <c r="G2421" s="16"/>
      <c r="H2421" s="16"/>
      <c r="I2421" s="16"/>
      <c r="J2421" s="16"/>
      <c r="K2421" s="17"/>
      <c r="L2421" s="16"/>
      <c r="M2421" s="17"/>
      <c r="N2421" s="17"/>
      <c r="O2421" s="17"/>
    </row>
    <row r="2422" spans="1:15" ht="12.75" x14ac:dyDescent="0.2">
      <c r="A2422" s="15"/>
      <c r="B2422" s="15"/>
      <c r="C2422" s="15"/>
      <c r="D2422" s="16"/>
      <c r="E2422" s="16"/>
      <c r="F2422" s="16"/>
      <c r="G2422" s="16"/>
      <c r="H2422" s="16"/>
      <c r="I2422" s="16"/>
      <c r="J2422" s="16"/>
      <c r="K2422" s="17"/>
      <c r="L2422" s="16"/>
      <c r="M2422" s="17"/>
      <c r="N2422" s="17"/>
      <c r="O2422" s="17"/>
    </row>
    <row r="2423" spans="1:15" ht="12.75" x14ac:dyDescent="0.2">
      <c r="A2423" s="15"/>
      <c r="B2423" s="15"/>
      <c r="C2423" s="15"/>
      <c r="D2423" s="16"/>
      <c r="E2423" s="16"/>
      <c r="F2423" s="16"/>
      <c r="G2423" s="16"/>
      <c r="H2423" s="16"/>
      <c r="I2423" s="16"/>
      <c r="J2423" s="16"/>
      <c r="K2423" s="17"/>
      <c r="L2423" s="16"/>
      <c r="M2423" s="17"/>
      <c r="N2423" s="17"/>
      <c r="O2423" s="17"/>
    </row>
    <row r="2424" spans="1:15" ht="12.75" x14ac:dyDescent="0.2">
      <c r="A2424" s="15"/>
      <c r="B2424" s="15"/>
      <c r="C2424" s="15"/>
      <c r="D2424" s="16"/>
      <c r="E2424" s="16"/>
      <c r="F2424" s="16"/>
      <c r="G2424" s="16"/>
      <c r="H2424" s="16"/>
      <c r="I2424" s="16"/>
      <c r="J2424" s="16"/>
      <c r="K2424" s="17"/>
      <c r="L2424" s="16"/>
      <c r="M2424" s="17"/>
      <c r="N2424" s="17"/>
      <c r="O2424" s="17"/>
    </row>
    <row r="2425" spans="1:15" ht="12.75" x14ac:dyDescent="0.2">
      <c r="A2425" s="15"/>
      <c r="B2425" s="15"/>
      <c r="C2425" s="15"/>
      <c r="D2425" s="16"/>
      <c r="E2425" s="16"/>
      <c r="F2425" s="16"/>
      <c r="G2425" s="16"/>
      <c r="H2425" s="16"/>
      <c r="I2425" s="16"/>
      <c r="J2425" s="16"/>
      <c r="K2425" s="17"/>
      <c r="L2425" s="16"/>
      <c r="M2425" s="17"/>
      <c r="N2425" s="17"/>
      <c r="O2425" s="17"/>
    </row>
    <row r="2426" spans="1:15" ht="12.75" x14ac:dyDescent="0.2">
      <c r="A2426" s="15"/>
      <c r="B2426" s="15"/>
      <c r="C2426" s="15"/>
      <c r="D2426" s="16"/>
      <c r="E2426" s="16"/>
      <c r="F2426" s="16"/>
      <c r="G2426" s="16"/>
      <c r="H2426" s="16"/>
      <c r="I2426" s="16"/>
      <c r="J2426" s="16"/>
      <c r="K2426" s="17"/>
      <c r="L2426" s="16"/>
      <c r="M2426" s="17"/>
      <c r="N2426" s="17"/>
      <c r="O2426" s="17"/>
    </row>
    <row r="2427" spans="1:15" ht="12.75" x14ac:dyDescent="0.2">
      <c r="A2427" s="15"/>
      <c r="B2427" s="15"/>
      <c r="C2427" s="15"/>
      <c r="D2427" s="16"/>
      <c r="E2427" s="16"/>
      <c r="F2427" s="16"/>
      <c r="G2427" s="16"/>
      <c r="H2427" s="16"/>
      <c r="I2427" s="16"/>
      <c r="J2427" s="16"/>
      <c r="K2427" s="17"/>
      <c r="L2427" s="16"/>
      <c r="M2427" s="17"/>
      <c r="N2427" s="17"/>
      <c r="O2427" s="17"/>
    </row>
    <row r="2428" spans="1:15" ht="12.75" x14ac:dyDescent="0.2">
      <c r="A2428" s="15"/>
      <c r="B2428" s="15"/>
      <c r="C2428" s="15"/>
      <c r="D2428" s="16"/>
      <c r="E2428" s="16"/>
      <c r="F2428" s="16"/>
      <c r="G2428" s="16"/>
      <c r="H2428" s="16"/>
      <c r="I2428" s="16"/>
      <c r="J2428" s="16"/>
      <c r="K2428" s="17"/>
      <c r="L2428" s="16"/>
      <c r="M2428" s="17"/>
      <c r="N2428" s="17"/>
      <c r="O2428" s="17"/>
    </row>
    <row r="2429" spans="1:15" ht="12.75" x14ac:dyDescent="0.2">
      <c r="A2429" s="15"/>
      <c r="B2429" s="15"/>
      <c r="C2429" s="15"/>
      <c r="D2429" s="16"/>
      <c r="E2429" s="16"/>
      <c r="F2429" s="16"/>
      <c r="G2429" s="16"/>
      <c r="H2429" s="16"/>
      <c r="I2429" s="16"/>
      <c r="J2429" s="16"/>
      <c r="K2429" s="17"/>
      <c r="L2429" s="16"/>
      <c r="M2429" s="17"/>
      <c r="N2429" s="17"/>
      <c r="O2429" s="17"/>
    </row>
    <row r="2430" spans="1:15" ht="12.75" x14ac:dyDescent="0.2">
      <c r="A2430" s="15"/>
      <c r="B2430" s="15"/>
      <c r="C2430" s="15"/>
      <c r="D2430" s="16"/>
      <c r="E2430" s="16"/>
      <c r="F2430" s="16"/>
      <c r="G2430" s="16"/>
      <c r="H2430" s="16"/>
      <c r="I2430" s="16"/>
      <c r="J2430" s="16"/>
      <c r="K2430" s="17"/>
      <c r="L2430" s="16"/>
      <c r="M2430" s="17"/>
      <c r="N2430" s="17"/>
      <c r="O2430" s="17"/>
    </row>
    <row r="2431" spans="1:15" ht="12.75" x14ac:dyDescent="0.2">
      <c r="A2431" s="15"/>
      <c r="B2431" s="15"/>
      <c r="C2431" s="15"/>
      <c r="D2431" s="16"/>
      <c r="E2431" s="16"/>
      <c r="F2431" s="16"/>
      <c r="G2431" s="16"/>
      <c r="H2431" s="16"/>
      <c r="I2431" s="16"/>
      <c r="J2431" s="16"/>
      <c r="K2431" s="17"/>
      <c r="L2431" s="16"/>
      <c r="M2431" s="17"/>
      <c r="N2431" s="17"/>
      <c r="O2431" s="17"/>
    </row>
    <row r="2432" spans="1:15" ht="12.75" x14ac:dyDescent="0.2">
      <c r="A2432" s="15"/>
      <c r="B2432" s="15"/>
      <c r="C2432" s="15"/>
      <c r="D2432" s="16"/>
      <c r="E2432" s="16"/>
      <c r="F2432" s="16"/>
      <c r="G2432" s="16"/>
      <c r="H2432" s="16"/>
      <c r="I2432" s="16"/>
      <c r="J2432" s="16"/>
      <c r="K2432" s="17"/>
      <c r="L2432" s="16"/>
      <c r="M2432" s="17"/>
      <c r="N2432" s="17"/>
      <c r="O2432" s="17"/>
    </row>
    <row r="2433" spans="1:15" ht="12.75" x14ac:dyDescent="0.2">
      <c r="A2433" s="15"/>
      <c r="B2433" s="15"/>
      <c r="C2433" s="15"/>
      <c r="D2433" s="16"/>
      <c r="E2433" s="16"/>
      <c r="F2433" s="16"/>
      <c r="G2433" s="16"/>
      <c r="H2433" s="16"/>
      <c r="I2433" s="16"/>
      <c r="J2433" s="16"/>
      <c r="K2433" s="17"/>
      <c r="L2433" s="16"/>
      <c r="M2433" s="17"/>
      <c r="N2433" s="17"/>
      <c r="O2433" s="17"/>
    </row>
    <row r="2434" spans="1:15" ht="12.75" x14ac:dyDescent="0.2">
      <c r="A2434" s="15"/>
      <c r="B2434" s="15"/>
      <c r="C2434" s="15"/>
      <c r="D2434" s="16"/>
      <c r="E2434" s="16"/>
      <c r="F2434" s="16"/>
      <c r="G2434" s="16"/>
      <c r="H2434" s="16"/>
      <c r="I2434" s="16"/>
      <c r="J2434" s="16"/>
      <c r="K2434" s="17"/>
      <c r="L2434" s="16"/>
      <c r="M2434" s="17"/>
      <c r="N2434" s="17"/>
      <c r="O2434" s="17"/>
    </row>
    <row r="2435" spans="1:15" ht="12.75" x14ac:dyDescent="0.2">
      <c r="A2435" s="15"/>
      <c r="B2435" s="15"/>
      <c r="C2435" s="15"/>
      <c r="D2435" s="16"/>
      <c r="E2435" s="16"/>
      <c r="F2435" s="16"/>
      <c r="G2435" s="16"/>
      <c r="H2435" s="16"/>
      <c r="I2435" s="16"/>
      <c r="J2435" s="16"/>
      <c r="K2435" s="17"/>
      <c r="L2435" s="16"/>
      <c r="M2435" s="17"/>
      <c r="N2435" s="17"/>
      <c r="O2435" s="17"/>
    </row>
    <row r="2436" spans="1:15" ht="12.75" x14ac:dyDescent="0.2">
      <c r="A2436" s="15"/>
      <c r="B2436" s="15"/>
      <c r="C2436" s="15"/>
      <c r="D2436" s="16"/>
      <c r="E2436" s="16"/>
      <c r="F2436" s="16"/>
      <c r="G2436" s="16"/>
      <c r="H2436" s="16"/>
      <c r="I2436" s="16"/>
      <c r="J2436" s="16"/>
      <c r="K2436" s="17"/>
      <c r="L2436" s="16"/>
      <c r="M2436" s="17"/>
      <c r="N2436" s="17"/>
      <c r="O2436" s="17"/>
    </row>
    <row r="2437" spans="1:15" ht="12.75" x14ac:dyDescent="0.2">
      <c r="A2437" s="15"/>
      <c r="B2437" s="15"/>
      <c r="C2437" s="15"/>
      <c r="D2437" s="16"/>
      <c r="E2437" s="16"/>
      <c r="F2437" s="16"/>
      <c r="G2437" s="16"/>
      <c r="H2437" s="16"/>
      <c r="I2437" s="16"/>
      <c r="J2437" s="16"/>
      <c r="K2437" s="17"/>
      <c r="L2437" s="16"/>
      <c r="M2437" s="17"/>
      <c r="N2437" s="17"/>
      <c r="O2437" s="17"/>
    </row>
    <row r="2438" spans="1:15" ht="12.75" x14ac:dyDescent="0.2">
      <c r="A2438" s="15"/>
      <c r="B2438" s="15"/>
      <c r="C2438" s="15"/>
      <c r="D2438" s="16"/>
      <c r="E2438" s="16"/>
      <c r="F2438" s="16"/>
      <c r="G2438" s="16"/>
      <c r="H2438" s="16"/>
      <c r="I2438" s="16"/>
      <c r="J2438" s="16"/>
      <c r="K2438" s="17"/>
      <c r="L2438" s="16"/>
      <c r="M2438" s="17"/>
      <c r="N2438" s="17"/>
      <c r="O2438" s="17"/>
    </row>
    <row r="2439" spans="1:15" ht="12.75" x14ac:dyDescent="0.2">
      <c r="A2439" s="15"/>
      <c r="B2439" s="15"/>
      <c r="C2439" s="15"/>
      <c r="D2439" s="16"/>
      <c r="E2439" s="16"/>
      <c r="F2439" s="16"/>
      <c r="G2439" s="16"/>
      <c r="H2439" s="16"/>
      <c r="I2439" s="16"/>
      <c r="J2439" s="16"/>
      <c r="K2439" s="17"/>
      <c r="L2439" s="16"/>
      <c r="M2439" s="17"/>
      <c r="N2439" s="17"/>
      <c r="O2439" s="17"/>
    </row>
    <row r="2440" spans="1:15" ht="12.75" x14ac:dyDescent="0.2">
      <c r="A2440" s="15"/>
      <c r="B2440" s="15"/>
      <c r="C2440" s="15"/>
      <c r="D2440" s="16"/>
      <c r="E2440" s="16"/>
      <c r="F2440" s="16"/>
      <c r="G2440" s="16"/>
      <c r="H2440" s="16"/>
      <c r="I2440" s="16"/>
      <c r="J2440" s="16"/>
      <c r="K2440" s="17"/>
      <c r="L2440" s="16"/>
      <c r="M2440" s="17"/>
      <c r="N2440" s="17"/>
      <c r="O2440" s="17"/>
    </row>
    <row r="2441" spans="1:15" ht="12.75" x14ac:dyDescent="0.2">
      <c r="A2441" s="15"/>
      <c r="B2441" s="15"/>
      <c r="C2441" s="15"/>
      <c r="D2441" s="16"/>
      <c r="E2441" s="16"/>
      <c r="F2441" s="16"/>
      <c r="G2441" s="16"/>
      <c r="H2441" s="16"/>
      <c r="I2441" s="16"/>
      <c r="J2441" s="16"/>
      <c r="K2441" s="17"/>
      <c r="L2441" s="16"/>
      <c r="M2441" s="17"/>
      <c r="N2441" s="17"/>
      <c r="O2441" s="17"/>
    </row>
    <row r="2442" spans="1:15" ht="12.75" x14ac:dyDescent="0.2">
      <c r="A2442" s="15"/>
      <c r="B2442" s="15"/>
      <c r="C2442" s="15"/>
      <c r="D2442" s="16"/>
      <c r="E2442" s="16"/>
      <c r="F2442" s="16"/>
      <c r="G2442" s="16"/>
      <c r="H2442" s="16"/>
      <c r="I2442" s="16"/>
      <c r="J2442" s="16"/>
      <c r="K2442" s="17"/>
      <c r="L2442" s="16"/>
      <c r="M2442" s="17"/>
      <c r="N2442" s="17"/>
      <c r="O2442" s="17"/>
    </row>
    <row r="2443" spans="1:15" ht="12.75" x14ac:dyDescent="0.2">
      <c r="A2443" s="15"/>
      <c r="B2443" s="15"/>
      <c r="C2443" s="15"/>
      <c r="D2443" s="16"/>
      <c r="E2443" s="16"/>
      <c r="F2443" s="16"/>
      <c r="G2443" s="16"/>
      <c r="H2443" s="16"/>
      <c r="I2443" s="16"/>
      <c r="J2443" s="16"/>
      <c r="K2443" s="17"/>
      <c r="L2443" s="16"/>
      <c r="M2443" s="17"/>
      <c r="N2443" s="17"/>
      <c r="O2443" s="17"/>
    </row>
    <row r="2444" spans="1:15" ht="12.75" x14ac:dyDescent="0.2">
      <c r="A2444" s="15"/>
      <c r="B2444" s="15"/>
      <c r="C2444" s="15"/>
      <c r="D2444" s="16"/>
      <c r="E2444" s="16"/>
      <c r="F2444" s="16"/>
      <c r="G2444" s="16"/>
      <c r="H2444" s="16"/>
      <c r="I2444" s="16"/>
      <c r="J2444" s="16"/>
      <c r="K2444" s="17"/>
      <c r="L2444" s="16"/>
      <c r="M2444" s="17"/>
      <c r="N2444" s="17"/>
      <c r="O2444" s="17"/>
    </row>
    <row r="2445" spans="1:15" ht="12.75" x14ac:dyDescent="0.2">
      <c r="A2445" s="15"/>
      <c r="B2445" s="15"/>
      <c r="C2445" s="15"/>
      <c r="D2445" s="16"/>
      <c r="E2445" s="16"/>
      <c r="F2445" s="16"/>
      <c r="G2445" s="16"/>
      <c r="H2445" s="16"/>
      <c r="I2445" s="16"/>
      <c r="J2445" s="16"/>
      <c r="K2445" s="17"/>
      <c r="L2445" s="16"/>
      <c r="M2445" s="17"/>
      <c r="N2445" s="17"/>
      <c r="O2445" s="17"/>
    </row>
    <row r="2446" spans="1:15" ht="12.75" x14ac:dyDescent="0.2">
      <c r="A2446" s="15"/>
      <c r="B2446" s="15"/>
      <c r="C2446" s="15"/>
      <c r="D2446" s="16"/>
      <c r="E2446" s="16"/>
      <c r="F2446" s="16"/>
      <c r="G2446" s="16"/>
      <c r="H2446" s="16"/>
      <c r="I2446" s="16"/>
      <c r="J2446" s="16"/>
      <c r="K2446" s="17"/>
      <c r="L2446" s="16"/>
      <c r="M2446" s="17"/>
      <c r="N2446" s="17"/>
      <c r="O2446" s="17"/>
    </row>
    <row r="2447" spans="1:15" ht="12.75" x14ac:dyDescent="0.2">
      <c r="A2447" s="15"/>
      <c r="B2447" s="15"/>
      <c r="C2447" s="15"/>
      <c r="D2447" s="16"/>
      <c r="E2447" s="16"/>
      <c r="F2447" s="16"/>
      <c r="G2447" s="16"/>
      <c r="H2447" s="16"/>
      <c r="I2447" s="16"/>
      <c r="J2447" s="16"/>
      <c r="K2447" s="17"/>
      <c r="L2447" s="16"/>
      <c r="M2447" s="17"/>
      <c r="N2447" s="17"/>
      <c r="O2447" s="17"/>
    </row>
    <row r="2448" spans="1:15" ht="12.75" x14ac:dyDescent="0.2">
      <c r="A2448" s="15"/>
      <c r="B2448" s="15"/>
      <c r="C2448" s="15"/>
      <c r="D2448" s="16"/>
      <c r="E2448" s="16"/>
      <c r="F2448" s="16"/>
      <c r="G2448" s="16"/>
      <c r="H2448" s="16"/>
      <c r="I2448" s="16"/>
      <c r="J2448" s="16"/>
      <c r="K2448" s="17"/>
      <c r="L2448" s="16"/>
      <c r="M2448" s="17"/>
      <c r="N2448" s="17"/>
      <c r="O2448" s="17"/>
    </row>
    <row r="2449" spans="1:15" ht="12.75" x14ac:dyDescent="0.2">
      <c r="A2449" s="15"/>
      <c r="B2449" s="15"/>
      <c r="C2449" s="15"/>
      <c r="D2449" s="16"/>
      <c r="E2449" s="16"/>
      <c r="F2449" s="16"/>
      <c r="G2449" s="16"/>
      <c r="H2449" s="16"/>
      <c r="I2449" s="16"/>
      <c r="J2449" s="16"/>
      <c r="K2449" s="17"/>
      <c r="L2449" s="16"/>
      <c r="M2449" s="17"/>
      <c r="N2449" s="17"/>
      <c r="O2449" s="17"/>
    </row>
    <row r="2450" spans="1:15" ht="12.75" x14ac:dyDescent="0.2">
      <c r="A2450" s="15"/>
      <c r="B2450" s="15"/>
      <c r="C2450" s="15"/>
      <c r="D2450" s="16"/>
      <c r="E2450" s="16"/>
      <c r="F2450" s="16"/>
      <c r="G2450" s="16"/>
      <c r="H2450" s="16"/>
      <c r="I2450" s="16"/>
      <c r="J2450" s="16"/>
      <c r="K2450" s="17"/>
      <c r="L2450" s="16"/>
      <c r="M2450" s="17"/>
      <c r="N2450" s="17"/>
      <c r="O2450" s="17"/>
    </row>
    <row r="2451" spans="1:15" ht="12.75" x14ac:dyDescent="0.2">
      <c r="A2451" s="15"/>
      <c r="B2451" s="15"/>
      <c r="C2451" s="15"/>
      <c r="D2451" s="16"/>
      <c r="E2451" s="16"/>
      <c r="F2451" s="16"/>
      <c r="G2451" s="16"/>
      <c r="H2451" s="16"/>
      <c r="I2451" s="16"/>
      <c r="J2451" s="16"/>
      <c r="K2451" s="17"/>
      <c r="L2451" s="16"/>
      <c r="M2451" s="17"/>
      <c r="N2451" s="17"/>
      <c r="O2451" s="17"/>
    </row>
    <row r="2452" spans="1:15" ht="12.75" x14ac:dyDescent="0.2">
      <c r="A2452" s="15"/>
      <c r="B2452" s="15"/>
      <c r="C2452" s="15"/>
      <c r="D2452" s="16"/>
      <c r="E2452" s="16"/>
      <c r="F2452" s="16"/>
      <c r="G2452" s="16"/>
      <c r="H2452" s="16"/>
      <c r="I2452" s="16"/>
      <c r="J2452" s="16"/>
      <c r="K2452" s="17"/>
      <c r="L2452" s="16"/>
      <c r="M2452" s="17"/>
      <c r="N2452" s="17"/>
      <c r="O2452" s="17"/>
    </row>
    <row r="2453" spans="1:15" ht="12.75" x14ac:dyDescent="0.2">
      <c r="A2453" s="15"/>
      <c r="B2453" s="15"/>
      <c r="C2453" s="15"/>
      <c r="D2453" s="16"/>
      <c r="E2453" s="16"/>
      <c r="F2453" s="16"/>
      <c r="G2453" s="16"/>
      <c r="H2453" s="16"/>
      <c r="I2453" s="16"/>
      <c r="J2453" s="16"/>
      <c r="K2453" s="17"/>
      <c r="L2453" s="16"/>
      <c r="M2453" s="17"/>
      <c r="N2453" s="17"/>
      <c r="O2453" s="17"/>
    </row>
    <row r="2454" spans="1:15" ht="12.75" x14ac:dyDescent="0.2">
      <c r="A2454" s="15"/>
      <c r="B2454" s="15"/>
      <c r="C2454" s="15"/>
      <c r="D2454" s="16"/>
      <c r="E2454" s="16"/>
      <c r="F2454" s="16"/>
      <c r="G2454" s="16"/>
      <c r="H2454" s="16"/>
      <c r="I2454" s="16"/>
      <c r="J2454" s="16"/>
      <c r="K2454" s="17"/>
      <c r="L2454" s="16"/>
      <c r="M2454" s="17"/>
      <c r="N2454" s="17"/>
      <c r="O2454" s="17"/>
    </row>
    <row r="2455" spans="1:15" ht="12.75" x14ac:dyDescent="0.2">
      <c r="A2455" s="15"/>
      <c r="B2455" s="15"/>
      <c r="C2455" s="15"/>
      <c r="D2455" s="16"/>
      <c r="E2455" s="16"/>
      <c r="F2455" s="16"/>
      <c r="G2455" s="16"/>
      <c r="H2455" s="16"/>
      <c r="I2455" s="16"/>
      <c r="J2455" s="16"/>
      <c r="K2455" s="17"/>
      <c r="L2455" s="16"/>
      <c r="M2455" s="17"/>
      <c r="N2455" s="17"/>
      <c r="O2455" s="17"/>
    </row>
    <row r="2456" spans="1:15" ht="12.75" x14ac:dyDescent="0.2">
      <c r="A2456" s="15"/>
      <c r="B2456" s="15"/>
      <c r="C2456" s="15"/>
      <c r="D2456" s="16"/>
      <c r="E2456" s="16"/>
      <c r="F2456" s="16"/>
      <c r="G2456" s="16"/>
      <c r="H2456" s="16"/>
      <c r="I2456" s="16"/>
      <c r="J2456" s="16"/>
      <c r="K2456" s="17"/>
      <c r="L2456" s="16"/>
      <c r="M2456" s="17"/>
      <c r="N2456" s="17"/>
      <c r="O2456" s="17"/>
    </row>
    <row r="2457" spans="1:15" ht="12.75" x14ac:dyDescent="0.2">
      <c r="A2457" s="15"/>
      <c r="B2457" s="15"/>
      <c r="C2457" s="15"/>
      <c r="D2457" s="16"/>
      <c r="E2457" s="16"/>
      <c r="F2457" s="16"/>
      <c r="G2457" s="16"/>
      <c r="H2457" s="16"/>
      <c r="I2457" s="16"/>
      <c r="J2457" s="16"/>
      <c r="K2457" s="17"/>
      <c r="L2457" s="16"/>
      <c r="M2457" s="17"/>
      <c r="N2457" s="17"/>
      <c r="O2457" s="17"/>
    </row>
    <row r="2458" spans="1:15" ht="12.75" x14ac:dyDescent="0.2">
      <c r="A2458" s="15"/>
      <c r="B2458" s="15"/>
      <c r="C2458" s="15"/>
      <c r="D2458" s="16"/>
      <c r="E2458" s="16"/>
      <c r="F2458" s="16"/>
      <c r="G2458" s="16"/>
      <c r="H2458" s="16"/>
      <c r="I2458" s="16"/>
      <c r="J2458" s="16"/>
      <c r="K2458" s="17"/>
      <c r="L2458" s="16"/>
      <c r="M2458" s="17"/>
      <c r="N2458" s="17"/>
      <c r="O2458" s="17"/>
    </row>
    <row r="2459" spans="1:15" ht="12.75" x14ac:dyDescent="0.2">
      <c r="A2459" s="15"/>
      <c r="B2459" s="15"/>
      <c r="C2459" s="15"/>
      <c r="D2459" s="16"/>
      <c r="E2459" s="16"/>
      <c r="F2459" s="16"/>
      <c r="G2459" s="16"/>
      <c r="H2459" s="16"/>
      <c r="I2459" s="16"/>
      <c r="J2459" s="16"/>
      <c r="K2459" s="17"/>
      <c r="L2459" s="16"/>
      <c r="M2459" s="17"/>
      <c r="N2459" s="17"/>
      <c r="O2459" s="17"/>
    </row>
    <row r="2460" spans="1:15" ht="12.75" x14ac:dyDescent="0.2">
      <c r="A2460" s="15"/>
      <c r="B2460" s="15"/>
      <c r="C2460" s="15"/>
      <c r="D2460" s="16"/>
      <c r="E2460" s="16"/>
      <c r="F2460" s="16"/>
      <c r="G2460" s="16"/>
      <c r="H2460" s="16"/>
      <c r="I2460" s="16"/>
      <c r="J2460" s="16"/>
      <c r="K2460" s="17"/>
      <c r="L2460" s="16"/>
      <c r="M2460" s="17"/>
      <c r="N2460" s="17"/>
      <c r="O2460" s="17"/>
    </row>
    <row r="2461" spans="1:15" ht="12.75" x14ac:dyDescent="0.2">
      <c r="A2461" s="15"/>
      <c r="B2461" s="15"/>
      <c r="C2461" s="15"/>
      <c r="D2461" s="16"/>
      <c r="E2461" s="16"/>
      <c r="F2461" s="16"/>
      <c r="G2461" s="16"/>
      <c r="H2461" s="16"/>
      <c r="I2461" s="16"/>
      <c r="J2461" s="16"/>
      <c r="K2461" s="17"/>
      <c r="L2461" s="16"/>
      <c r="M2461" s="17"/>
      <c r="N2461" s="17"/>
      <c r="O2461" s="17"/>
    </row>
    <row r="2462" spans="1:15" ht="12.75" x14ac:dyDescent="0.2">
      <c r="A2462" s="15"/>
      <c r="B2462" s="15"/>
      <c r="C2462" s="15"/>
      <c r="D2462" s="16"/>
      <c r="E2462" s="16"/>
      <c r="F2462" s="16"/>
      <c r="G2462" s="16"/>
      <c r="H2462" s="16"/>
      <c r="I2462" s="16"/>
      <c r="J2462" s="16"/>
      <c r="K2462" s="17"/>
      <c r="L2462" s="16"/>
      <c r="M2462" s="17"/>
      <c r="N2462" s="17"/>
      <c r="O2462" s="17"/>
    </row>
    <row r="2463" spans="1:15" ht="12.75" x14ac:dyDescent="0.2">
      <c r="A2463" s="15"/>
      <c r="B2463" s="15"/>
      <c r="C2463" s="15"/>
      <c r="D2463" s="16"/>
      <c r="E2463" s="16"/>
      <c r="F2463" s="16"/>
      <c r="G2463" s="16"/>
      <c r="H2463" s="16"/>
      <c r="I2463" s="16"/>
      <c r="J2463" s="16"/>
      <c r="K2463" s="17"/>
      <c r="L2463" s="16"/>
      <c r="M2463" s="17"/>
      <c r="N2463" s="17"/>
      <c r="O2463" s="17"/>
    </row>
    <row r="2464" spans="1:15" ht="12.75" x14ac:dyDescent="0.2">
      <c r="A2464" s="15"/>
      <c r="B2464" s="15"/>
      <c r="C2464" s="15"/>
      <c r="D2464" s="16"/>
      <c r="E2464" s="16"/>
      <c r="F2464" s="16"/>
      <c r="G2464" s="16"/>
      <c r="H2464" s="16"/>
      <c r="I2464" s="16"/>
      <c r="J2464" s="16"/>
      <c r="K2464" s="17"/>
      <c r="L2464" s="16"/>
      <c r="M2464" s="17"/>
      <c r="N2464" s="17"/>
      <c r="O2464" s="17"/>
    </row>
    <row r="2465" spans="1:15" ht="12.75" x14ac:dyDescent="0.2">
      <c r="A2465" s="15"/>
      <c r="B2465" s="15"/>
      <c r="C2465" s="15"/>
      <c r="D2465" s="16"/>
      <c r="E2465" s="16"/>
      <c r="F2465" s="16"/>
      <c r="G2465" s="16"/>
      <c r="H2465" s="16"/>
      <c r="I2465" s="16"/>
      <c r="J2465" s="16"/>
      <c r="K2465" s="17"/>
      <c r="L2465" s="16"/>
      <c r="M2465" s="17"/>
      <c r="N2465" s="17"/>
      <c r="O2465" s="17"/>
    </row>
    <row r="2466" spans="1:15" ht="12.75" x14ac:dyDescent="0.2">
      <c r="A2466" s="15"/>
      <c r="B2466" s="15"/>
      <c r="C2466" s="15"/>
      <c r="D2466" s="16"/>
      <c r="E2466" s="16"/>
      <c r="F2466" s="16"/>
      <c r="G2466" s="16"/>
      <c r="H2466" s="16"/>
      <c r="I2466" s="16"/>
      <c r="J2466" s="16"/>
      <c r="K2466" s="17"/>
      <c r="L2466" s="16"/>
      <c r="M2466" s="17"/>
      <c r="N2466" s="17"/>
      <c r="O2466" s="17"/>
    </row>
    <row r="2467" spans="1:15" ht="12.75" x14ac:dyDescent="0.2">
      <c r="A2467" s="15"/>
      <c r="B2467" s="15"/>
      <c r="C2467" s="15"/>
      <c r="D2467" s="16"/>
      <c r="E2467" s="16"/>
      <c r="F2467" s="16"/>
      <c r="G2467" s="16"/>
      <c r="H2467" s="16"/>
      <c r="I2467" s="16"/>
      <c r="J2467" s="16"/>
      <c r="K2467" s="17"/>
      <c r="L2467" s="16"/>
      <c r="M2467" s="17"/>
      <c r="N2467" s="17"/>
      <c r="O2467" s="17"/>
    </row>
    <row r="2468" spans="1:15" ht="12.75" x14ac:dyDescent="0.2">
      <c r="A2468" s="15"/>
      <c r="B2468" s="15"/>
      <c r="C2468" s="15"/>
      <c r="D2468" s="16"/>
      <c r="E2468" s="16"/>
      <c r="F2468" s="16"/>
      <c r="G2468" s="16"/>
      <c r="H2468" s="16"/>
      <c r="I2468" s="16"/>
      <c r="J2468" s="16"/>
      <c r="K2468" s="17"/>
      <c r="L2468" s="16"/>
      <c r="M2468" s="17"/>
      <c r="N2468" s="17"/>
      <c r="O2468" s="17"/>
    </row>
    <row r="2469" spans="1:15" ht="12.75" x14ac:dyDescent="0.2">
      <c r="A2469" s="15"/>
      <c r="B2469" s="15"/>
      <c r="C2469" s="15"/>
      <c r="D2469" s="16"/>
      <c r="E2469" s="16"/>
      <c r="F2469" s="16"/>
      <c r="G2469" s="16"/>
      <c r="H2469" s="16"/>
      <c r="I2469" s="16"/>
      <c r="J2469" s="16"/>
      <c r="K2469" s="17"/>
      <c r="L2469" s="16"/>
      <c r="M2469" s="17"/>
      <c r="N2469" s="17"/>
      <c r="O2469" s="17"/>
    </row>
    <row r="2470" spans="1:15" ht="12.75" x14ac:dyDescent="0.2">
      <c r="A2470" s="15"/>
      <c r="B2470" s="15"/>
      <c r="C2470" s="15"/>
      <c r="D2470" s="16"/>
      <c r="E2470" s="16"/>
      <c r="F2470" s="16"/>
      <c r="G2470" s="16"/>
      <c r="H2470" s="16"/>
      <c r="I2470" s="16"/>
      <c r="J2470" s="16"/>
      <c r="K2470" s="17"/>
      <c r="L2470" s="16"/>
      <c r="M2470" s="17"/>
      <c r="N2470" s="17"/>
      <c r="O2470" s="17"/>
    </row>
    <row r="2471" spans="1:15" ht="12.75" x14ac:dyDescent="0.2">
      <c r="A2471" s="15"/>
      <c r="B2471" s="15"/>
      <c r="C2471" s="15"/>
      <c r="D2471" s="16"/>
      <c r="E2471" s="16"/>
      <c r="F2471" s="16"/>
      <c r="G2471" s="16"/>
      <c r="H2471" s="16"/>
      <c r="I2471" s="16"/>
      <c r="J2471" s="16"/>
      <c r="K2471" s="17"/>
      <c r="L2471" s="16"/>
      <c r="M2471" s="17"/>
      <c r="N2471" s="17"/>
      <c r="O2471" s="17"/>
    </row>
    <row r="2472" spans="1:15" ht="12.75" x14ac:dyDescent="0.2">
      <c r="A2472" s="15"/>
      <c r="B2472" s="15"/>
      <c r="C2472" s="15"/>
      <c r="D2472" s="16"/>
      <c r="E2472" s="16"/>
      <c r="F2472" s="16"/>
      <c r="G2472" s="16"/>
      <c r="H2472" s="16"/>
      <c r="I2472" s="16"/>
      <c r="J2472" s="16"/>
      <c r="K2472" s="17"/>
      <c r="L2472" s="16"/>
      <c r="M2472" s="17"/>
      <c r="N2472" s="17"/>
      <c r="O2472" s="17"/>
    </row>
    <row r="2473" spans="1:15" ht="12.75" x14ac:dyDescent="0.2">
      <c r="A2473" s="15"/>
      <c r="B2473" s="15"/>
      <c r="C2473" s="15"/>
      <c r="D2473" s="16"/>
      <c r="E2473" s="16"/>
      <c r="F2473" s="16"/>
      <c r="G2473" s="16"/>
      <c r="H2473" s="16"/>
      <c r="I2473" s="16"/>
      <c r="J2473" s="16"/>
      <c r="K2473" s="17"/>
      <c r="L2473" s="16"/>
      <c r="M2473" s="17"/>
      <c r="N2473" s="17"/>
      <c r="O2473" s="17"/>
    </row>
    <row r="2474" spans="1:15" ht="12.75" x14ac:dyDescent="0.2">
      <c r="A2474" s="15"/>
      <c r="B2474" s="15"/>
      <c r="C2474" s="15"/>
      <c r="D2474" s="16"/>
      <c r="E2474" s="16"/>
      <c r="F2474" s="16"/>
      <c r="G2474" s="16"/>
      <c r="H2474" s="16"/>
      <c r="I2474" s="16"/>
      <c r="J2474" s="16"/>
      <c r="K2474" s="17"/>
      <c r="L2474" s="16"/>
      <c r="M2474" s="17"/>
      <c r="N2474" s="17"/>
      <c r="O2474" s="17"/>
    </row>
    <row r="2475" spans="1:15" ht="12.75" x14ac:dyDescent="0.2">
      <c r="A2475" s="15"/>
      <c r="B2475" s="15"/>
      <c r="C2475" s="15"/>
      <c r="D2475" s="16"/>
      <c r="E2475" s="16"/>
      <c r="F2475" s="16"/>
      <c r="G2475" s="16"/>
      <c r="H2475" s="16"/>
      <c r="I2475" s="16"/>
      <c r="J2475" s="16"/>
      <c r="K2475" s="17"/>
      <c r="L2475" s="16"/>
      <c r="M2475" s="17"/>
      <c r="N2475" s="17"/>
      <c r="O2475" s="17"/>
    </row>
    <row r="2476" spans="1:15" ht="12.75" x14ac:dyDescent="0.2">
      <c r="A2476" s="15"/>
      <c r="B2476" s="15"/>
      <c r="C2476" s="15"/>
      <c r="D2476" s="16"/>
      <c r="E2476" s="16"/>
      <c r="F2476" s="16"/>
      <c r="G2476" s="16"/>
      <c r="H2476" s="16"/>
      <c r="I2476" s="16"/>
      <c r="J2476" s="16"/>
      <c r="K2476" s="17"/>
      <c r="L2476" s="16"/>
      <c r="M2476" s="17"/>
      <c r="N2476" s="17"/>
      <c r="O2476" s="17"/>
    </row>
    <row r="2477" spans="1:15" ht="12.75" x14ac:dyDescent="0.2">
      <c r="A2477" s="15"/>
      <c r="B2477" s="15"/>
      <c r="C2477" s="15"/>
      <c r="D2477" s="16"/>
      <c r="E2477" s="16"/>
      <c r="F2477" s="16"/>
      <c r="G2477" s="16"/>
      <c r="H2477" s="16"/>
      <c r="I2477" s="16"/>
      <c r="J2477" s="16"/>
      <c r="K2477" s="17"/>
      <c r="L2477" s="16"/>
      <c r="M2477" s="17"/>
      <c r="N2477" s="17"/>
      <c r="O2477" s="17"/>
    </row>
    <row r="2478" spans="1:15" ht="12.75" x14ac:dyDescent="0.2">
      <c r="A2478" s="15"/>
      <c r="B2478" s="15"/>
      <c r="C2478" s="15"/>
      <c r="D2478" s="16"/>
      <c r="E2478" s="16"/>
      <c r="F2478" s="16"/>
      <c r="G2478" s="16"/>
      <c r="H2478" s="16"/>
      <c r="I2478" s="16"/>
      <c r="J2478" s="16"/>
      <c r="K2478" s="17"/>
      <c r="L2478" s="16"/>
      <c r="M2478" s="17"/>
      <c r="N2478" s="17"/>
      <c r="O2478" s="17"/>
    </row>
    <row r="2479" spans="1:15" ht="12.75" x14ac:dyDescent="0.2">
      <c r="A2479" s="15"/>
      <c r="B2479" s="15"/>
      <c r="C2479" s="15"/>
      <c r="D2479" s="16"/>
      <c r="E2479" s="16"/>
      <c r="F2479" s="16"/>
      <c r="G2479" s="16"/>
      <c r="H2479" s="16"/>
      <c r="I2479" s="16"/>
      <c r="J2479" s="16"/>
      <c r="K2479" s="17"/>
      <c r="L2479" s="16"/>
      <c r="M2479" s="17"/>
      <c r="N2479" s="17"/>
      <c r="O2479" s="17"/>
    </row>
    <row r="2480" spans="1:15" ht="12.75" x14ac:dyDescent="0.2">
      <c r="A2480" s="15"/>
      <c r="B2480" s="15"/>
      <c r="C2480" s="15"/>
      <c r="D2480" s="16"/>
      <c r="E2480" s="16"/>
      <c r="F2480" s="16"/>
      <c r="G2480" s="16"/>
      <c r="H2480" s="16"/>
      <c r="I2480" s="16"/>
      <c r="J2480" s="16"/>
      <c r="K2480" s="17"/>
      <c r="L2480" s="16"/>
      <c r="M2480" s="17"/>
      <c r="N2480" s="17"/>
      <c r="O2480" s="17"/>
    </row>
    <row r="2481" spans="1:15" ht="12.75" x14ac:dyDescent="0.2">
      <c r="A2481" s="15"/>
      <c r="B2481" s="15"/>
      <c r="C2481" s="15"/>
      <c r="D2481" s="16"/>
      <c r="E2481" s="16"/>
      <c r="F2481" s="16"/>
      <c r="G2481" s="16"/>
      <c r="H2481" s="16"/>
      <c r="I2481" s="16"/>
      <c r="J2481" s="16"/>
      <c r="K2481" s="17"/>
      <c r="L2481" s="16"/>
      <c r="M2481" s="17"/>
      <c r="N2481" s="17"/>
      <c r="O2481" s="17"/>
    </row>
    <row r="2482" spans="1:15" ht="12.75" x14ac:dyDescent="0.2">
      <c r="A2482" s="15"/>
      <c r="B2482" s="15"/>
      <c r="C2482" s="15"/>
      <c r="D2482" s="16"/>
      <c r="E2482" s="16"/>
      <c r="F2482" s="16"/>
      <c r="G2482" s="16"/>
      <c r="H2482" s="16"/>
      <c r="I2482" s="16"/>
      <c r="J2482" s="16"/>
      <c r="K2482" s="17"/>
      <c r="L2482" s="16"/>
      <c r="M2482" s="17"/>
      <c r="N2482" s="17"/>
      <c r="O2482" s="17"/>
    </row>
    <row r="2483" spans="1:15" ht="12.75" x14ac:dyDescent="0.2">
      <c r="A2483" s="15"/>
      <c r="B2483" s="15"/>
      <c r="C2483" s="15"/>
      <c r="D2483" s="16"/>
      <c r="E2483" s="16"/>
      <c r="F2483" s="16"/>
      <c r="G2483" s="16"/>
      <c r="H2483" s="16"/>
      <c r="I2483" s="16"/>
      <c r="J2483" s="16"/>
      <c r="K2483" s="17"/>
      <c r="L2483" s="16"/>
      <c r="M2483" s="17"/>
      <c r="N2483" s="17"/>
      <c r="O2483" s="17"/>
    </row>
    <row r="2484" spans="1:15" ht="12.75" x14ac:dyDescent="0.2">
      <c r="A2484" s="15"/>
      <c r="B2484" s="15"/>
      <c r="C2484" s="15"/>
      <c r="D2484" s="16"/>
      <c r="E2484" s="16"/>
      <c r="F2484" s="16"/>
      <c r="G2484" s="16"/>
      <c r="H2484" s="16"/>
      <c r="I2484" s="16"/>
      <c r="J2484" s="16"/>
      <c r="K2484" s="17"/>
      <c r="L2484" s="16"/>
      <c r="M2484" s="17"/>
      <c r="N2484" s="17"/>
      <c r="O2484" s="17"/>
    </row>
    <row r="2485" spans="1:15" ht="12.75" x14ac:dyDescent="0.2">
      <c r="A2485" s="15"/>
      <c r="B2485" s="15"/>
      <c r="C2485" s="15"/>
      <c r="D2485" s="16"/>
      <c r="E2485" s="16"/>
      <c r="F2485" s="16"/>
      <c r="G2485" s="16"/>
      <c r="H2485" s="16"/>
      <c r="I2485" s="16"/>
      <c r="J2485" s="16"/>
      <c r="K2485" s="17"/>
      <c r="L2485" s="16"/>
      <c r="M2485" s="17"/>
      <c r="N2485" s="17"/>
      <c r="O2485" s="17"/>
    </row>
    <row r="2486" spans="1:15" ht="12.75" x14ac:dyDescent="0.2">
      <c r="A2486" s="15"/>
      <c r="B2486" s="15"/>
      <c r="C2486" s="15"/>
      <c r="D2486" s="16"/>
      <c r="E2486" s="16"/>
      <c r="F2486" s="16"/>
      <c r="G2486" s="16"/>
      <c r="H2486" s="16"/>
      <c r="I2486" s="16"/>
      <c r="J2486" s="16"/>
      <c r="K2486" s="17"/>
      <c r="L2486" s="16"/>
      <c r="M2486" s="17"/>
      <c r="N2486" s="17"/>
      <c r="O2486" s="17"/>
    </row>
    <row r="2487" spans="1:15" ht="12.75" x14ac:dyDescent="0.2">
      <c r="A2487" s="15"/>
      <c r="B2487" s="15"/>
      <c r="C2487" s="15"/>
      <c r="D2487" s="16"/>
      <c r="E2487" s="16"/>
      <c r="F2487" s="16"/>
      <c r="G2487" s="16"/>
      <c r="H2487" s="16"/>
      <c r="I2487" s="16"/>
      <c r="J2487" s="16"/>
      <c r="K2487" s="17"/>
      <c r="L2487" s="16"/>
      <c r="M2487" s="17"/>
      <c r="N2487" s="17"/>
      <c r="O2487" s="17"/>
    </row>
    <row r="2488" spans="1:15" ht="12.75" x14ac:dyDescent="0.2">
      <c r="A2488" s="15"/>
      <c r="B2488" s="15"/>
      <c r="C2488" s="15"/>
      <c r="D2488" s="16"/>
      <c r="E2488" s="16"/>
      <c r="F2488" s="16"/>
      <c r="G2488" s="16"/>
      <c r="H2488" s="16"/>
      <c r="I2488" s="16"/>
      <c r="J2488" s="16"/>
      <c r="K2488" s="17"/>
      <c r="L2488" s="16"/>
      <c r="M2488" s="17"/>
      <c r="N2488" s="17"/>
      <c r="O2488" s="17"/>
    </row>
    <row r="2489" spans="1:15" ht="12.75" x14ac:dyDescent="0.2">
      <c r="A2489" s="15"/>
      <c r="B2489" s="15"/>
      <c r="C2489" s="15"/>
      <c r="D2489" s="16"/>
      <c r="E2489" s="16"/>
      <c r="F2489" s="16"/>
      <c r="G2489" s="16"/>
      <c r="H2489" s="16"/>
      <c r="I2489" s="16"/>
      <c r="J2489" s="16"/>
      <c r="K2489" s="17"/>
      <c r="L2489" s="16"/>
      <c r="M2489" s="17"/>
      <c r="N2489" s="17"/>
      <c r="O2489" s="17"/>
    </row>
    <row r="2490" spans="1:15" ht="12.75" x14ac:dyDescent="0.2">
      <c r="A2490" s="15"/>
      <c r="B2490" s="15"/>
      <c r="C2490" s="15"/>
      <c r="D2490" s="16"/>
      <c r="E2490" s="16"/>
      <c r="F2490" s="16"/>
      <c r="G2490" s="16"/>
      <c r="H2490" s="16"/>
      <c r="I2490" s="16"/>
      <c r="J2490" s="16"/>
      <c r="K2490" s="17"/>
      <c r="L2490" s="16"/>
      <c r="M2490" s="17"/>
      <c r="N2490" s="17"/>
      <c r="O2490" s="17"/>
    </row>
    <row r="2491" spans="1:15" ht="12.75" x14ac:dyDescent="0.2">
      <c r="A2491" s="15"/>
      <c r="B2491" s="15"/>
      <c r="C2491" s="15"/>
      <c r="D2491" s="16"/>
      <c r="E2491" s="16"/>
      <c r="F2491" s="16"/>
      <c r="G2491" s="16"/>
      <c r="H2491" s="16"/>
      <c r="I2491" s="16"/>
      <c r="J2491" s="16"/>
      <c r="K2491" s="17"/>
      <c r="L2491" s="16"/>
      <c r="M2491" s="17"/>
      <c r="N2491" s="17"/>
      <c r="O2491" s="17"/>
    </row>
    <row r="2492" spans="1:15" ht="12.75" x14ac:dyDescent="0.2">
      <c r="A2492" s="15"/>
      <c r="B2492" s="15"/>
      <c r="C2492" s="15"/>
      <c r="D2492" s="16"/>
      <c r="E2492" s="16"/>
      <c r="F2492" s="16"/>
      <c r="G2492" s="16"/>
      <c r="H2492" s="16"/>
      <c r="I2492" s="16"/>
      <c r="J2492" s="16"/>
      <c r="K2492" s="17"/>
      <c r="L2492" s="16"/>
      <c r="M2492" s="17"/>
      <c r="N2492" s="17"/>
      <c r="O2492" s="17"/>
    </row>
    <row r="2493" spans="1:15" ht="12.75" x14ac:dyDescent="0.2">
      <c r="A2493" s="15"/>
      <c r="B2493" s="15"/>
      <c r="C2493" s="15"/>
      <c r="D2493" s="16"/>
      <c r="E2493" s="16"/>
      <c r="F2493" s="16"/>
      <c r="G2493" s="16"/>
      <c r="H2493" s="16"/>
      <c r="I2493" s="16"/>
      <c r="J2493" s="16"/>
      <c r="K2493" s="17"/>
      <c r="L2493" s="16"/>
      <c r="M2493" s="17"/>
      <c r="N2493" s="17"/>
      <c r="O2493" s="17"/>
    </row>
    <row r="2494" spans="1:15" ht="12.75" x14ac:dyDescent="0.2">
      <c r="A2494" s="15"/>
      <c r="B2494" s="15"/>
      <c r="C2494" s="15"/>
      <c r="D2494" s="16"/>
      <c r="E2494" s="16"/>
      <c r="F2494" s="16"/>
      <c r="G2494" s="16"/>
      <c r="H2494" s="16"/>
      <c r="I2494" s="16"/>
      <c r="J2494" s="16"/>
      <c r="K2494" s="17"/>
      <c r="L2494" s="16"/>
      <c r="M2494" s="17"/>
      <c r="N2494" s="17"/>
      <c r="O2494" s="17"/>
    </row>
    <row r="2495" spans="1:15" ht="12.75" x14ac:dyDescent="0.2">
      <c r="A2495" s="15"/>
      <c r="B2495" s="15"/>
      <c r="C2495" s="15"/>
      <c r="D2495" s="16"/>
      <c r="E2495" s="16"/>
      <c r="F2495" s="16"/>
      <c r="G2495" s="16"/>
      <c r="H2495" s="16"/>
      <c r="I2495" s="16"/>
      <c r="J2495" s="16"/>
      <c r="K2495" s="17"/>
      <c r="L2495" s="16"/>
      <c r="M2495" s="17"/>
      <c r="N2495" s="17"/>
      <c r="O2495" s="17"/>
    </row>
    <row r="2496" spans="1:15" ht="12.75" x14ac:dyDescent="0.2">
      <c r="A2496" s="15"/>
      <c r="B2496" s="15"/>
      <c r="C2496" s="15"/>
      <c r="D2496" s="16"/>
      <c r="E2496" s="16"/>
      <c r="F2496" s="16"/>
      <c r="G2496" s="16"/>
      <c r="H2496" s="16"/>
      <c r="I2496" s="16"/>
      <c r="J2496" s="16"/>
      <c r="K2496" s="17"/>
      <c r="L2496" s="16"/>
      <c r="M2496" s="17"/>
      <c r="N2496" s="17"/>
      <c r="O2496" s="17"/>
    </row>
    <row r="2497" spans="1:15" ht="12.75" x14ac:dyDescent="0.2">
      <c r="A2497" s="15"/>
      <c r="B2497" s="15"/>
      <c r="C2497" s="15"/>
      <c r="D2497" s="16"/>
      <c r="E2497" s="16"/>
      <c r="F2497" s="16"/>
      <c r="G2497" s="16"/>
      <c r="H2497" s="16"/>
      <c r="I2497" s="16"/>
      <c r="J2497" s="16"/>
      <c r="K2497" s="17"/>
      <c r="L2497" s="16"/>
      <c r="M2497" s="17"/>
      <c r="N2497" s="17"/>
      <c r="O2497" s="17"/>
    </row>
    <row r="2498" spans="1:15" ht="12.75" x14ac:dyDescent="0.2">
      <c r="A2498" s="15"/>
      <c r="B2498" s="15"/>
      <c r="C2498" s="15"/>
      <c r="D2498" s="16"/>
      <c r="E2498" s="16"/>
      <c r="F2498" s="16"/>
      <c r="G2498" s="16"/>
      <c r="H2498" s="16"/>
      <c r="I2498" s="16"/>
      <c r="J2498" s="16"/>
      <c r="K2498" s="17"/>
      <c r="L2498" s="16"/>
      <c r="M2498" s="17"/>
      <c r="N2498" s="17"/>
      <c r="O2498" s="17"/>
    </row>
    <row r="2499" spans="1:15" ht="12.75" x14ac:dyDescent="0.2">
      <c r="A2499" s="15"/>
      <c r="B2499" s="15"/>
      <c r="C2499" s="15"/>
      <c r="D2499" s="16"/>
      <c r="E2499" s="16"/>
      <c r="F2499" s="16"/>
      <c r="G2499" s="16"/>
      <c r="H2499" s="16"/>
      <c r="I2499" s="16"/>
      <c r="J2499" s="16"/>
      <c r="K2499" s="17"/>
      <c r="L2499" s="16"/>
      <c r="M2499" s="17"/>
      <c r="N2499" s="17"/>
      <c r="O2499" s="17"/>
    </row>
    <row r="2500" spans="1:15" ht="12.75" x14ac:dyDescent="0.2">
      <c r="A2500" s="15"/>
      <c r="B2500" s="15"/>
      <c r="C2500" s="15"/>
      <c r="D2500" s="16"/>
      <c r="E2500" s="16"/>
      <c r="F2500" s="16"/>
      <c r="G2500" s="16"/>
      <c r="H2500" s="16"/>
      <c r="I2500" s="16"/>
      <c r="J2500" s="16"/>
      <c r="K2500" s="17"/>
      <c r="L2500" s="16"/>
      <c r="M2500" s="17"/>
      <c r="N2500" s="17"/>
      <c r="O2500" s="17"/>
    </row>
    <row r="2501" spans="1:15" ht="12.75" x14ac:dyDescent="0.2">
      <c r="A2501" s="15"/>
      <c r="B2501" s="15"/>
      <c r="C2501" s="15"/>
      <c r="D2501" s="16"/>
      <c r="E2501" s="16"/>
      <c r="F2501" s="16"/>
      <c r="G2501" s="16"/>
      <c r="H2501" s="16"/>
      <c r="I2501" s="16"/>
      <c r="J2501" s="16"/>
      <c r="K2501" s="17"/>
      <c r="L2501" s="16"/>
      <c r="M2501" s="17"/>
      <c r="N2501" s="17"/>
      <c r="O2501" s="17"/>
    </row>
    <row r="2502" spans="1:15" ht="12.75" x14ac:dyDescent="0.2">
      <c r="A2502" s="15"/>
      <c r="B2502" s="15"/>
      <c r="C2502" s="15"/>
      <c r="D2502" s="16"/>
      <c r="E2502" s="16"/>
      <c r="F2502" s="16"/>
      <c r="G2502" s="16"/>
      <c r="H2502" s="16"/>
      <c r="I2502" s="16"/>
      <c r="J2502" s="16"/>
      <c r="K2502" s="17"/>
      <c r="L2502" s="16"/>
      <c r="M2502" s="17"/>
      <c r="N2502" s="17"/>
      <c r="O2502" s="17"/>
    </row>
    <row r="2503" spans="1:15" ht="12.75" x14ac:dyDescent="0.2">
      <c r="A2503" s="15"/>
      <c r="B2503" s="15"/>
      <c r="C2503" s="15"/>
      <c r="D2503" s="16"/>
      <c r="E2503" s="16"/>
      <c r="F2503" s="16"/>
      <c r="G2503" s="16"/>
      <c r="H2503" s="16"/>
      <c r="I2503" s="16"/>
      <c r="J2503" s="16"/>
      <c r="K2503" s="17"/>
      <c r="L2503" s="16"/>
      <c r="M2503" s="17"/>
      <c r="N2503" s="17"/>
      <c r="O2503" s="17"/>
    </row>
    <row r="2504" spans="1:15" ht="12.75" x14ac:dyDescent="0.2">
      <c r="A2504" s="15"/>
      <c r="B2504" s="15"/>
      <c r="C2504" s="15"/>
      <c r="D2504" s="16"/>
      <c r="E2504" s="16"/>
      <c r="F2504" s="16"/>
      <c r="G2504" s="16"/>
      <c r="H2504" s="16"/>
      <c r="I2504" s="16"/>
      <c r="J2504" s="16"/>
      <c r="K2504" s="17"/>
      <c r="L2504" s="16"/>
      <c r="M2504" s="17"/>
      <c r="N2504" s="17"/>
      <c r="O2504" s="17"/>
    </row>
    <row r="2505" spans="1:15" ht="12.75" x14ac:dyDescent="0.2">
      <c r="A2505" s="15"/>
      <c r="B2505" s="15"/>
      <c r="C2505" s="15"/>
      <c r="D2505" s="16"/>
      <c r="E2505" s="16"/>
      <c r="F2505" s="16"/>
      <c r="G2505" s="16"/>
      <c r="H2505" s="16"/>
      <c r="I2505" s="16"/>
      <c r="J2505" s="16"/>
      <c r="K2505" s="17"/>
      <c r="L2505" s="16"/>
      <c r="M2505" s="17"/>
      <c r="N2505" s="17"/>
      <c r="O2505" s="17"/>
    </row>
    <row r="2506" spans="1:15" ht="12.75" x14ac:dyDescent="0.2">
      <c r="A2506" s="15"/>
      <c r="B2506" s="15"/>
      <c r="C2506" s="15"/>
      <c r="D2506" s="16"/>
      <c r="E2506" s="16"/>
      <c r="F2506" s="16"/>
      <c r="G2506" s="16"/>
      <c r="H2506" s="16"/>
      <c r="I2506" s="16"/>
      <c r="J2506" s="16"/>
      <c r="K2506" s="17"/>
      <c r="L2506" s="16"/>
      <c r="M2506" s="17"/>
      <c r="N2506" s="17"/>
      <c r="O2506" s="17"/>
    </row>
    <row r="2507" spans="1:15" ht="12.75" x14ac:dyDescent="0.2">
      <c r="A2507" s="15"/>
      <c r="B2507" s="15"/>
      <c r="C2507" s="15"/>
      <c r="D2507" s="16"/>
      <c r="E2507" s="16"/>
      <c r="F2507" s="16"/>
      <c r="G2507" s="16"/>
      <c r="H2507" s="16"/>
      <c r="I2507" s="16"/>
      <c r="J2507" s="16"/>
      <c r="K2507" s="17"/>
      <c r="L2507" s="16"/>
      <c r="M2507" s="17"/>
      <c r="N2507" s="17"/>
      <c r="O2507" s="17"/>
    </row>
    <row r="2508" spans="1:15" ht="12.75" x14ac:dyDescent="0.2">
      <c r="A2508" s="15"/>
      <c r="B2508" s="15"/>
      <c r="C2508" s="15"/>
      <c r="D2508" s="16"/>
      <c r="E2508" s="16"/>
      <c r="F2508" s="16"/>
      <c r="G2508" s="16"/>
      <c r="H2508" s="16"/>
      <c r="I2508" s="16"/>
      <c r="J2508" s="16"/>
      <c r="K2508" s="17"/>
      <c r="L2508" s="16"/>
      <c r="M2508" s="17"/>
      <c r="N2508" s="17"/>
      <c r="O2508" s="17"/>
    </row>
    <row r="2509" spans="1:15" ht="12.75" x14ac:dyDescent="0.2">
      <c r="A2509" s="15"/>
      <c r="B2509" s="15"/>
      <c r="C2509" s="15"/>
      <c r="D2509" s="16"/>
      <c r="E2509" s="16"/>
      <c r="F2509" s="16"/>
      <c r="G2509" s="16"/>
      <c r="H2509" s="16"/>
      <c r="I2509" s="16"/>
      <c r="J2509" s="16"/>
      <c r="K2509" s="17"/>
      <c r="L2509" s="16"/>
      <c r="M2509" s="17"/>
      <c r="N2509" s="17"/>
      <c r="O2509" s="17"/>
    </row>
    <row r="2510" spans="1:15" ht="12.75" x14ac:dyDescent="0.2">
      <c r="A2510" s="15"/>
      <c r="B2510" s="15"/>
      <c r="C2510" s="15"/>
      <c r="D2510" s="16"/>
      <c r="E2510" s="16"/>
      <c r="F2510" s="16"/>
      <c r="G2510" s="16"/>
      <c r="H2510" s="16"/>
      <c r="I2510" s="16"/>
      <c r="J2510" s="16"/>
      <c r="K2510" s="17"/>
      <c r="L2510" s="16"/>
      <c r="M2510" s="17"/>
      <c r="N2510" s="17"/>
      <c r="O2510" s="17"/>
    </row>
    <row r="2511" spans="1:15" ht="12.75" x14ac:dyDescent="0.2">
      <c r="A2511" s="15"/>
      <c r="B2511" s="15"/>
      <c r="C2511" s="15"/>
      <c r="D2511" s="16"/>
      <c r="E2511" s="16"/>
      <c r="F2511" s="16"/>
      <c r="G2511" s="16"/>
      <c r="H2511" s="16"/>
      <c r="I2511" s="16"/>
      <c r="J2511" s="16"/>
      <c r="K2511" s="17"/>
      <c r="L2511" s="16"/>
      <c r="M2511" s="17"/>
      <c r="N2511" s="17"/>
      <c r="O2511" s="17"/>
    </row>
    <row r="2512" spans="1:15" ht="12.75" x14ac:dyDescent="0.2">
      <c r="A2512" s="15"/>
      <c r="B2512" s="15"/>
      <c r="C2512" s="15"/>
      <c r="D2512" s="16"/>
      <c r="E2512" s="16"/>
      <c r="F2512" s="16"/>
      <c r="G2512" s="16"/>
      <c r="H2512" s="16"/>
      <c r="I2512" s="16"/>
      <c r="J2512" s="16"/>
      <c r="K2512" s="17"/>
      <c r="L2512" s="16"/>
      <c r="M2512" s="17"/>
      <c r="N2512" s="17"/>
      <c r="O2512" s="17"/>
    </row>
    <row r="2513" spans="1:15" ht="12.75" x14ac:dyDescent="0.2">
      <c r="A2513" s="15"/>
      <c r="B2513" s="15"/>
      <c r="C2513" s="15"/>
      <c r="D2513" s="16"/>
      <c r="E2513" s="16"/>
      <c r="F2513" s="16"/>
      <c r="G2513" s="16"/>
      <c r="H2513" s="16"/>
      <c r="I2513" s="16"/>
      <c r="J2513" s="16"/>
      <c r="K2513" s="17"/>
      <c r="L2513" s="16"/>
      <c r="M2513" s="17"/>
      <c r="N2513" s="17"/>
      <c r="O2513" s="17"/>
    </row>
    <row r="2514" spans="1:15" ht="12.75" x14ac:dyDescent="0.2">
      <c r="A2514" s="15"/>
      <c r="B2514" s="15"/>
      <c r="C2514" s="15"/>
      <c r="D2514" s="16"/>
      <c r="E2514" s="16"/>
      <c r="F2514" s="16"/>
      <c r="G2514" s="16"/>
      <c r="H2514" s="16"/>
      <c r="I2514" s="16"/>
      <c r="J2514" s="16"/>
      <c r="K2514" s="17"/>
      <c r="L2514" s="16"/>
      <c r="M2514" s="17"/>
      <c r="N2514" s="17"/>
      <c r="O2514" s="17"/>
    </row>
    <row r="2515" spans="1:15" ht="12.75" x14ac:dyDescent="0.2">
      <c r="A2515" s="15"/>
      <c r="B2515" s="15"/>
      <c r="C2515" s="15"/>
      <c r="D2515" s="16"/>
      <c r="E2515" s="16"/>
      <c r="F2515" s="16"/>
      <c r="G2515" s="16"/>
      <c r="H2515" s="16"/>
      <c r="I2515" s="16"/>
      <c r="J2515" s="16"/>
      <c r="K2515" s="17"/>
      <c r="L2515" s="16"/>
      <c r="M2515" s="17"/>
      <c r="N2515" s="17"/>
      <c r="O2515" s="17"/>
    </row>
    <row r="2516" spans="1:15" ht="12.75" x14ac:dyDescent="0.2">
      <c r="A2516" s="15"/>
      <c r="B2516" s="15"/>
      <c r="C2516" s="15"/>
      <c r="D2516" s="16"/>
      <c r="E2516" s="16"/>
      <c r="F2516" s="16"/>
      <c r="G2516" s="16"/>
      <c r="H2516" s="16"/>
      <c r="I2516" s="16"/>
      <c r="J2516" s="16"/>
      <c r="K2516" s="17"/>
      <c r="L2516" s="16"/>
      <c r="M2516" s="17"/>
      <c r="N2516" s="17"/>
      <c r="O2516" s="17"/>
    </row>
    <row r="2517" spans="1:15" ht="12.75" x14ac:dyDescent="0.2">
      <c r="A2517" s="15"/>
      <c r="B2517" s="15"/>
      <c r="C2517" s="15"/>
      <c r="D2517" s="16"/>
      <c r="E2517" s="16"/>
      <c r="F2517" s="16"/>
      <c r="G2517" s="16"/>
      <c r="H2517" s="16"/>
      <c r="I2517" s="16"/>
      <c r="J2517" s="16"/>
      <c r="K2517" s="17"/>
      <c r="L2517" s="16"/>
      <c r="M2517" s="17"/>
      <c r="N2517" s="17"/>
      <c r="O2517" s="17"/>
    </row>
    <row r="2518" spans="1:15" ht="12.75" x14ac:dyDescent="0.2">
      <c r="A2518" s="15"/>
      <c r="B2518" s="15"/>
      <c r="C2518" s="15"/>
      <c r="D2518" s="16"/>
      <c r="E2518" s="16"/>
      <c r="F2518" s="16"/>
      <c r="G2518" s="16"/>
      <c r="H2518" s="16"/>
      <c r="I2518" s="16"/>
      <c r="J2518" s="16"/>
      <c r="K2518" s="17"/>
      <c r="L2518" s="16"/>
      <c r="M2518" s="17"/>
      <c r="N2518" s="17"/>
      <c r="O2518" s="17"/>
    </row>
    <row r="2519" spans="1:15" ht="12.75" x14ac:dyDescent="0.2">
      <c r="A2519" s="15"/>
      <c r="B2519" s="15"/>
      <c r="C2519" s="15"/>
      <c r="D2519" s="16"/>
      <c r="E2519" s="16"/>
      <c r="F2519" s="16"/>
      <c r="G2519" s="16"/>
      <c r="H2519" s="16"/>
      <c r="I2519" s="16"/>
      <c r="J2519" s="16"/>
      <c r="K2519" s="17"/>
      <c r="L2519" s="16"/>
      <c r="M2519" s="17"/>
      <c r="N2519" s="17"/>
      <c r="O2519" s="17"/>
    </row>
    <row r="2520" spans="1:15" ht="12.75" x14ac:dyDescent="0.2">
      <c r="A2520" s="15"/>
      <c r="B2520" s="15"/>
      <c r="C2520" s="15"/>
      <c r="D2520" s="16"/>
      <c r="E2520" s="16"/>
      <c r="F2520" s="16"/>
      <c r="G2520" s="16"/>
      <c r="H2520" s="16"/>
      <c r="I2520" s="16"/>
      <c r="J2520" s="16"/>
      <c r="K2520" s="17"/>
      <c r="L2520" s="16"/>
      <c r="M2520" s="17"/>
      <c r="N2520" s="17"/>
      <c r="O2520" s="17"/>
    </row>
    <row r="2521" spans="1:15" ht="12.75" x14ac:dyDescent="0.2">
      <c r="A2521" s="15"/>
      <c r="B2521" s="15"/>
      <c r="C2521" s="15"/>
      <c r="D2521" s="16"/>
      <c r="E2521" s="16"/>
      <c r="F2521" s="16"/>
      <c r="G2521" s="16"/>
      <c r="H2521" s="16"/>
      <c r="I2521" s="16"/>
      <c r="J2521" s="16"/>
      <c r="K2521" s="17"/>
      <c r="L2521" s="16"/>
      <c r="M2521" s="17"/>
      <c r="N2521" s="17"/>
      <c r="O2521" s="17"/>
    </row>
    <row r="2522" spans="1:15" ht="12.75" x14ac:dyDescent="0.2">
      <c r="A2522" s="15"/>
      <c r="B2522" s="15"/>
      <c r="C2522" s="15"/>
      <c r="D2522" s="16"/>
      <c r="E2522" s="16"/>
      <c r="F2522" s="16"/>
      <c r="G2522" s="16"/>
      <c r="H2522" s="16"/>
      <c r="I2522" s="16"/>
      <c r="J2522" s="16"/>
      <c r="K2522" s="17"/>
      <c r="L2522" s="16"/>
      <c r="M2522" s="17"/>
      <c r="N2522" s="17"/>
      <c r="O2522" s="17"/>
    </row>
    <row r="2523" spans="1:15" ht="12.75" x14ac:dyDescent="0.2">
      <c r="A2523" s="15"/>
      <c r="B2523" s="15"/>
      <c r="C2523" s="15"/>
      <c r="D2523" s="16"/>
      <c r="E2523" s="16"/>
      <c r="F2523" s="16"/>
      <c r="G2523" s="16"/>
      <c r="H2523" s="16"/>
      <c r="I2523" s="16"/>
      <c r="J2523" s="16"/>
      <c r="K2523" s="17"/>
      <c r="L2523" s="16"/>
      <c r="M2523" s="17"/>
      <c r="N2523" s="17"/>
      <c r="O2523" s="17"/>
    </row>
    <row r="2524" spans="1:15" ht="12.75" x14ac:dyDescent="0.2">
      <c r="A2524" s="15"/>
      <c r="B2524" s="15"/>
      <c r="C2524" s="15"/>
      <c r="D2524" s="16"/>
      <c r="E2524" s="16"/>
      <c r="F2524" s="16"/>
      <c r="G2524" s="16"/>
      <c r="H2524" s="16"/>
      <c r="I2524" s="16"/>
      <c r="J2524" s="16"/>
      <c r="K2524" s="17"/>
      <c r="L2524" s="16"/>
      <c r="M2524" s="17"/>
      <c r="N2524" s="17"/>
      <c r="O2524" s="17"/>
    </row>
    <row r="2525" spans="1:15" ht="12.75" x14ac:dyDescent="0.2">
      <c r="A2525" s="15"/>
      <c r="B2525" s="15"/>
      <c r="C2525" s="15"/>
      <c r="D2525" s="16"/>
      <c r="E2525" s="16"/>
      <c r="F2525" s="16"/>
      <c r="G2525" s="16"/>
      <c r="H2525" s="16"/>
      <c r="I2525" s="16"/>
      <c r="J2525" s="16"/>
      <c r="K2525" s="17"/>
      <c r="L2525" s="16"/>
      <c r="M2525" s="17"/>
      <c r="N2525" s="17"/>
      <c r="O2525" s="17"/>
    </row>
    <row r="2526" spans="1:15" ht="12.75" x14ac:dyDescent="0.2">
      <c r="A2526" s="15"/>
      <c r="B2526" s="15"/>
      <c r="C2526" s="15"/>
      <c r="D2526" s="16"/>
      <c r="E2526" s="16"/>
      <c r="F2526" s="16"/>
      <c r="G2526" s="16"/>
      <c r="H2526" s="16"/>
      <c r="I2526" s="16"/>
      <c r="J2526" s="16"/>
      <c r="K2526" s="17"/>
      <c r="L2526" s="16"/>
      <c r="M2526" s="17"/>
      <c r="N2526" s="17"/>
      <c r="O2526" s="17"/>
    </row>
    <row r="2527" spans="1:15" ht="12.75" x14ac:dyDescent="0.2">
      <c r="A2527" s="15"/>
      <c r="B2527" s="15"/>
      <c r="C2527" s="15"/>
      <c r="D2527" s="16"/>
      <c r="E2527" s="16"/>
      <c r="F2527" s="16"/>
      <c r="G2527" s="16"/>
      <c r="H2527" s="16"/>
      <c r="I2527" s="16"/>
      <c r="J2527" s="16"/>
      <c r="K2527" s="17"/>
      <c r="L2527" s="16"/>
      <c r="M2527" s="17"/>
      <c r="N2527" s="17"/>
      <c r="O2527" s="17"/>
    </row>
    <row r="2528" spans="1:15" ht="12.75" x14ac:dyDescent="0.2">
      <c r="A2528" s="15"/>
      <c r="B2528" s="15"/>
      <c r="C2528" s="15"/>
      <c r="D2528" s="16"/>
      <c r="E2528" s="16"/>
      <c r="F2528" s="16"/>
      <c r="G2528" s="16"/>
      <c r="H2528" s="16"/>
      <c r="I2528" s="16"/>
      <c r="J2528" s="16"/>
      <c r="K2528" s="17"/>
      <c r="L2528" s="16"/>
      <c r="M2528" s="17"/>
      <c r="N2528" s="17"/>
      <c r="O2528" s="17"/>
    </row>
    <row r="2529" spans="1:15" ht="12.75" x14ac:dyDescent="0.2">
      <c r="A2529" s="15"/>
      <c r="B2529" s="15"/>
      <c r="C2529" s="15"/>
      <c r="D2529" s="16"/>
      <c r="E2529" s="16"/>
      <c r="F2529" s="16"/>
      <c r="G2529" s="16"/>
      <c r="H2529" s="16"/>
      <c r="I2529" s="16"/>
      <c r="J2529" s="16"/>
      <c r="K2529" s="17"/>
      <c r="L2529" s="16"/>
      <c r="M2529" s="17"/>
      <c r="N2529" s="17"/>
      <c r="O2529" s="17"/>
    </row>
    <row r="2530" spans="1:15" ht="12.75" x14ac:dyDescent="0.2">
      <c r="A2530" s="15"/>
      <c r="B2530" s="15"/>
      <c r="C2530" s="15"/>
      <c r="D2530" s="16"/>
      <c r="E2530" s="16"/>
      <c r="F2530" s="16"/>
      <c r="G2530" s="16"/>
      <c r="H2530" s="16"/>
      <c r="I2530" s="16"/>
      <c r="J2530" s="16"/>
      <c r="K2530" s="17"/>
      <c r="L2530" s="16"/>
      <c r="M2530" s="17"/>
      <c r="N2530" s="17"/>
      <c r="O2530" s="17"/>
    </row>
    <row r="2531" spans="1:15" ht="12.75" x14ac:dyDescent="0.2">
      <c r="A2531" s="15"/>
      <c r="B2531" s="15"/>
      <c r="C2531" s="15"/>
      <c r="D2531" s="16"/>
      <c r="E2531" s="16"/>
      <c r="F2531" s="16"/>
      <c r="G2531" s="16"/>
      <c r="H2531" s="16"/>
      <c r="I2531" s="16"/>
      <c r="J2531" s="16"/>
      <c r="K2531" s="17"/>
      <c r="L2531" s="16"/>
      <c r="M2531" s="17"/>
      <c r="N2531" s="17"/>
      <c r="O2531" s="17"/>
    </row>
    <row r="2532" spans="1:15" ht="12.75" x14ac:dyDescent="0.2">
      <c r="A2532" s="15"/>
      <c r="B2532" s="15"/>
      <c r="C2532" s="15"/>
      <c r="D2532" s="16"/>
      <c r="E2532" s="16"/>
      <c r="F2532" s="16"/>
      <c r="G2532" s="16"/>
      <c r="H2532" s="16"/>
      <c r="I2532" s="16"/>
      <c r="J2532" s="16"/>
      <c r="K2532" s="17"/>
      <c r="L2532" s="16"/>
      <c r="M2532" s="17"/>
      <c r="N2532" s="17"/>
      <c r="O2532" s="17"/>
    </row>
    <row r="2533" spans="1:15" ht="12.75" x14ac:dyDescent="0.2">
      <c r="A2533" s="15"/>
      <c r="B2533" s="15"/>
      <c r="C2533" s="15"/>
      <c r="D2533" s="16"/>
      <c r="E2533" s="16"/>
      <c r="F2533" s="16"/>
      <c r="G2533" s="16"/>
      <c r="H2533" s="16"/>
      <c r="I2533" s="16"/>
      <c r="J2533" s="16"/>
      <c r="K2533" s="17"/>
      <c r="L2533" s="16"/>
      <c r="M2533" s="17"/>
      <c r="N2533" s="17"/>
      <c r="O2533" s="17"/>
    </row>
    <row r="2534" spans="1:15" ht="12.75" x14ac:dyDescent="0.2">
      <c r="A2534" s="15"/>
      <c r="B2534" s="15"/>
      <c r="C2534" s="15"/>
      <c r="D2534" s="16"/>
      <c r="E2534" s="16"/>
      <c r="F2534" s="16"/>
      <c r="G2534" s="16"/>
      <c r="H2534" s="16"/>
      <c r="I2534" s="16"/>
      <c r="J2534" s="16"/>
      <c r="K2534" s="17"/>
      <c r="L2534" s="16"/>
      <c r="M2534" s="17"/>
      <c r="N2534" s="17"/>
      <c r="O2534" s="17"/>
    </row>
    <row r="2535" spans="1:15" ht="12.75" x14ac:dyDescent="0.2">
      <c r="A2535" s="15"/>
      <c r="B2535" s="15"/>
      <c r="C2535" s="15"/>
      <c r="D2535" s="16"/>
      <c r="E2535" s="16"/>
      <c r="F2535" s="16"/>
      <c r="G2535" s="16"/>
      <c r="H2535" s="16"/>
      <c r="I2535" s="16"/>
      <c r="J2535" s="16"/>
      <c r="K2535" s="17"/>
      <c r="L2535" s="16"/>
      <c r="M2535" s="17"/>
      <c r="N2535" s="17"/>
      <c r="O2535" s="17"/>
    </row>
    <row r="2536" spans="1:15" ht="12.75" x14ac:dyDescent="0.2">
      <c r="A2536" s="15"/>
      <c r="B2536" s="15"/>
      <c r="C2536" s="15"/>
      <c r="D2536" s="16"/>
      <c r="E2536" s="16"/>
      <c r="F2536" s="16"/>
      <c r="G2536" s="16"/>
      <c r="H2536" s="16"/>
      <c r="I2536" s="16"/>
      <c r="J2536" s="16"/>
      <c r="K2536" s="17"/>
      <c r="L2536" s="16"/>
      <c r="M2536" s="17"/>
      <c r="N2536" s="17"/>
      <c r="O2536" s="17"/>
    </row>
    <row r="2537" spans="1:15" ht="12.75" x14ac:dyDescent="0.2">
      <c r="A2537" s="15"/>
      <c r="B2537" s="15"/>
      <c r="C2537" s="15"/>
      <c r="D2537" s="16"/>
      <c r="E2537" s="16"/>
      <c r="F2537" s="16"/>
      <c r="G2537" s="16"/>
      <c r="H2537" s="16"/>
      <c r="I2537" s="16"/>
      <c r="J2537" s="16"/>
      <c r="K2537" s="17"/>
      <c r="L2537" s="16"/>
      <c r="M2537" s="17"/>
      <c r="N2537" s="17"/>
      <c r="O2537" s="17"/>
    </row>
    <row r="2538" spans="1:15" ht="12.75" x14ac:dyDescent="0.2">
      <c r="A2538" s="15"/>
      <c r="B2538" s="15"/>
      <c r="C2538" s="15"/>
      <c r="D2538" s="16"/>
      <c r="E2538" s="16"/>
      <c r="F2538" s="16"/>
      <c r="G2538" s="16"/>
      <c r="H2538" s="16"/>
      <c r="I2538" s="16"/>
      <c r="J2538" s="16"/>
      <c r="K2538" s="17"/>
      <c r="L2538" s="16"/>
      <c r="M2538" s="17"/>
      <c r="N2538" s="17"/>
      <c r="O2538" s="17"/>
    </row>
    <row r="2539" spans="1:15" ht="12.75" x14ac:dyDescent="0.2">
      <c r="A2539" s="15"/>
      <c r="B2539" s="15"/>
      <c r="C2539" s="15"/>
      <c r="D2539" s="16"/>
      <c r="E2539" s="16"/>
      <c r="F2539" s="16"/>
      <c r="G2539" s="16"/>
      <c r="H2539" s="16"/>
      <c r="I2539" s="16"/>
      <c r="J2539" s="16"/>
      <c r="K2539" s="17"/>
      <c r="L2539" s="16"/>
      <c r="M2539" s="17"/>
      <c r="N2539" s="17"/>
      <c r="O2539" s="17"/>
    </row>
    <row r="2540" spans="1:15" ht="12.75" x14ac:dyDescent="0.2">
      <c r="A2540" s="15"/>
      <c r="B2540" s="15"/>
      <c r="C2540" s="15"/>
      <c r="D2540" s="16"/>
      <c r="E2540" s="16"/>
      <c r="F2540" s="16"/>
      <c r="G2540" s="16"/>
      <c r="H2540" s="16"/>
      <c r="I2540" s="16"/>
      <c r="J2540" s="16"/>
      <c r="K2540" s="17"/>
      <c r="L2540" s="16"/>
      <c r="M2540" s="17"/>
      <c r="N2540" s="17"/>
      <c r="O2540" s="17"/>
    </row>
    <row r="2541" spans="1:15" ht="12.75" x14ac:dyDescent="0.2">
      <c r="A2541" s="15"/>
      <c r="B2541" s="15"/>
      <c r="C2541" s="15"/>
      <c r="D2541" s="16"/>
      <c r="E2541" s="16"/>
      <c r="F2541" s="16"/>
      <c r="G2541" s="16"/>
      <c r="H2541" s="16"/>
      <c r="I2541" s="16"/>
      <c r="J2541" s="16"/>
      <c r="K2541" s="17"/>
      <c r="L2541" s="16"/>
      <c r="M2541" s="17"/>
      <c r="N2541" s="17"/>
      <c r="O2541" s="17"/>
    </row>
    <row r="2542" spans="1:15" ht="12.75" x14ac:dyDescent="0.2">
      <c r="A2542" s="15"/>
      <c r="B2542" s="15"/>
      <c r="C2542" s="15"/>
      <c r="D2542" s="16"/>
      <c r="E2542" s="16"/>
      <c r="F2542" s="16"/>
      <c r="G2542" s="16"/>
      <c r="H2542" s="16"/>
      <c r="I2542" s="16"/>
      <c r="J2542" s="16"/>
      <c r="K2542" s="17"/>
      <c r="L2542" s="16"/>
      <c r="M2542" s="17"/>
      <c r="N2542" s="17"/>
      <c r="O2542" s="17"/>
    </row>
    <row r="2543" spans="1:15" ht="12.75" x14ac:dyDescent="0.2">
      <c r="A2543" s="15"/>
      <c r="B2543" s="15"/>
      <c r="C2543" s="15"/>
      <c r="D2543" s="16"/>
      <c r="E2543" s="16"/>
      <c r="F2543" s="16"/>
      <c r="G2543" s="16"/>
      <c r="H2543" s="16"/>
      <c r="I2543" s="16"/>
      <c r="J2543" s="16"/>
      <c r="K2543" s="17"/>
      <c r="L2543" s="16"/>
      <c r="M2543" s="17"/>
      <c r="N2543" s="17"/>
      <c r="O2543" s="17"/>
    </row>
    <row r="2544" spans="1:15" ht="12.75" x14ac:dyDescent="0.2">
      <c r="A2544" s="15"/>
      <c r="B2544" s="15"/>
      <c r="C2544" s="15"/>
      <c r="D2544" s="16"/>
      <c r="E2544" s="16"/>
      <c r="F2544" s="16"/>
      <c r="G2544" s="16"/>
      <c r="H2544" s="16"/>
      <c r="I2544" s="16"/>
      <c r="J2544" s="16"/>
      <c r="K2544" s="17"/>
      <c r="L2544" s="16"/>
      <c r="M2544" s="17"/>
      <c r="N2544" s="17"/>
      <c r="O2544" s="17"/>
    </row>
    <row r="2545" spans="1:15" ht="12.75" x14ac:dyDescent="0.2">
      <c r="A2545" s="15"/>
      <c r="B2545" s="15"/>
      <c r="C2545" s="15"/>
      <c r="D2545" s="16"/>
      <c r="E2545" s="16"/>
      <c r="F2545" s="16"/>
      <c r="G2545" s="16"/>
      <c r="H2545" s="16"/>
      <c r="I2545" s="16"/>
      <c r="J2545" s="16"/>
      <c r="K2545" s="17"/>
      <c r="L2545" s="16"/>
      <c r="M2545" s="17"/>
      <c r="N2545" s="17"/>
      <c r="O2545" s="17"/>
    </row>
    <row r="2546" spans="1:15" ht="12.75" x14ac:dyDescent="0.2">
      <c r="A2546" s="15"/>
      <c r="B2546" s="15"/>
      <c r="C2546" s="15"/>
      <c r="D2546" s="16"/>
      <c r="E2546" s="16"/>
      <c r="F2546" s="16"/>
      <c r="G2546" s="16"/>
      <c r="H2546" s="16"/>
      <c r="I2546" s="16"/>
      <c r="J2546" s="16"/>
      <c r="K2546" s="17"/>
      <c r="L2546" s="16"/>
      <c r="M2546" s="17"/>
      <c r="N2546" s="17"/>
      <c r="O2546" s="17"/>
    </row>
    <row r="2547" spans="1:15" ht="12.75" x14ac:dyDescent="0.2">
      <c r="A2547" s="15"/>
      <c r="B2547" s="15"/>
      <c r="C2547" s="15"/>
      <c r="D2547" s="16"/>
      <c r="E2547" s="16"/>
      <c r="F2547" s="16"/>
      <c r="G2547" s="16"/>
      <c r="H2547" s="16"/>
      <c r="I2547" s="16"/>
      <c r="J2547" s="16"/>
      <c r="K2547" s="17"/>
      <c r="L2547" s="16"/>
      <c r="M2547" s="17"/>
      <c r="N2547" s="17"/>
      <c r="O2547" s="17"/>
    </row>
    <row r="2548" spans="1:15" ht="12.75" x14ac:dyDescent="0.2">
      <c r="A2548" s="15"/>
      <c r="B2548" s="15"/>
      <c r="C2548" s="15"/>
      <c r="D2548" s="16"/>
      <c r="E2548" s="16"/>
      <c r="F2548" s="16"/>
      <c r="G2548" s="16"/>
      <c r="H2548" s="16"/>
      <c r="I2548" s="16"/>
      <c r="J2548" s="16"/>
      <c r="K2548" s="17"/>
      <c r="L2548" s="16"/>
      <c r="M2548" s="17"/>
      <c r="N2548" s="17"/>
      <c r="O2548" s="17"/>
    </row>
    <row r="2549" spans="1:15" ht="12.75" x14ac:dyDescent="0.2">
      <c r="A2549" s="15"/>
      <c r="B2549" s="15"/>
      <c r="C2549" s="15"/>
      <c r="D2549" s="16"/>
      <c r="E2549" s="16"/>
      <c r="F2549" s="16"/>
      <c r="G2549" s="16"/>
      <c r="H2549" s="16"/>
      <c r="I2549" s="16"/>
      <c r="J2549" s="16"/>
      <c r="K2549" s="17"/>
      <c r="L2549" s="16"/>
      <c r="M2549" s="17"/>
      <c r="N2549" s="17"/>
      <c r="O2549" s="17"/>
    </row>
    <row r="2550" spans="1:15" ht="12.75" x14ac:dyDescent="0.2">
      <c r="A2550" s="15"/>
      <c r="B2550" s="15"/>
      <c r="C2550" s="15"/>
      <c r="D2550" s="16"/>
      <c r="E2550" s="16"/>
      <c r="F2550" s="16"/>
      <c r="G2550" s="16"/>
      <c r="H2550" s="16"/>
      <c r="I2550" s="16"/>
      <c r="J2550" s="16"/>
      <c r="K2550" s="17"/>
      <c r="L2550" s="16"/>
      <c r="M2550" s="17"/>
      <c r="N2550" s="17"/>
      <c r="O2550" s="17"/>
    </row>
    <row r="2551" spans="1:15" ht="12.75" x14ac:dyDescent="0.2">
      <c r="A2551" s="15"/>
      <c r="B2551" s="15"/>
      <c r="C2551" s="15"/>
      <c r="D2551" s="16"/>
      <c r="E2551" s="16"/>
      <c r="F2551" s="16"/>
      <c r="G2551" s="16"/>
      <c r="H2551" s="16"/>
      <c r="I2551" s="16"/>
      <c r="J2551" s="16"/>
      <c r="K2551" s="17"/>
      <c r="L2551" s="16"/>
      <c r="M2551" s="17"/>
      <c r="N2551" s="17"/>
      <c r="O2551" s="17"/>
    </row>
    <row r="2552" spans="1:15" ht="12.75" x14ac:dyDescent="0.2">
      <c r="A2552" s="15"/>
      <c r="B2552" s="15"/>
      <c r="C2552" s="15"/>
      <c r="D2552" s="16"/>
      <c r="E2552" s="16"/>
      <c r="F2552" s="16"/>
      <c r="G2552" s="16"/>
      <c r="H2552" s="16"/>
      <c r="I2552" s="16"/>
      <c r="J2552" s="16"/>
      <c r="K2552" s="17"/>
      <c r="L2552" s="16"/>
      <c r="M2552" s="17"/>
      <c r="N2552" s="17"/>
      <c r="O2552" s="17"/>
    </row>
    <row r="2553" spans="1:15" ht="12.75" x14ac:dyDescent="0.2">
      <c r="A2553" s="15"/>
      <c r="B2553" s="15"/>
      <c r="C2553" s="15"/>
      <c r="D2553" s="16"/>
      <c r="E2553" s="16"/>
      <c r="F2553" s="16"/>
      <c r="G2553" s="16"/>
      <c r="H2553" s="16"/>
      <c r="I2553" s="16"/>
      <c r="J2553" s="16"/>
      <c r="K2553" s="17"/>
      <c r="L2553" s="16"/>
      <c r="M2553" s="17"/>
      <c r="N2553" s="17"/>
      <c r="O2553" s="17"/>
    </row>
    <row r="2554" spans="1:15" ht="12.75" x14ac:dyDescent="0.2">
      <c r="A2554" s="15"/>
      <c r="B2554" s="15"/>
      <c r="C2554" s="15"/>
      <c r="D2554" s="16"/>
      <c r="E2554" s="16"/>
      <c r="F2554" s="16"/>
      <c r="G2554" s="16"/>
      <c r="H2554" s="16"/>
      <c r="I2554" s="16"/>
      <c r="J2554" s="16"/>
      <c r="K2554" s="17"/>
      <c r="L2554" s="16"/>
      <c r="M2554" s="17"/>
      <c r="N2554" s="17"/>
      <c r="O2554" s="17"/>
    </row>
    <row r="2555" spans="1:15" ht="12.75" x14ac:dyDescent="0.2">
      <c r="A2555" s="15"/>
      <c r="B2555" s="15"/>
      <c r="C2555" s="15"/>
      <c r="D2555" s="16"/>
      <c r="E2555" s="16"/>
      <c r="F2555" s="16"/>
      <c r="G2555" s="16"/>
      <c r="H2555" s="16"/>
      <c r="I2555" s="16"/>
      <c r="J2555" s="16"/>
      <c r="K2555" s="17"/>
      <c r="L2555" s="16"/>
      <c r="M2555" s="17"/>
      <c r="N2555" s="17"/>
      <c r="O2555" s="17"/>
    </row>
    <row r="2556" spans="1:15" ht="12.75" x14ac:dyDescent="0.2">
      <c r="A2556" s="15"/>
      <c r="B2556" s="15"/>
      <c r="C2556" s="15"/>
      <c r="D2556" s="16"/>
      <c r="E2556" s="16"/>
      <c r="F2556" s="16"/>
      <c r="G2556" s="16"/>
      <c r="H2556" s="16"/>
      <c r="I2556" s="16"/>
      <c r="J2556" s="16"/>
      <c r="K2556" s="17"/>
      <c r="L2556" s="16"/>
      <c r="M2556" s="17"/>
      <c r="N2556" s="17"/>
      <c r="O2556" s="17"/>
    </row>
    <row r="2557" spans="1:15" ht="12.75" x14ac:dyDescent="0.2">
      <c r="A2557" s="15"/>
      <c r="B2557" s="15"/>
      <c r="C2557" s="15"/>
      <c r="D2557" s="16"/>
      <c r="E2557" s="16"/>
      <c r="F2557" s="16"/>
      <c r="G2557" s="16"/>
      <c r="H2557" s="16"/>
      <c r="I2557" s="16"/>
      <c r="J2557" s="16"/>
      <c r="K2557" s="17"/>
      <c r="L2557" s="16"/>
      <c r="M2557" s="17"/>
      <c r="N2557" s="17"/>
      <c r="O2557" s="17"/>
    </row>
    <row r="2558" spans="1:15" ht="12.75" x14ac:dyDescent="0.2">
      <c r="A2558" s="15"/>
      <c r="B2558" s="15"/>
      <c r="C2558" s="15"/>
      <c r="D2558" s="16"/>
      <c r="E2558" s="16"/>
      <c r="F2558" s="16"/>
      <c r="G2558" s="16"/>
      <c r="H2558" s="16"/>
      <c r="I2558" s="16"/>
      <c r="J2558" s="16"/>
      <c r="K2558" s="17"/>
      <c r="L2558" s="16"/>
      <c r="M2558" s="17"/>
      <c r="N2558" s="17"/>
      <c r="O2558" s="17"/>
    </row>
    <row r="2559" spans="1:15" ht="12.75" x14ac:dyDescent="0.2">
      <c r="A2559" s="15"/>
      <c r="B2559" s="15"/>
      <c r="C2559" s="15"/>
      <c r="D2559" s="16"/>
      <c r="E2559" s="16"/>
      <c r="F2559" s="16"/>
      <c r="G2559" s="16"/>
      <c r="H2559" s="16"/>
      <c r="I2559" s="16"/>
      <c r="J2559" s="16"/>
      <c r="K2559" s="17"/>
      <c r="L2559" s="16"/>
      <c r="M2559" s="17"/>
      <c r="N2559" s="17"/>
      <c r="O2559" s="17"/>
    </row>
    <row r="2560" spans="1:15" ht="12.75" x14ac:dyDescent="0.2">
      <c r="A2560" s="15"/>
      <c r="B2560" s="15"/>
      <c r="C2560" s="15"/>
      <c r="D2560" s="16"/>
      <c r="E2560" s="16"/>
      <c r="F2560" s="16"/>
      <c r="G2560" s="16"/>
      <c r="H2560" s="16"/>
      <c r="I2560" s="16"/>
      <c r="J2560" s="16"/>
      <c r="K2560" s="17"/>
      <c r="L2560" s="16"/>
      <c r="M2560" s="17"/>
      <c r="N2560" s="17"/>
      <c r="O2560" s="17"/>
    </row>
    <row r="2561" spans="1:15" ht="12.75" x14ac:dyDescent="0.2">
      <c r="A2561" s="15"/>
      <c r="B2561" s="15"/>
      <c r="C2561" s="15"/>
      <c r="D2561" s="16"/>
      <c r="E2561" s="16"/>
      <c r="F2561" s="16"/>
      <c r="G2561" s="16"/>
      <c r="H2561" s="16"/>
      <c r="I2561" s="16"/>
      <c r="J2561" s="16"/>
      <c r="K2561" s="17"/>
      <c r="L2561" s="16"/>
      <c r="M2561" s="17"/>
      <c r="N2561" s="17"/>
      <c r="O2561" s="17"/>
    </row>
    <row r="2562" spans="1:15" ht="12.75" x14ac:dyDescent="0.2">
      <c r="A2562" s="15"/>
      <c r="B2562" s="15"/>
      <c r="C2562" s="15"/>
      <c r="D2562" s="16"/>
      <c r="E2562" s="16"/>
      <c r="F2562" s="16"/>
      <c r="G2562" s="16"/>
      <c r="H2562" s="16"/>
      <c r="I2562" s="16"/>
      <c r="J2562" s="16"/>
      <c r="K2562" s="17"/>
      <c r="L2562" s="16"/>
      <c r="M2562" s="17"/>
      <c r="N2562" s="17"/>
      <c r="O2562" s="17"/>
    </row>
    <row r="2563" spans="1:15" ht="12.75" x14ac:dyDescent="0.2">
      <c r="A2563" s="15"/>
      <c r="B2563" s="15"/>
      <c r="C2563" s="15"/>
      <c r="D2563" s="16"/>
      <c r="E2563" s="16"/>
      <c r="F2563" s="16"/>
      <c r="G2563" s="16"/>
      <c r="H2563" s="16"/>
      <c r="I2563" s="16"/>
      <c r="J2563" s="16"/>
      <c r="K2563" s="17"/>
      <c r="L2563" s="16"/>
      <c r="M2563" s="17"/>
      <c r="N2563" s="17"/>
      <c r="O2563" s="17"/>
    </row>
    <row r="2564" spans="1:15" ht="12.75" x14ac:dyDescent="0.2">
      <c r="A2564" s="15"/>
      <c r="B2564" s="15"/>
      <c r="C2564" s="15"/>
      <c r="D2564" s="16"/>
      <c r="E2564" s="16"/>
      <c r="F2564" s="16"/>
      <c r="G2564" s="16"/>
      <c r="H2564" s="16"/>
      <c r="I2564" s="16"/>
      <c r="J2564" s="16"/>
      <c r="K2564" s="17"/>
      <c r="L2564" s="16"/>
      <c r="M2564" s="17"/>
      <c r="N2564" s="17"/>
      <c r="O2564" s="17"/>
    </row>
    <row r="2565" spans="1:15" ht="12.75" x14ac:dyDescent="0.2">
      <c r="A2565" s="15"/>
      <c r="B2565" s="15"/>
      <c r="C2565" s="15"/>
      <c r="D2565" s="16"/>
      <c r="E2565" s="16"/>
      <c r="F2565" s="16"/>
      <c r="G2565" s="16"/>
      <c r="H2565" s="16"/>
      <c r="I2565" s="16"/>
      <c r="J2565" s="16"/>
      <c r="K2565" s="17"/>
      <c r="L2565" s="16"/>
      <c r="M2565" s="17"/>
      <c r="N2565" s="17"/>
      <c r="O2565" s="17"/>
    </row>
    <row r="2566" spans="1:15" ht="12.75" x14ac:dyDescent="0.2">
      <c r="A2566" s="15"/>
      <c r="B2566" s="15"/>
      <c r="C2566" s="15"/>
      <c r="D2566" s="16"/>
      <c r="E2566" s="16"/>
      <c r="F2566" s="16"/>
      <c r="G2566" s="16"/>
      <c r="H2566" s="16"/>
      <c r="I2566" s="16"/>
      <c r="J2566" s="16"/>
      <c r="K2566" s="17"/>
      <c r="L2566" s="16"/>
      <c r="M2566" s="17"/>
      <c r="N2566" s="17"/>
      <c r="O2566" s="17"/>
    </row>
    <row r="2567" spans="1:15" ht="12.75" x14ac:dyDescent="0.2">
      <c r="A2567" s="15"/>
      <c r="B2567" s="15"/>
      <c r="C2567" s="15"/>
      <c r="D2567" s="16"/>
      <c r="E2567" s="16"/>
      <c r="F2567" s="16"/>
      <c r="G2567" s="16"/>
      <c r="H2567" s="16"/>
      <c r="I2567" s="16"/>
      <c r="J2567" s="16"/>
      <c r="K2567" s="17"/>
      <c r="L2567" s="16"/>
      <c r="M2567" s="17"/>
      <c r="N2567" s="17"/>
      <c r="O2567" s="17"/>
    </row>
    <row r="2568" spans="1:15" ht="12.75" x14ac:dyDescent="0.2">
      <c r="A2568" s="15"/>
      <c r="B2568" s="15"/>
      <c r="C2568" s="15"/>
      <c r="D2568" s="16"/>
      <c r="E2568" s="16"/>
      <c r="F2568" s="16"/>
      <c r="G2568" s="16"/>
      <c r="H2568" s="16"/>
      <c r="I2568" s="16"/>
      <c r="J2568" s="16"/>
      <c r="K2568" s="17"/>
      <c r="L2568" s="16"/>
      <c r="M2568" s="17"/>
      <c r="N2568" s="17"/>
      <c r="O2568" s="17"/>
    </row>
    <row r="2569" spans="1:15" ht="12.75" x14ac:dyDescent="0.2">
      <c r="A2569" s="15"/>
      <c r="B2569" s="15"/>
      <c r="C2569" s="15"/>
      <c r="D2569" s="16"/>
      <c r="E2569" s="16"/>
      <c r="F2569" s="16"/>
      <c r="G2569" s="16"/>
      <c r="H2569" s="16"/>
      <c r="I2569" s="16"/>
      <c r="J2569" s="16"/>
      <c r="K2569" s="17"/>
      <c r="L2569" s="16"/>
      <c r="M2569" s="17"/>
      <c r="N2569" s="17"/>
      <c r="O2569" s="17"/>
    </row>
    <row r="2570" spans="1:15" ht="12.75" x14ac:dyDescent="0.2">
      <c r="A2570" s="15"/>
      <c r="B2570" s="15"/>
      <c r="C2570" s="15"/>
      <c r="D2570" s="16"/>
      <c r="E2570" s="16"/>
      <c r="F2570" s="16"/>
      <c r="G2570" s="16"/>
      <c r="H2570" s="16"/>
      <c r="I2570" s="16"/>
      <c r="J2570" s="16"/>
      <c r="K2570" s="17"/>
      <c r="L2570" s="16"/>
      <c r="M2570" s="17"/>
      <c r="N2570" s="17"/>
      <c r="O2570" s="17"/>
    </row>
    <row r="2571" spans="1:15" ht="12.75" x14ac:dyDescent="0.2">
      <c r="A2571" s="15"/>
      <c r="B2571" s="15"/>
      <c r="C2571" s="15"/>
      <c r="D2571" s="16"/>
      <c r="E2571" s="16"/>
      <c r="F2571" s="16"/>
      <c r="G2571" s="16"/>
      <c r="H2571" s="16"/>
      <c r="I2571" s="16"/>
      <c r="J2571" s="16"/>
      <c r="K2571" s="17"/>
      <c r="L2571" s="16"/>
      <c r="M2571" s="17"/>
      <c r="N2571" s="17"/>
      <c r="O2571" s="17"/>
    </row>
    <row r="2572" spans="1:15" ht="12.75" x14ac:dyDescent="0.2">
      <c r="A2572" s="15"/>
      <c r="B2572" s="15"/>
      <c r="C2572" s="15"/>
      <c r="D2572" s="16"/>
      <c r="E2572" s="16"/>
      <c r="F2572" s="16"/>
      <c r="G2572" s="16"/>
      <c r="H2572" s="16"/>
      <c r="I2572" s="16"/>
      <c r="J2572" s="16"/>
      <c r="K2572" s="17"/>
      <c r="L2572" s="16"/>
      <c r="M2572" s="17"/>
      <c r="N2572" s="17"/>
      <c r="O2572" s="17"/>
    </row>
    <row r="2573" spans="1:15" ht="12.75" x14ac:dyDescent="0.2">
      <c r="A2573" s="15"/>
      <c r="B2573" s="15"/>
      <c r="C2573" s="15"/>
      <c r="D2573" s="16"/>
      <c r="E2573" s="16"/>
      <c r="F2573" s="16"/>
      <c r="G2573" s="16"/>
      <c r="H2573" s="16"/>
      <c r="I2573" s="16"/>
      <c r="J2573" s="16"/>
      <c r="K2573" s="17"/>
      <c r="L2573" s="16"/>
      <c r="M2573" s="17"/>
      <c r="N2573" s="17"/>
      <c r="O2573" s="17"/>
    </row>
    <row r="2574" spans="1:15" ht="12.75" x14ac:dyDescent="0.2">
      <c r="A2574" s="15"/>
      <c r="B2574" s="15"/>
      <c r="C2574" s="15"/>
      <c r="D2574" s="16"/>
      <c r="E2574" s="16"/>
      <c r="F2574" s="16"/>
      <c r="G2574" s="16"/>
      <c r="H2574" s="16"/>
      <c r="I2574" s="16"/>
      <c r="J2574" s="16"/>
      <c r="K2574" s="17"/>
      <c r="L2574" s="16"/>
      <c r="M2574" s="17"/>
      <c r="N2574" s="17"/>
      <c r="O2574" s="17"/>
    </row>
    <row r="2575" spans="1:15" ht="12.75" x14ac:dyDescent="0.2">
      <c r="A2575" s="15"/>
      <c r="B2575" s="15"/>
      <c r="C2575" s="15"/>
      <c r="D2575" s="16"/>
      <c r="E2575" s="16"/>
      <c r="F2575" s="16"/>
      <c r="G2575" s="16"/>
      <c r="H2575" s="16"/>
      <c r="I2575" s="16"/>
      <c r="J2575" s="16"/>
      <c r="K2575" s="17"/>
      <c r="L2575" s="16"/>
      <c r="M2575" s="17"/>
      <c r="N2575" s="17"/>
      <c r="O2575" s="17"/>
    </row>
    <row r="2576" spans="1:15" ht="12.75" x14ac:dyDescent="0.2">
      <c r="A2576" s="15"/>
      <c r="B2576" s="15"/>
      <c r="C2576" s="15"/>
      <c r="D2576" s="16"/>
      <c r="E2576" s="16"/>
      <c r="F2576" s="16"/>
      <c r="G2576" s="16"/>
      <c r="H2576" s="16"/>
      <c r="I2576" s="16"/>
      <c r="J2576" s="16"/>
      <c r="K2576" s="17"/>
      <c r="L2576" s="16"/>
      <c r="M2576" s="17"/>
      <c r="N2576" s="17"/>
      <c r="O2576" s="17"/>
    </row>
    <row r="2577" spans="1:15" ht="12.75" x14ac:dyDescent="0.2">
      <c r="A2577" s="15"/>
      <c r="B2577" s="15"/>
      <c r="C2577" s="15"/>
      <c r="D2577" s="16"/>
      <c r="E2577" s="16"/>
      <c r="F2577" s="16"/>
      <c r="G2577" s="16"/>
      <c r="H2577" s="16"/>
      <c r="I2577" s="16"/>
      <c r="J2577" s="16"/>
      <c r="K2577" s="17"/>
      <c r="L2577" s="16"/>
      <c r="M2577" s="17"/>
      <c r="N2577" s="17"/>
      <c r="O2577" s="17"/>
    </row>
    <row r="2578" spans="1:15" ht="12.75" x14ac:dyDescent="0.2">
      <c r="A2578" s="15"/>
      <c r="B2578" s="15"/>
      <c r="C2578" s="15"/>
      <c r="D2578" s="16"/>
      <c r="E2578" s="16"/>
      <c r="F2578" s="16"/>
      <c r="G2578" s="16"/>
      <c r="H2578" s="16"/>
      <c r="I2578" s="16"/>
      <c r="J2578" s="16"/>
      <c r="K2578" s="17"/>
      <c r="L2578" s="16"/>
      <c r="M2578" s="17"/>
      <c r="N2578" s="17"/>
      <c r="O2578" s="17"/>
    </row>
    <row r="2579" spans="1:15" ht="12.75" x14ac:dyDescent="0.2">
      <c r="A2579" s="15"/>
      <c r="B2579" s="15"/>
      <c r="C2579" s="15"/>
      <c r="D2579" s="16"/>
      <c r="E2579" s="16"/>
      <c r="F2579" s="16"/>
      <c r="G2579" s="16"/>
      <c r="H2579" s="16"/>
      <c r="I2579" s="16"/>
      <c r="J2579" s="16"/>
      <c r="K2579" s="17"/>
      <c r="L2579" s="16"/>
      <c r="M2579" s="17"/>
      <c r="N2579" s="17"/>
      <c r="O2579" s="17"/>
    </row>
    <row r="2580" spans="1:15" ht="12.75" x14ac:dyDescent="0.2">
      <c r="A2580" s="15"/>
      <c r="B2580" s="15"/>
      <c r="C2580" s="15"/>
      <c r="D2580" s="16"/>
      <c r="E2580" s="16"/>
      <c r="F2580" s="16"/>
      <c r="G2580" s="16"/>
      <c r="H2580" s="16"/>
      <c r="I2580" s="16"/>
      <c r="J2580" s="16"/>
      <c r="K2580" s="17"/>
      <c r="L2580" s="16"/>
      <c r="M2580" s="17"/>
      <c r="N2580" s="17"/>
      <c r="O2580" s="17"/>
    </row>
    <row r="2581" spans="1:15" ht="12.75" x14ac:dyDescent="0.2">
      <c r="A2581" s="15"/>
      <c r="B2581" s="15"/>
      <c r="C2581" s="15"/>
      <c r="D2581" s="16"/>
      <c r="E2581" s="16"/>
      <c r="F2581" s="16"/>
      <c r="G2581" s="16"/>
      <c r="H2581" s="16"/>
      <c r="I2581" s="16"/>
      <c r="J2581" s="16"/>
      <c r="K2581" s="17"/>
      <c r="L2581" s="16"/>
      <c r="M2581" s="17"/>
      <c r="N2581" s="17"/>
      <c r="O2581" s="17"/>
    </row>
    <row r="2582" spans="1:15" ht="12.75" x14ac:dyDescent="0.2">
      <c r="A2582" s="15"/>
      <c r="B2582" s="15"/>
      <c r="C2582" s="15"/>
      <c r="D2582" s="16"/>
      <c r="E2582" s="16"/>
      <c r="F2582" s="16"/>
      <c r="G2582" s="16"/>
      <c r="H2582" s="16"/>
      <c r="I2582" s="16"/>
      <c r="J2582" s="16"/>
      <c r="K2582" s="17"/>
      <c r="L2582" s="16"/>
      <c r="M2582" s="17"/>
      <c r="N2582" s="17"/>
      <c r="O2582" s="17"/>
    </row>
    <row r="2583" spans="1:15" ht="12.75" x14ac:dyDescent="0.2">
      <c r="A2583" s="15"/>
      <c r="B2583" s="15"/>
      <c r="C2583" s="15"/>
      <c r="D2583" s="16"/>
      <c r="E2583" s="16"/>
      <c r="F2583" s="16"/>
      <c r="G2583" s="16"/>
      <c r="H2583" s="16"/>
      <c r="I2583" s="16"/>
      <c r="J2583" s="16"/>
      <c r="K2583" s="17"/>
      <c r="L2583" s="16"/>
      <c r="M2583" s="17"/>
      <c r="N2583" s="17"/>
      <c r="O2583" s="17"/>
    </row>
    <row r="2584" spans="1:15" ht="12.75" x14ac:dyDescent="0.2">
      <c r="A2584" s="15"/>
      <c r="B2584" s="15"/>
      <c r="C2584" s="15"/>
      <c r="D2584" s="16"/>
      <c r="E2584" s="16"/>
      <c r="F2584" s="16"/>
      <c r="G2584" s="16"/>
      <c r="H2584" s="16"/>
      <c r="I2584" s="16"/>
      <c r="J2584" s="16"/>
      <c r="K2584" s="17"/>
      <c r="L2584" s="16"/>
      <c r="M2584" s="17"/>
      <c r="N2584" s="17"/>
      <c r="O2584" s="17"/>
    </row>
    <row r="2585" spans="1:15" ht="12.75" x14ac:dyDescent="0.2">
      <c r="A2585" s="15"/>
      <c r="B2585" s="15"/>
      <c r="C2585" s="15"/>
      <c r="D2585" s="16"/>
      <c r="E2585" s="16"/>
      <c r="F2585" s="16"/>
      <c r="G2585" s="16"/>
      <c r="H2585" s="16"/>
      <c r="I2585" s="16"/>
      <c r="J2585" s="16"/>
      <c r="K2585" s="17"/>
      <c r="L2585" s="16"/>
      <c r="M2585" s="17"/>
      <c r="N2585" s="17"/>
      <c r="O2585" s="17"/>
    </row>
    <row r="2586" spans="1:15" ht="12.75" x14ac:dyDescent="0.2">
      <c r="A2586" s="15"/>
      <c r="B2586" s="15"/>
      <c r="C2586" s="15"/>
      <c r="D2586" s="16"/>
      <c r="E2586" s="16"/>
      <c r="F2586" s="16"/>
      <c r="G2586" s="16"/>
      <c r="H2586" s="16"/>
      <c r="I2586" s="16"/>
      <c r="J2586" s="16"/>
      <c r="K2586" s="17"/>
      <c r="L2586" s="16"/>
      <c r="M2586" s="17"/>
      <c r="N2586" s="17"/>
      <c r="O2586" s="17"/>
    </row>
    <row r="2587" spans="1:15" ht="12.75" x14ac:dyDescent="0.2">
      <c r="A2587" s="15"/>
      <c r="B2587" s="15"/>
      <c r="C2587" s="15"/>
      <c r="D2587" s="16"/>
      <c r="E2587" s="16"/>
      <c r="F2587" s="16"/>
      <c r="G2587" s="16"/>
      <c r="H2587" s="16"/>
      <c r="I2587" s="16"/>
      <c r="J2587" s="16"/>
      <c r="K2587" s="17"/>
      <c r="L2587" s="16"/>
      <c r="M2587" s="17"/>
      <c r="N2587" s="17"/>
      <c r="O2587" s="17"/>
    </row>
    <row r="2588" spans="1:15" ht="12.75" x14ac:dyDescent="0.2">
      <c r="A2588" s="15"/>
      <c r="B2588" s="15"/>
      <c r="C2588" s="15"/>
      <c r="D2588" s="16"/>
      <c r="E2588" s="16"/>
      <c r="F2588" s="16"/>
      <c r="G2588" s="16"/>
      <c r="H2588" s="16"/>
      <c r="I2588" s="16"/>
      <c r="J2588" s="16"/>
      <c r="K2588" s="17"/>
      <c r="L2588" s="16"/>
      <c r="M2588" s="17"/>
      <c r="N2588" s="17"/>
      <c r="O2588" s="17"/>
    </row>
    <row r="2589" spans="1:15" ht="12.75" x14ac:dyDescent="0.2">
      <c r="A2589" s="15"/>
      <c r="B2589" s="15"/>
      <c r="C2589" s="15"/>
      <c r="D2589" s="16"/>
      <c r="E2589" s="16"/>
      <c r="F2589" s="16"/>
      <c r="G2589" s="16"/>
      <c r="H2589" s="16"/>
      <c r="I2589" s="16"/>
      <c r="J2589" s="16"/>
      <c r="K2589" s="17"/>
      <c r="L2589" s="16"/>
      <c r="M2589" s="17"/>
      <c r="N2589" s="17"/>
      <c r="O2589" s="17"/>
    </row>
    <row r="2590" spans="1:15" ht="12.75" x14ac:dyDescent="0.2">
      <c r="A2590" s="15"/>
      <c r="B2590" s="15"/>
      <c r="C2590" s="15"/>
      <c r="D2590" s="16"/>
      <c r="E2590" s="16"/>
      <c r="F2590" s="16"/>
      <c r="G2590" s="16"/>
      <c r="H2590" s="16"/>
      <c r="I2590" s="16"/>
      <c r="J2590" s="16"/>
      <c r="K2590" s="17"/>
      <c r="L2590" s="16"/>
      <c r="M2590" s="17"/>
      <c r="N2590" s="17"/>
      <c r="O2590" s="17"/>
    </row>
    <row r="2591" spans="1:15" ht="12.75" x14ac:dyDescent="0.2">
      <c r="A2591" s="15"/>
      <c r="B2591" s="15"/>
      <c r="C2591" s="15"/>
      <c r="D2591" s="16"/>
      <c r="E2591" s="16"/>
      <c r="F2591" s="16"/>
      <c r="G2591" s="16"/>
      <c r="H2591" s="16"/>
      <c r="I2591" s="16"/>
      <c r="J2591" s="16"/>
      <c r="K2591" s="17"/>
      <c r="L2591" s="16"/>
      <c r="M2591" s="17"/>
      <c r="N2591" s="17"/>
      <c r="O2591" s="17"/>
    </row>
    <row r="2592" spans="1:15" ht="12.75" x14ac:dyDescent="0.2">
      <c r="A2592" s="15"/>
      <c r="B2592" s="15"/>
      <c r="C2592" s="15"/>
      <c r="D2592" s="16"/>
      <c r="E2592" s="16"/>
      <c r="F2592" s="16"/>
      <c r="G2592" s="16"/>
      <c r="H2592" s="16"/>
      <c r="I2592" s="16"/>
      <c r="J2592" s="16"/>
      <c r="K2592" s="17"/>
      <c r="L2592" s="16"/>
      <c r="M2592" s="17"/>
      <c r="N2592" s="17"/>
      <c r="O2592" s="17"/>
    </row>
    <row r="2593" spans="1:15" ht="12.75" x14ac:dyDescent="0.2">
      <c r="A2593" s="15"/>
      <c r="B2593" s="15"/>
      <c r="C2593" s="15"/>
      <c r="D2593" s="16"/>
      <c r="E2593" s="16"/>
      <c r="F2593" s="16"/>
      <c r="G2593" s="16"/>
      <c r="H2593" s="16"/>
      <c r="I2593" s="16"/>
      <c r="J2593" s="16"/>
      <c r="K2593" s="17"/>
      <c r="L2593" s="16"/>
      <c r="M2593" s="17"/>
      <c r="N2593" s="17"/>
      <c r="O2593" s="17"/>
    </row>
    <row r="2594" spans="1:15" ht="12.75" x14ac:dyDescent="0.2">
      <c r="A2594" s="15"/>
      <c r="B2594" s="15"/>
      <c r="C2594" s="15"/>
      <c r="D2594" s="16"/>
      <c r="E2594" s="16"/>
      <c r="F2594" s="16"/>
      <c r="G2594" s="16"/>
      <c r="H2594" s="16"/>
      <c r="I2594" s="16"/>
      <c r="J2594" s="16"/>
      <c r="K2594" s="17"/>
      <c r="L2594" s="16"/>
      <c r="M2594" s="17"/>
      <c r="N2594" s="17"/>
      <c r="O2594" s="17"/>
    </row>
    <row r="2595" spans="1:15" ht="12.75" x14ac:dyDescent="0.2">
      <c r="A2595" s="15"/>
      <c r="B2595" s="15"/>
      <c r="C2595" s="15"/>
      <c r="D2595" s="16"/>
      <c r="E2595" s="16"/>
      <c r="F2595" s="16"/>
      <c r="G2595" s="16"/>
      <c r="H2595" s="16"/>
      <c r="I2595" s="16"/>
      <c r="J2595" s="16"/>
      <c r="K2595" s="17"/>
      <c r="L2595" s="16"/>
      <c r="M2595" s="17"/>
      <c r="N2595" s="17"/>
      <c r="O2595" s="17"/>
    </row>
    <row r="2596" spans="1:15" ht="12.75" x14ac:dyDescent="0.2">
      <c r="A2596" s="15"/>
      <c r="B2596" s="15"/>
      <c r="C2596" s="15"/>
      <c r="D2596" s="16"/>
      <c r="E2596" s="16"/>
      <c r="F2596" s="16"/>
      <c r="G2596" s="16"/>
      <c r="H2596" s="16"/>
      <c r="I2596" s="16"/>
      <c r="J2596" s="16"/>
      <c r="K2596" s="17"/>
      <c r="L2596" s="16"/>
      <c r="M2596" s="17"/>
      <c r="N2596" s="17"/>
      <c r="O2596" s="17"/>
    </row>
    <row r="2597" spans="1:15" ht="12.75" x14ac:dyDescent="0.2">
      <c r="A2597" s="15"/>
      <c r="B2597" s="15"/>
      <c r="C2597" s="15"/>
      <c r="D2597" s="16"/>
      <c r="E2597" s="16"/>
      <c r="F2597" s="16"/>
      <c r="G2597" s="16"/>
      <c r="H2597" s="16"/>
      <c r="I2597" s="16"/>
      <c r="J2597" s="16"/>
      <c r="K2597" s="17"/>
      <c r="L2597" s="16"/>
      <c r="M2597" s="17"/>
      <c r="N2597" s="17"/>
      <c r="O2597" s="17"/>
    </row>
    <row r="2598" spans="1:15" ht="12.75" x14ac:dyDescent="0.2">
      <c r="A2598" s="15"/>
      <c r="B2598" s="15"/>
      <c r="C2598" s="15"/>
      <c r="D2598" s="16"/>
      <c r="E2598" s="16"/>
      <c r="F2598" s="16"/>
      <c r="G2598" s="16"/>
      <c r="H2598" s="16"/>
      <c r="I2598" s="16"/>
      <c r="J2598" s="16"/>
      <c r="K2598" s="17"/>
      <c r="L2598" s="16"/>
      <c r="M2598" s="17"/>
      <c r="N2598" s="17"/>
      <c r="O2598" s="17"/>
    </row>
    <row r="2599" spans="1:15" ht="12.75" x14ac:dyDescent="0.2">
      <c r="A2599" s="15"/>
      <c r="B2599" s="15"/>
      <c r="C2599" s="15"/>
      <c r="D2599" s="16"/>
      <c r="E2599" s="16"/>
      <c r="F2599" s="16"/>
      <c r="G2599" s="16"/>
      <c r="H2599" s="16"/>
      <c r="I2599" s="16"/>
      <c r="J2599" s="16"/>
      <c r="K2599" s="17"/>
      <c r="L2599" s="16"/>
      <c r="M2599" s="17"/>
      <c r="N2599" s="17"/>
      <c r="O2599" s="17"/>
    </row>
    <row r="2600" spans="1:15" ht="12.75" x14ac:dyDescent="0.2">
      <c r="A2600" s="15"/>
      <c r="B2600" s="15"/>
      <c r="C2600" s="15"/>
      <c r="D2600" s="16"/>
      <c r="E2600" s="16"/>
      <c r="F2600" s="16"/>
      <c r="G2600" s="16"/>
      <c r="H2600" s="16"/>
      <c r="I2600" s="16"/>
      <c r="J2600" s="16"/>
      <c r="K2600" s="17"/>
      <c r="L2600" s="16"/>
      <c r="M2600" s="17"/>
      <c r="N2600" s="17"/>
      <c r="O2600" s="17"/>
    </row>
    <row r="2601" spans="1:15" ht="12.75" x14ac:dyDescent="0.2">
      <c r="A2601" s="15"/>
      <c r="B2601" s="15"/>
      <c r="C2601" s="15"/>
      <c r="D2601" s="16"/>
      <c r="E2601" s="16"/>
      <c r="F2601" s="16"/>
      <c r="G2601" s="16"/>
      <c r="H2601" s="16"/>
      <c r="I2601" s="16"/>
      <c r="J2601" s="16"/>
      <c r="K2601" s="17"/>
      <c r="L2601" s="16"/>
      <c r="M2601" s="17"/>
      <c r="N2601" s="17"/>
      <c r="O2601" s="17"/>
    </row>
    <row r="2602" spans="1:15" ht="12.75" x14ac:dyDescent="0.2">
      <c r="A2602" s="15"/>
      <c r="B2602" s="15"/>
      <c r="C2602" s="15"/>
      <c r="D2602" s="16"/>
      <c r="E2602" s="16"/>
      <c r="F2602" s="16"/>
      <c r="G2602" s="16"/>
      <c r="H2602" s="16"/>
      <c r="I2602" s="16"/>
      <c r="J2602" s="16"/>
      <c r="K2602" s="17"/>
      <c r="L2602" s="16"/>
      <c r="M2602" s="17"/>
      <c r="N2602" s="17"/>
      <c r="O2602" s="17"/>
    </row>
    <row r="2603" spans="1:15" ht="12.75" x14ac:dyDescent="0.2">
      <c r="A2603" s="15"/>
      <c r="B2603" s="15"/>
      <c r="C2603" s="15"/>
      <c r="D2603" s="16"/>
      <c r="E2603" s="16"/>
      <c r="F2603" s="16"/>
      <c r="G2603" s="16"/>
      <c r="H2603" s="16"/>
      <c r="I2603" s="16"/>
      <c r="J2603" s="16"/>
      <c r="K2603" s="17"/>
      <c r="L2603" s="16"/>
      <c r="M2603" s="17"/>
      <c r="N2603" s="17"/>
      <c r="O2603" s="17"/>
    </row>
    <row r="2604" spans="1:15" ht="12.75" x14ac:dyDescent="0.2">
      <c r="A2604" s="15"/>
      <c r="B2604" s="15"/>
      <c r="C2604" s="15"/>
      <c r="D2604" s="16"/>
      <c r="E2604" s="16"/>
      <c r="F2604" s="16"/>
      <c r="G2604" s="16"/>
      <c r="H2604" s="16"/>
      <c r="I2604" s="16"/>
      <c r="J2604" s="16"/>
      <c r="K2604" s="17"/>
      <c r="L2604" s="16"/>
      <c r="M2604" s="17"/>
      <c r="N2604" s="17"/>
      <c r="O2604" s="17"/>
    </row>
    <row r="2605" spans="1:15" ht="12.75" x14ac:dyDescent="0.2">
      <c r="A2605" s="15"/>
      <c r="B2605" s="15"/>
      <c r="C2605" s="15"/>
      <c r="D2605" s="16"/>
      <c r="E2605" s="16"/>
      <c r="F2605" s="16"/>
      <c r="G2605" s="16"/>
      <c r="H2605" s="16"/>
      <c r="I2605" s="16"/>
      <c r="J2605" s="16"/>
      <c r="K2605" s="17"/>
      <c r="L2605" s="16"/>
      <c r="M2605" s="17"/>
      <c r="N2605" s="17"/>
      <c r="O2605" s="17"/>
    </row>
    <row r="2606" spans="1:15" ht="12.75" x14ac:dyDescent="0.2">
      <c r="A2606" s="15"/>
      <c r="B2606" s="15"/>
      <c r="C2606" s="15"/>
      <c r="D2606" s="16"/>
      <c r="E2606" s="16"/>
      <c r="F2606" s="16"/>
      <c r="G2606" s="16"/>
      <c r="H2606" s="16"/>
      <c r="I2606" s="16"/>
      <c r="J2606" s="16"/>
      <c r="K2606" s="17"/>
      <c r="L2606" s="16"/>
      <c r="M2606" s="17"/>
      <c r="N2606" s="17"/>
      <c r="O2606" s="17"/>
    </row>
    <row r="2607" spans="1:15" ht="12.75" x14ac:dyDescent="0.2">
      <c r="A2607" s="15"/>
      <c r="B2607" s="15"/>
      <c r="C2607" s="15"/>
      <c r="D2607" s="16"/>
      <c r="E2607" s="16"/>
      <c r="F2607" s="16"/>
      <c r="G2607" s="16"/>
      <c r="H2607" s="16"/>
      <c r="I2607" s="16"/>
      <c r="J2607" s="16"/>
      <c r="K2607" s="17"/>
      <c r="L2607" s="16"/>
      <c r="M2607" s="17"/>
      <c r="N2607" s="17"/>
      <c r="O2607" s="17"/>
    </row>
    <row r="2608" spans="1:15" ht="12.75" x14ac:dyDescent="0.2">
      <c r="A2608" s="15"/>
      <c r="B2608" s="15"/>
      <c r="C2608" s="15"/>
      <c r="D2608" s="16"/>
      <c r="E2608" s="16"/>
      <c r="F2608" s="16"/>
      <c r="G2608" s="16"/>
      <c r="H2608" s="16"/>
      <c r="I2608" s="16"/>
      <c r="J2608" s="16"/>
      <c r="K2608" s="17"/>
      <c r="L2608" s="16"/>
      <c r="M2608" s="17"/>
      <c r="N2608" s="17"/>
      <c r="O2608" s="17"/>
    </row>
    <row r="2609" spans="1:15" ht="12.75" x14ac:dyDescent="0.2">
      <c r="A2609" s="15"/>
      <c r="B2609" s="15"/>
      <c r="C2609" s="15"/>
      <c r="D2609" s="16"/>
      <c r="E2609" s="16"/>
      <c r="F2609" s="16"/>
      <c r="G2609" s="16"/>
      <c r="H2609" s="16"/>
      <c r="I2609" s="16"/>
      <c r="J2609" s="16"/>
      <c r="K2609" s="17"/>
      <c r="L2609" s="16"/>
      <c r="M2609" s="17"/>
      <c r="N2609" s="17"/>
      <c r="O2609" s="17"/>
    </row>
    <row r="2610" spans="1:15" ht="12.75" x14ac:dyDescent="0.2">
      <c r="A2610" s="15"/>
      <c r="B2610" s="15"/>
      <c r="C2610" s="15"/>
      <c r="D2610" s="16"/>
      <c r="E2610" s="16"/>
      <c r="F2610" s="16"/>
      <c r="G2610" s="16"/>
      <c r="H2610" s="16"/>
      <c r="I2610" s="16"/>
      <c r="J2610" s="16"/>
      <c r="K2610" s="17"/>
      <c r="L2610" s="16"/>
      <c r="M2610" s="17"/>
      <c r="N2610" s="17"/>
      <c r="O2610" s="17"/>
    </row>
    <row r="2611" spans="1:15" ht="12.75" x14ac:dyDescent="0.2">
      <c r="A2611" s="15"/>
      <c r="B2611" s="15"/>
      <c r="C2611" s="15"/>
      <c r="D2611" s="16"/>
      <c r="E2611" s="16"/>
      <c r="F2611" s="16"/>
      <c r="G2611" s="16"/>
      <c r="H2611" s="16"/>
      <c r="I2611" s="16"/>
      <c r="J2611" s="16"/>
      <c r="K2611" s="17"/>
      <c r="L2611" s="16"/>
      <c r="M2611" s="17"/>
      <c r="N2611" s="17"/>
      <c r="O2611" s="17"/>
    </row>
    <row r="2612" spans="1:15" ht="12.75" x14ac:dyDescent="0.2">
      <c r="A2612" s="15"/>
      <c r="B2612" s="15"/>
      <c r="C2612" s="15"/>
      <c r="D2612" s="16"/>
      <c r="E2612" s="16"/>
      <c r="F2612" s="16"/>
      <c r="G2612" s="16"/>
      <c r="H2612" s="16"/>
      <c r="I2612" s="16"/>
      <c r="J2612" s="16"/>
      <c r="K2612" s="17"/>
      <c r="L2612" s="16"/>
      <c r="M2612" s="17"/>
      <c r="N2612" s="17"/>
      <c r="O2612" s="17"/>
    </row>
    <row r="2613" spans="1:15" ht="12.75" x14ac:dyDescent="0.2">
      <c r="A2613" s="15"/>
      <c r="B2613" s="15"/>
      <c r="C2613" s="15"/>
      <c r="D2613" s="16"/>
      <c r="E2613" s="16"/>
      <c r="F2613" s="16"/>
      <c r="G2613" s="16"/>
      <c r="H2613" s="16"/>
      <c r="I2613" s="16"/>
      <c r="J2613" s="16"/>
      <c r="K2613" s="17"/>
      <c r="L2613" s="16"/>
      <c r="M2613" s="17"/>
      <c r="N2613" s="17"/>
      <c r="O2613" s="17"/>
    </row>
    <row r="2614" spans="1:15" ht="12.75" x14ac:dyDescent="0.2">
      <c r="A2614" s="15"/>
      <c r="B2614" s="15"/>
      <c r="C2614" s="15"/>
      <c r="D2614" s="16"/>
      <c r="E2614" s="16"/>
      <c r="F2614" s="16"/>
      <c r="G2614" s="16"/>
      <c r="H2614" s="16"/>
      <c r="I2614" s="16"/>
      <c r="J2614" s="16"/>
      <c r="K2614" s="17"/>
      <c r="L2614" s="16"/>
      <c r="M2614" s="17"/>
      <c r="N2614" s="17"/>
      <c r="O2614" s="17"/>
    </row>
    <row r="2615" spans="1:15" ht="12.75" x14ac:dyDescent="0.2">
      <c r="A2615" s="15"/>
      <c r="B2615" s="15"/>
      <c r="C2615" s="15"/>
      <c r="D2615" s="16"/>
      <c r="E2615" s="16"/>
      <c r="F2615" s="16"/>
      <c r="G2615" s="16"/>
      <c r="H2615" s="16"/>
      <c r="I2615" s="16"/>
      <c r="J2615" s="16"/>
      <c r="K2615" s="17"/>
      <c r="L2615" s="16"/>
      <c r="M2615" s="17"/>
      <c r="N2615" s="17"/>
      <c r="O2615" s="17"/>
    </row>
    <row r="2616" spans="1:15" ht="12.75" x14ac:dyDescent="0.2">
      <c r="A2616" s="15"/>
      <c r="B2616" s="15"/>
      <c r="C2616" s="15"/>
      <c r="D2616" s="16"/>
      <c r="E2616" s="16"/>
      <c r="F2616" s="16"/>
      <c r="G2616" s="16"/>
      <c r="H2616" s="16"/>
      <c r="I2616" s="16"/>
      <c r="J2616" s="16"/>
      <c r="K2616" s="17"/>
      <c r="L2616" s="16"/>
      <c r="M2616" s="17"/>
      <c r="N2616" s="17"/>
      <c r="O2616" s="17"/>
    </row>
    <row r="2617" spans="1:15" ht="12.75" x14ac:dyDescent="0.2">
      <c r="A2617" s="15"/>
      <c r="B2617" s="15"/>
      <c r="C2617" s="15"/>
      <c r="D2617" s="16"/>
      <c r="E2617" s="16"/>
      <c r="F2617" s="16"/>
      <c r="G2617" s="16"/>
      <c r="H2617" s="16"/>
      <c r="I2617" s="16"/>
      <c r="J2617" s="16"/>
      <c r="K2617" s="17"/>
      <c r="L2617" s="16"/>
      <c r="M2617" s="17"/>
      <c r="N2617" s="17"/>
      <c r="O2617" s="17"/>
    </row>
    <row r="2618" spans="1:15" ht="12.75" x14ac:dyDescent="0.2">
      <c r="A2618" s="15"/>
      <c r="B2618" s="15"/>
      <c r="C2618" s="15"/>
      <c r="D2618" s="16"/>
      <c r="E2618" s="16"/>
      <c r="F2618" s="16"/>
      <c r="G2618" s="16"/>
      <c r="H2618" s="16"/>
      <c r="I2618" s="16"/>
      <c r="J2618" s="16"/>
      <c r="K2618" s="17"/>
      <c r="L2618" s="16"/>
      <c r="M2618" s="17"/>
      <c r="N2618" s="17"/>
      <c r="O2618" s="17"/>
    </row>
    <row r="2619" spans="1:15" ht="12.75" x14ac:dyDescent="0.2">
      <c r="A2619" s="15"/>
      <c r="B2619" s="15"/>
      <c r="C2619" s="15"/>
      <c r="D2619" s="16"/>
      <c r="E2619" s="16"/>
      <c r="F2619" s="16"/>
      <c r="G2619" s="16"/>
      <c r="H2619" s="16"/>
      <c r="I2619" s="16"/>
      <c r="J2619" s="16"/>
      <c r="K2619" s="17"/>
      <c r="L2619" s="16"/>
      <c r="M2619" s="17"/>
      <c r="N2619" s="17"/>
      <c r="O2619" s="17"/>
    </row>
    <row r="2620" spans="1:15" ht="12.75" x14ac:dyDescent="0.2">
      <c r="A2620" s="15"/>
      <c r="B2620" s="15"/>
      <c r="C2620" s="15"/>
      <c r="D2620" s="16"/>
      <c r="E2620" s="16"/>
      <c r="F2620" s="16"/>
      <c r="G2620" s="16"/>
      <c r="H2620" s="16"/>
      <c r="I2620" s="16"/>
      <c r="J2620" s="16"/>
      <c r="K2620" s="17"/>
      <c r="L2620" s="16"/>
      <c r="M2620" s="17"/>
      <c r="N2620" s="17"/>
      <c r="O2620" s="17"/>
    </row>
    <row r="2621" spans="1:15" ht="12.75" x14ac:dyDescent="0.2">
      <c r="A2621" s="15"/>
      <c r="B2621" s="15"/>
      <c r="C2621" s="15"/>
      <c r="D2621" s="16"/>
      <c r="E2621" s="16"/>
      <c r="F2621" s="16"/>
      <c r="G2621" s="16"/>
      <c r="H2621" s="16"/>
      <c r="I2621" s="16"/>
      <c r="J2621" s="16"/>
      <c r="K2621" s="17"/>
      <c r="L2621" s="16"/>
      <c r="M2621" s="17"/>
      <c r="N2621" s="17"/>
      <c r="O2621" s="17"/>
    </row>
    <row r="2622" spans="1:15" ht="12.75" x14ac:dyDescent="0.2">
      <c r="A2622" s="15"/>
      <c r="B2622" s="15"/>
      <c r="C2622" s="15"/>
      <c r="D2622" s="16"/>
      <c r="E2622" s="16"/>
      <c r="F2622" s="16"/>
      <c r="G2622" s="16"/>
      <c r="H2622" s="16"/>
      <c r="I2622" s="16"/>
      <c r="J2622" s="16"/>
      <c r="K2622" s="17"/>
      <c r="L2622" s="16"/>
      <c r="M2622" s="17"/>
      <c r="N2622" s="17"/>
      <c r="O2622" s="17"/>
    </row>
    <row r="2623" spans="1:15" ht="12.75" x14ac:dyDescent="0.2">
      <c r="A2623" s="15"/>
      <c r="B2623" s="15"/>
      <c r="C2623" s="15"/>
      <c r="D2623" s="16"/>
      <c r="E2623" s="16"/>
      <c r="F2623" s="16"/>
      <c r="G2623" s="16"/>
      <c r="H2623" s="16"/>
      <c r="I2623" s="16"/>
      <c r="J2623" s="16"/>
      <c r="K2623" s="17"/>
      <c r="L2623" s="16"/>
      <c r="M2623" s="17"/>
      <c r="N2623" s="17"/>
      <c r="O2623" s="17"/>
    </row>
    <row r="2624" spans="1:15" ht="12.75" x14ac:dyDescent="0.2">
      <c r="A2624" s="15"/>
      <c r="B2624" s="15"/>
      <c r="C2624" s="15"/>
      <c r="D2624" s="16"/>
      <c r="E2624" s="16"/>
      <c r="F2624" s="16"/>
      <c r="G2624" s="16"/>
      <c r="H2624" s="16"/>
      <c r="I2624" s="16"/>
      <c r="J2624" s="16"/>
      <c r="K2624" s="17"/>
      <c r="L2624" s="16"/>
      <c r="M2624" s="17"/>
      <c r="N2624" s="17"/>
      <c r="O2624" s="17"/>
    </row>
    <row r="2625" spans="1:15" ht="12.75" x14ac:dyDescent="0.2">
      <c r="A2625" s="15"/>
      <c r="B2625" s="15"/>
      <c r="C2625" s="15"/>
      <c r="D2625" s="16"/>
      <c r="E2625" s="16"/>
      <c r="F2625" s="16"/>
      <c r="G2625" s="16"/>
      <c r="H2625" s="16"/>
      <c r="I2625" s="16"/>
      <c r="J2625" s="16"/>
      <c r="K2625" s="17"/>
      <c r="L2625" s="16"/>
      <c r="M2625" s="17"/>
      <c r="N2625" s="17"/>
      <c r="O2625" s="17"/>
    </row>
    <row r="2626" spans="1:15" ht="12.75" x14ac:dyDescent="0.2">
      <c r="A2626" s="15"/>
      <c r="B2626" s="15"/>
      <c r="C2626" s="15"/>
      <c r="D2626" s="16"/>
      <c r="E2626" s="16"/>
      <c r="F2626" s="16"/>
      <c r="G2626" s="16"/>
      <c r="H2626" s="16"/>
      <c r="I2626" s="16"/>
      <c r="J2626" s="16"/>
      <c r="K2626" s="17"/>
      <c r="L2626" s="16"/>
      <c r="M2626" s="17"/>
      <c r="N2626" s="17"/>
      <c r="O2626" s="17"/>
    </row>
    <row r="2627" spans="1:15" ht="12.75" x14ac:dyDescent="0.2">
      <c r="A2627" s="15"/>
      <c r="B2627" s="15"/>
      <c r="C2627" s="15"/>
      <c r="D2627" s="16"/>
      <c r="E2627" s="16"/>
      <c r="F2627" s="16"/>
      <c r="G2627" s="16"/>
      <c r="H2627" s="16"/>
      <c r="I2627" s="16"/>
      <c r="J2627" s="16"/>
      <c r="K2627" s="17"/>
      <c r="L2627" s="16"/>
      <c r="M2627" s="17"/>
      <c r="N2627" s="17"/>
      <c r="O2627" s="17"/>
    </row>
    <row r="2628" spans="1:15" ht="12.75" x14ac:dyDescent="0.2">
      <c r="A2628" s="15"/>
      <c r="B2628" s="15"/>
      <c r="C2628" s="15"/>
      <c r="D2628" s="16"/>
      <c r="E2628" s="16"/>
      <c r="F2628" s="16"/>
      <c r="G2628" s="16"/>
      <c r="H2628" s="16"/>
      <c r="I2628" s="16"/>
      <c r="J2628" s="16"/>
      <c r="K2628" s="17"/>
      <c r="L2628" s="16"/>
      <c r="M2628" s="17"/>
      <c r="N2628" s="17"/>
      <c r="O2628" s="17"/>
    </row>
    <row r="2629" spans="1:15" ht="12.75" x14ac:dyDescent="0.2">
      <c r="A2629" s="15"/>
      <c r="B2629" s="15"/>
      <c r="C2629" s="15"/>
      <c r="D2629" s="16"/>
      <c r="E2629" s="16"/>
      <c r="F2629" s="16"/>
      <c r="G2629" s="16"/>
      <c r="H2629" s="16"/>
      <c r="I2629" s="16"/>
      <c r="J2629" s="16"/>
      <c r="K2629" s="17"/>
      <c r="L2629" s="16"/>
      <c r="M2629" s="17"/>
      <c r="N2629" s="17"/>
      <c r="O2629" s="17"/>
    </row>
    <row r="2630" spans="1:15" ht="12.75" x14ac:dyDescent="0.2">
      <c r="A2630" s="15"/>
      <c r="B2630" s="15"/>
      <c r="C2630" s="15"/>
      <c r="D2630" s="16"/>
      <c r="E2630" s="16"/>
      <c r="F2630" s="16"/>
      <c r="G2630" s="16"/>
      <c r="H2630" s="16"/>
      <c r="I2630" s="16"/>
      <c r="J2630" s="16"/>
      <c r="K2630" s="17"/>
      <c r="L2630" s="16"/>
      <c r="M2630" s="17"/>
      <c r="N2630" s="17"/>
      <c r="O2630" s="17"/>
    </row>
    <row r="2631" spans="1:15" ht="12.75" x14ac:dyDescent="0.2">
      <c r="A2631" s="15"/>
      <c r="B2631" s="15"/>
      <c r="C2631" s="15"/>
      <c r="D2631" s="16"/>
      <c r="E2631" s="16"/>
      <c r="F2631" s="16"/>
      <c r="G2631" s="16"/>
      <c r="H2631" s="16"/>
      <c r="I2631" s="16"/>
      <c r="J2631" s="16"/>
      <c r="K2631" s="17"/>
      <c r="L2631" s="16"/>
      <c r="M2631" s="17"/>
      <c r="N2631" s="17"/>
      <c r="O2631" s="17"/>
    </row>
    <row r="2632" spans="1:15" ht="12.75" x14ac:dyDescent="0.2">
      <c r="A2632" s="15"/>
      <c r="B2632" s="15"/>
      <c r="C2632" s="15"/>
      <c r="D2632" s="16"/>
      <c r="E2632" s="16"/>
      <c r="F2632" s="16"/>
      <c r="G2632" s="16"/>
      <c r="H2632" s="16"/>
      <c r="I2632" s="16"/>
      <c r="J2632" s="16"/>
      <c r="K2632" s="17"/>
      <c r="L2632" s="16"/>
      <c r="M2632" s="17"/>
      <c r="N2632" s="17"/>
      <c r="O2632" s="17"/>
    </row>
    <row r="2633" spans="1:15" ht="12.75" x14ac:dyDescent="0.2">
      <c r="A2633" s="15"/>
      <c r="B2633" s="15"/>
      <c r="C2633" s="15"/>
      <c r="D2633" s="16"/>
      <c r="E2633" s="16"/>
      <c r="F2633" s="16"/>
      <c r="G2633" s="16"/>
      <c r="H2633" s="16"/>
      <c r="I2633" s="16"/>
      <c r="J2633" s="16"/>
      <c r="K2633" s="17"/>
      <c r="L2633" s="16"/>
      <c r="M2633" s="17"/>
      <c r="N2633" s="17"/>
      <c r="O2633" s="17"/>
    </row>
    <row r="2634" spans="1:15" ht="12.75" x14ac:dyDescent="0.2">
      <c r="A2634" s="15"/>
      <c r="B2634" s="15"/>
      <c r="C2634" s="15"/>
      <c r="D2634" s="16"/>
      <c r="E2634" s="16"/>
      <c r="F2634" s="16"/>
      <c r="G2634" s="16"/>
      <c r="H2634" s="16"/>
      <c r="I2634" s="16"/>
      <c r="J2634" s="16"/>
      <c r="K2634" s="17"/>
      <c r="L2634" s="16"/>
      <c r="M2634" s="17"/>
      <c r="N2634" s="17"/>
      <c r="O2634" s="17"/>
    </row>
    <row r="2635" spans="1:15" ht="12.75" x14ac:dyDescent="0.2">
      <c r="A2635" s="15"/>
      <c r="B2635" s="15"/>
      <c r="C2635" s="15"/>
      <c r="D2635" s="16"/>
      <c r="E2635" s="16"/>
      <c r="F2635" s="16"/>
      <c r="G2635" s="16"/>
      <c r="H2635" s="16"/>
      <c r="I2635" s="16"/>
      <c r="J2635" s="16"/>
      <c r="K2635" s="17"/>
      <c r="L2635" s="16"/>
      <c r="M2635" s="17"/>
      <c r="N2635" s="17"/>
      <c r="O2635" s="17"/>
    </row>
    <row r="2636" spans="1:15" ht="12.75" x14ac:dyDescent="0.2">
      <c r="A2636" s="15"/>
      <c r="B2636" s="15"/>
      <c r="C2636" s="15"/>
      <c r="D2636" s="16"/>
      <c r="E2636" s="16"/>
      <c r="F2636" s="16"/>
      <c r="G2636" s="16"/>
      <c r="H2636" s="16"/>
      <c r="I2636" s="16"/>
      <c r="J2636" s="16"/>
      <c r="K2636" s="17"/>
      <c r="L2636" s="16"/>
      <c r="M2636" s="17"/>
      <c r="N2636" s="17"/>
      <c r="O2636" s="17"/>
    </row>
    <row r="2637" spans="1:15" ht="12.75" x14ac:dyDescent="0.2">
      <c r="A2637" s="15"/>
      <c r="B2637" s="15"/>
      <c r="C2637" s="15"/>
      <c r="D2637" s="16"/>
      <c r="E2637" s="16"/>
      <c r="F2637" s="16"/>
      <c r="G2637" s="16"/>
      <c r="H2637" s="16"/>
      <c r="I2637" s="16"/>
      <c r="J2637" s="16"/>
      <c r="K2637" s="17"/>
      <c r="L2637" s="16"/>
      <c r="M2637" s="17"/>
      <c r="N2637" s="17"/>
      <c r="O2637" s="17"/>
    </row>
    <row r="2638" spans="1:15" ht="12.75" x14ac:dyDescent="0.2">
      <c r="A2638" s="15"/>
      <c r="B2638" s="15"/>
      <c r="C2638" s="15"/>
      <c r="D2638" s="16"/>
      <c r="E2638" s="16"/>
      <c r="F2638" s="16"/>
      <c r="G2638" s="16"/>
      <c r="H2638" s="16"/>
      <c r="I2638" s="16"/>
      <c r="J2638" s="16"/>
      <c r="K2638" s="17"/>
      <c r="L2638" s="16"/>
      <c r="M2638" s="17"/>
      <c r="N2638" s="17"/>
      <c r="O2638" s="17"/>
    </row>
    <row r="2639" spans="1:15" ht="12.75" x14ac:dyDescent="0.2">
      <c r="A2639" s="15"/>
      <c r="B2639" s="15"/>
      <c r="C2639" s="15"/>
      <c r="D2639" s="16"/>
      <c r="E2639" s="16"/>
      <c r="F2639" s="16"/>
      <c r="G2639" s="16"/>
      <c r="H2639" s="16"/>
      <c r="I2639" s="16"/>
      <c r="J2639" s="16"/>
      <c r="K2639" s="17"/>
      <c r="L2639" s="16"/>
      <c r="M2639" s="17"/>
      <c r="N2639" s="17"/>
      <c r="O2639" s="17"/>
    </row>
    <row r="2640" spans="1:15" ht="12.75" x14ac:dyDescent="0.2">
      <c r="A2640" s="15"/>
      <c r="B2640" s="15"/>
      <c r="C2640" s="15"/>
      <c r="D2640" s="16"/>
      <c r="E2640" s="16"/>
      <c r="F2640" s="16"/>
      <c r="G2640" s="16"/>
      <c r="H2640" s="16"/>
      <c r="I2640" s="16"/>
      <c r="J2640" s="16"/>
      <c r="K2640" s="17"/>
      <c r="L2640" s="16"/>
      <c r="M2640" s="17"/>
      <c r="N2640" s="17"/>
      <c r="O2640" s="17"/>
    </row>
    <row r="2641" spans="1:15" ht="12.75" x14ac:dyDescent="0.2">
      <c r="A2641" s="15"/>
      <c r="B2641" s="15"/>
      <c r="C2641" s="15"/>
      <c r="D2641" s="16"/>
      <c r="E2641" s="16"/>
      <c r="F2641" s="16"/>
      <c r="G2641" s="16"/>
      <c r="H2641" s="16"/>
      <c r="I2641" s="16"/>
      <c r="J2641" s="16"/>
      <c r="K2641" s="17"/>
      <c r="L2641" s="16"/>
      <c r="M2641" s="17"/>
      <c r="N2641" s="17"/>
      <c r="O2641" s="17"/>
    </row>
    <row r="2642" spans="1:15" ht="12.75" x14ac:dyDescent="0.2">
      <c r="A2642" s="15"/>
      <c r="B2642" s="15"/>
      <c r="C2642" s="15"/>
      <c r="D2642" s="16"/>
      <c r="E2642" s="16"/>
      <c r="F2642" s="16"/>
      <c r="G2642" s="16"/>
      <c r="H2642" s="16"/>
      <c r="I2642" s="16"/>
      <c r="J2642" s="16"/>
      <c r="K2642" s="17"/>
      <c r="L2642" s="16"/>
      <c r="M2642" s="17"/>
      <c r="N2642" s="17"/>
      <c r="O2642" s="17"/>
    </row>
    <row r="2643" spans="1:15" ht="12.75" x14ac:dyDescent="0.2">
      <c r="A2643" s="15"/>
      <c r="B2643" s="15"/>
      <c r="C2643" s="15"/>
      <c r="D2643" s="16"/>
      <c r="E2643" s="16"/>
      <c r="F2643" s="16"/>
      <c r="G2643" s="16"/>
      <c r="H2643" s="16"/>
      <c r="I2643" s="16"/>
      <c r="J2643" s="16"/>
      <c r="K2643" s="17"/>
      <c r="L2643" s="16"/>
      <c r="M2643" s="17"/>
      <c r="N2643" s="17"/>
      <c r="O2643" s="17"/>
    </row>
    <row r="2644" spans="1:15" ht="12.75" x14ac:dyDescent="0.2">
      <c r="A2644" s="15"/>
      <c r="B2644" s="15"/>
      <c r="C2644" s="15"/>
      <c r="D2644" s="16"/>
      <c r="E2644" s="16"/>
      <c r="F2644" s="16"/>
      <c r="G2644" s="16"/>
      <c r="H2644" s="16"/>
      <c r="I2644" s="16"/>
      <c r="J2644" s="16"/>
      <c r="K2644" s="17"/>
      <c r="L2644" s="16"/>
      <c r="M2644" s="17"/>
      <c r="N2644" s="17"/>
      <c r="O2644" s="17"/>
    </row>
    <row r="2645" spans="1:15" ht="12.75" x14ac:dyDescent="0.2">
      <c r="A2645" s="15"/>
      <c r="B2645" s="15"/>
      <c r="C2645" s="15"/>
      <c r="D2645" s="16"/>
      <c r="E2645" s="16"/>
      <c r="F2645" s="16"/>
      <c r="G2645" s="16"/>
      <c r="H2645" s="16"/>
      <c r="I2645" s="16"/>
      <c r="J2645" s="16"/>
      <c r="K2645" s="17"/>
      <c r="L2645" s="16"/>
      <c r="M2645" s="17"/>
      <c r="N2645" s="17"/>
      <c r="O2645" s="17"/>
    </row>
    <row r="2646" spans="1:15" ht="12.75" x14ac:dyDescent="0.2">
      <c r="A2646" s="15"/>
      <c r="B2646" s="15"/>
      <c r="C2646" s="15"/>
      <c r="D2646" s="16"/>
      <c r="E2646" s="16"/>
      <c r="F2646" s="16"/>
      <c r="G2646" s="16"/>
      <c r="H2646" s="16"/>
      <c r="I2646" s="16"/>
      <c r="J2646" s="16"/>
      <c r="K2646" s="17"/>
      <c r="L2646" s="16"/>
      <c r="M2646" s="17"/>
      <c r="N2646" s="17"/>
      <c r="O2646" s="17"/>
    </row>
    <row r="2647" spans="1:15" ht="12.75" x14ac:dyDescent="0.2">
      <c r="A2647" s="15"/>
      <c r="B2647" s="15"/>
      <c r="C2647" s="15"/>
      <c r="D2647" s="16"/>
      <c r="E2647" s="16"/>
      <c r="F2647" s="16"/>
      <c r="G2647" s="16"/>
      <c r="H2647" s="16"/>
      <c r="I2647" s="16"/>
      <c r="J2647" s="16"/>
      <c r="K2647" s="17"/>
      <c r="L2647" s="16"/>
      <c r="M2647" s="17"/>
      <c r="N2647" s="17"/>
      <c r="O2647" s="17"/>
    </row>
    <row r="2648" spans="1:15" ht="12.75" x14ac:dyDescent="0.2">
      <c r="A2648" s="15"/>
      <c r="B2648" s="15"/>
      <c r="C2648" s="15"/>
      <c r="D2648" s="16"/>
      <c r="E2648" s="16"/>
      <c r="F2648" s="16"/>
      <c r="G2648" s="16"/>
      <c r="H2648" s="16"/>
      <c r="I2648" s="16"/>
      <c r="J2648" s="16"/>
      <c r="K2648" s="17"/>
      <c r="L2648" s="16"/>
      <c r="M2648" s="17"/>
      <c r="N2648" s="17"/>
      <c r="O2648" s="17"/>
    </row>
    <row r="2649" spans="1:15" ht="12.75" x14ac:dyDescent="0.2">
      <c r="A2649" s="15"/>
      <c r="B2649" s="15"/>
      <c r="C2649" s="15"/>
      <c r="D2649" s="16"/>
      <c r="E2649" s="16"/>
      <c r="F2649" s="16"/>
      <c r="G2649" s="16"/>
      <c r="H2649" s="16"/>
      <c r="I2649" s="16"/>
      <c r="J2649" s="16"/>
      <c r="K2649" s="17"/>
      <c r="L2649" s="16"/>
      <c r="M2649" s="17"/>
      <c r="N2649" s="17"/>
      <c r="O2649" s="17"/>
    </row>
    <row r="2650" spans="1:15" ht="12.75" x14ac:dyDescent="0.2">
      <c r="A2650" s="15"/>
      <c r="B2650" s="15"/>
      <c r="C2650" s="15"/>
      <c r="D2650" s="16"/>
      <c r="E2650" s="16"/>
      <c r="F2650" s="16"/>
      <c r="G2650" s="16"/>
      <c r="H2650" s="16"/>
      <c r="I2650" s="16"/>
      <c r="J2650" s="16"/>
      <c r="K2650" s="17"/>
      <c r="L2650" s="16"/>
      <c r="M2650" s="17"/>
      <c r="N2650" s="17"/>
      <c r="O2650" s="17"/>
    </row>
    <row r="2651" spans="1:15" ht="12.75" x14ac:dyDescent="0.2">
      <c r="A2651" s="15"/>
      <c r="B2651" s="15"/>
      <c r="C2651" s="15"/>
      <c r="D2651" s="16"/>
      <c r="E2651" s="16"/>
      <c r="F2651" s="16"/>
      <c r="G2651" s="16"/>
      <c r="H2651" s="16"/>
      <c r="I2651" s="16"/>
      <c r="J2651" s="16"/>
      <c r="K2651" s="17"/>
      <c r="L2651" s="16"/>
      <c r="M2651" s="17"/>
      <c r="N2651" s="17"/>
      <c r="O2651" s="17"/>
    </row>
    <row r="2652" spans="1:15" ht="12.75" x14ac:dyDescent="0.2">
      <c r="A2652" s="15"/>
      <c r="B2652" s="15"/>
      <c r="C2652" s="15"/>
      <c r="D2652" s="16"/>
      <c r="E2652" s="16"/>
      <c r="F2652" s="16"/>
      <c r="G2652" s="16"/>
      <c r="H2652" s="16"/>
      <c r="I2652" s="16"/>
      <c r="J2652" s="16"/>
      <c r="K2652" s="17"/>
      <c r="L2652" s="16"/>
      <c r="M2652" s="17"/>
      <c r="N2652" s="17"/>
      <c r="O2652" s="17"/>
    </row>
    <row r="2653" spans="1:15" ht="12.75" x14ac:dyDescent="0.2">
      <c r="A2653" s="15"/>
      <c r="B2653" s="15"/>
      <c r="C2653" s="15"/>
      <c r="D2653" s="16"/>
      <c r="E2653" s="16"/>
      <c r="F2653" s="16"/>
      <c r="G2653" s="16"/>
      <c r="H2653" s="16"/>
      <c r="I2653" s="16"/>
      <c r="J2653" s="16"/>
      <c r="K2653" s="17"/>
      <c r="L2653" s="16"/>
      <c r="M2653" s="17"/>
      <c r="N2653" s="17"/>
      <c r="O2653" s="17"/>
    </row>
    <row r="2654" spans="1:15" ht="12.75" x14ac:dyDescent="0.2">
      <c r="A2654" s="15"/>
      <c r="B2654" s="15"/>
      <c r="C2654" s="15"/>
      <c r="D2654" s="16"/>
      <c r="E2654" s="16"/>
      <c r="F2654" s="16"/>
      <c r="G2654" s="16"/>
      <c r="H2654" s="16"/>
      <c r="I2654" s="16"/>
      <c r="J2654" s="16"/>
      <c r="K2654" s="17"/>
      <c r="L2654" s="16"/>
      <c r="M2654" s="17"/>
      <c r="N2654" s="17"/>
      <c r="O2654" s="17"/>
    </row>
    <row r="2655" spans="1:15" ht="12.75" x14ac:dyDescent="0.2">
      <c r="A2655" s="15"/>
      <c r="B2655" s="15"/>
      <c r="C2655" s="15"/>
      <c r="D2655" s="16"/>
      <c r="E2655" s="16"/>
      <c r="F2655" s="16"/>
      <c r="G2655" s="16"/>
      <c r="H2655" s="16"/>
      <c r="I2655" s="16"/>
      <c r="J2655" s="16"/>
      <c r="K2655" s="17"/>
      <c r="L2655" s="16"/>
      <c r="M2655" s="17"/>
      <c r="N2655" s="17"/>
      <c r="O2655" s="17"/>
    </row>
    <row r="2656" spans="1:15" ht="12.75" x14ac:dyDescent="0.2">
      <c r="A2656" s="15"/>
      <c r="B2656" s="15"/>
      <c r="C2656" s="15"/>
      <c r="D2656" s="16"/>
      <c r="E2656" s="16"/>
      <c r="F2656" s="16"/>
      <c r="G2656" s="16"/>
      <c r="H2656" s="16"/>
      <c r="I2656" s="16"/>
      <c r="J2656" s="16"/>
      <c r="K2656" s="17"/>
      <c r="L2656" s="16"/>
      <c r="M2656" s="17"/>
      <c r="N2656" s="17"/>
      <c r="O2656" s="17"/>
    </row>
    <row r="2657" spans="1:15" ht="12.75" x14ac:dyDescent="0.2">
      <c r="A2657" s="15"/>
      <c r="B2657" s="15"/>
      <c r="C2657" s="15"/>
      <c r="D2657" s="16"/>
      <c r="E2657" s="16"/>
      <c r="F2657" s="16"/>
      <c r="G2657" s="16"/>
      <c r="H2657" s="16"/>
      <c r="I2657" s="16"/>
      <c r="J2657" s="16"/>
      <c r="K2657" s="17"/>
      <c r="L2657" s="16"/>
      <c r="M2657" s="17"/>
      <c r="N2657" s="17"/>
      <c r="O2657" s="17"/>
    </row>
    <row r="2658" spans="1:15" ht="12.75" x14ac:dyDescent="0.2">
      <c r="A2658" s="15"/>
      <c r="B2658" s="15"/>
      <c r="C2658" s="15"/>
      <c r="D2658" s="16"/>
      <c r="E2658" s="16"/>
      <c r="F2658" s="16"/>
      <c r="G2658" s="16"/>
      <c r="H2658" s="16"/>
      <c r="I2658" s="16"/>
      <c r="J2658" s="16"/>
      <c r="K2658" s="17"/>
      <c r="L2658" s="16"/>
      <c r="M2658" s="17"/>
      <c r="N2658" s="17"/>
      <c r="O2658" s="17"/>
    </row>
    <row r="2659" spans="1:15" ht="12.75" x14ac:dyDescent="0.2">
      <c r="A2659" s="15"/>
      <c r="B2659" s="15"/>
      <c r="C2659" s="15"/>
      <c r="D2659" s="16"/>
      <c r="E2659" s="16"/>
      <c r="F2659" s="16"/>
      <c r="G2659" s="16"/>
      <c r="H2659" s="16"/>
      <c r="I2659" s="16"/>
      <c r="J2659" s="16"/>
      <c r="K2659" s="17"/>
      <c r="L2659" s="16"/>
      <c r="M2659" s="17"/>
      <c r="N2659" s="17"/>
      <c r="O2659" s="17"/>
    </row>
    <row r="2660" spans="1:15" ht="12.75" x14ac:dyDescent="0.2">
      <c r="A2660" s="15"/>
      <c r="B2660" s="15"/>
      <c r="C2660" s="15"/>
      <c r="D2660" s="16"/>
      <c r="E2660" s="16"/>
      <c r="F2660" s="16"/>
      <c r="G2660" s="16"/>
      <c r="H2660" s="16"/>
      <c r="I2660" s="16"/>
      <c r="J2660" s="16"/>
      <c r="K2660" s="17"/>
      <c r="L2660" s="16"/>
      <c r="M2660" s="17"/>
      <c r="N2660" s="17"/>
      <c r="O2660" s="17"/>
    </row>
    <row r="2661" spans="1:15" ht="12.75" x14ac:dyDescent="0.2">
      <c r="A2661" s="15"/>
      <c r="B2661" s="15"/>
      <c r="C2661" s="15"/>
      <c r="D2661" s="16"/>
      <c r="E2661" s="16"/>
      <c r="F2661" s="16"/>
      <c r="G2661" s="16"/>
      <c r="H2661" s="16"/>
      <c r="I2661" s="16"/>
      <c r="J2661" s="16"/>
      <c r="K2661" s="17"/>
      <c r="L2661" s="16"/>
      <c r="M2661" s="17"/>
      <c r="N2661" s="17"/>
      <c r="O2661" s="17"/>
    </row>
    <row r="2662" spans="1:15" ht="12.75" x14ac:dyDescent="0.2">
      <c r="A2662" s="15"/>
      <c r="B2662" s="15"/>
      <c r="C2662" s="15"/>
      <c r="D2662" s="16"/>
      <c r="E2662" s="16"/>
      <c r="F2662" s="16"/>
      <c r="G2662" s="16"/>
      <c r="H2662" s="16"/>
      <c r="I2662" s="16"/>
      <c r="J2662" s="16"/>
      <c r="K2662" s="17"/>
      <c r="L2662" s="16"/>
      <c r="M2662" s="17"/>
      <c r="N2662" s="17"/>
      <c r="O2662" s="17"/>
    </row>
    <row r="2663" spans="1:15" ht="12.75" x14ac:dyDescent="0.2">
      <c r="A2663" s="15"/>
      <c r="B2663" s="15"/>
      <c r="C2663" s="15"/>
      <c r="D2663" s="16"/>
      <c r="E2663" s="16"/>
      <c r="F2663" s="16"/>
      <c r="G2663" s="16"/>
      <c r="H2663" s="16"/>
      <c r="I2663" s="16"/>
      <c r="J2663" s="16"/>
      <c r="K2663" s="17"/>
      <c r="L2663" s="16"/>
      <c r="M2663" s="17"/>
      <c r="N2663" s="17"/>
      <c r="O2663" s="17"/>
    </row>
    <row r="2664" spans="1:15" ht="12.75" x14ac:dyDescent="0.2">
      <c r="A2664" s="15"/>
      <c r="B2664" s="15"/>
      <c r="C2664" s="15"/>
      <c r="D2664" s="16"/>
      <c r="E2664" s="16"/>
      <c r="F2664" s="16"/>
      <c r="G2664" s="16"/>
      <c r="H2664" s="16"/>
      <c r="I2664" s="16"/>
      <c r="J2664" s="16"/>
      <c r="K2664" s="17"/>
      <c r="L2664" s="16"/>
      <c r="M2664" s="17"/>
      <c r="N2664" s="17"/>
      <c r="O2664" s="17"/>
    </row>
    <row r="2665" spans="1:15" ht="12.75" x14ac:dyDescent="0.2">
      <c r="A2665" s="15"/>
      <c r="B2665" s="15"/>
      <c r="C2665" s="15"/>
      <c r="D2665" s="16"/>
      <c r="E2665" s="16"/>
      <c r="F2665" s="16"/>
      <c r="G2665" s="16"/>
      <c r="H2665" s="16"/>
      <c r="I2665" s="16"/>
      <c r="J2665" s="16"/>
      <c r="K2665" s="17"/>
      <c r="L2665" s="16"/>
      <c r="M2665" s="17"/>
      <c r="N2665" s="17"/>
      <c r="O2665" s="17"/>
    </row>
    <row r="2666" spans="1:15" ht="12.75" x14ac:dyDescent="0.2">
      <c r="A2666" s="15"/>
      <c r="B2666" s="15"/>
      <c r="C2666" s="15"/>
      <c r="D2666" s="16"/>
      <c r="E2666" s="16"/>
      <c r="F2666" s="16"/>
      <c r="G2666" s="16"/>
      <c r="H2666" s="16"/>
      <c r="I2666" s="16"/>
      <c r="J2666" s="16"/>
      <c r="K2666" s="17"/>
      <c r="L2666" s="16"/>
      <c r="M2666" s="17"/>
      <c r="N2666" s="17"/>
      <c r="O2666" s="17"/>
    </row>
    <row r="2667" spans="1:15" ht="12.75" x14ac:dyDescent="0.2">
      <c r="A2667" s="15"/>
      <c r="B2667" s="15"/>
      <c r="C2667" s="15"/>
      <c r="D2667" s="16"/>
      <c r="E2667" s="16"/>
      <c r="F2667" s="16"/>
      <c r="G2667" s="16"/>
      <c r="H2667" s="16"/>
      <c r="I2667" s="16"/>
      <c r="J2667" s="16"/>
      <c r="K2667" s="17"/>
      <c r="L2667" s="16"/>
      <c r="M2667" s="17"/>
      <c r="N2667" s="17"/>
      <c r="O2667" s="17"/>
    </row>
    <row r="2668" spans="1:15" ht="12.75" x14ac:dyDescent="0.2">
      <c r="A2668" s="15"/>
      <c r="B2668" s="15"/>
      <c r="C2668" s="15"/>
      <c r="D2668" s="16"/>
      <c r="E2668" s="16"/>
      <c r="F2668" s="16"/>
      <c r="G2668" s="16"/>
      <c r="H2668" s="16"/>
      <c r="I2668" s="16"/>
      <c r="J2668" s="16"/>
      <c r="K2668" s="17"/>
      <c r="L2668" s="16"/>
      <c r="M2668" s="17"/>
      <c r="N2668" s="17"/>
      <c r="O2668" s="17"/>
    </row>
    <row r="2669" spans="1:15" ht="12.75" x14ac:dyDescent="0.2">
      <c r="A2669" s="15"/>
      <c r="B2669" s="15"/>
      <c r="C2669" s="15"/>
      <c r="D2669" s="16"/>
      <c r="E2669" s="16"/>
      <c r="F2669" s="16"/>
      <c r="G2669" s="16"/>
      <c r="H2669" s="16"/>
      <c r="I2669" s="16"/>
      <c r="J2669" s="16"/>
      <c r="K2669" s="17"/>
      <c r="L2669" s="16"/>
      <c r="M2669" s="17"/>
      <c r="N2669" s="17"/>
      <c r="O2669" s="17"/>
    </row>
    <row r="2670" spans="1:15" ht="12.75" x14ac:dyDescent="0.2">
      <c r="A2670" s="15"/>
      <c r="B2670" s="15"/>
      <c r="C2670" s="15"/>
      <c r="D2670" s="16"/>
      <c r="E2670" s="16"/>
      <c r="F2670" s="16"/>
      <c r="G2670" s="16"/>
      <c r="H2670" s="16"/>
      <c r="I2670" s="16"/>
      <c r="J2670" s="16"/>
      <c r="K2670" s="17"/>
      <c r="L2670" s="16"/>
      <c r="M2670" s="17"/>
      <c r="N2670" s="17"/>
      <c r="O2670" s="17"/>
    </row>
    <row r="2671" spans="1:15" ht="12.75" x14ac:dyDescent="0.2">
      <c r="A2671" s="15"/>
      <c r="B2671" s="15"/>
      <c r="C2671" s="15"/>
      <c r="D2671" s="16"/>
      <c r="E2671" s="16"/>
      <c r="F2671" s="16"/>
      <c r="G2671" s="16"/>
      <c r="H2671" s="16"/>
      <c r="I2671" s="16"/>
      <c r="J2671" s="16"/>
      <c r="K2671" s="17"/>
      <c r="L2671" s="16"/>
      <c r="M2671" s="17"/>
      <c r="N2671" s="17"/>
      <c r="O2671" s="17"/>
    </row>
    <row r="2672" spans="1:15" ht="12.75" x14ac:dyDescent="0.2">
      <c r="A2672" s="15"/>
      <c r="B2672" s="15"/>
      <c r="C2672" s="15"/>
      <c r="D2672" s="16"/>
      <c r="E2672" s="16"/>
      <c r="F2672" s="16"/>
      <c r="G2672" s="16"/>
      <c r="H2672" s="16"/>
      <c r="I2672" s="16"/>
      <c r="J2672" s="16"/>
      <c r="K2672" s="17"/>
      <c r="L2672" s="16"/>
      <c r="M2672" s="17"/>
      <c r="N2672" s="17"/>
      <c r="O2672" s="17"/>
    </row>
    <row r="2673" spans="1:15" ht="12.75" x14ac:dyDescent="0.2">
      <c r="A2673" s="15"/>
      <c r="B2673" s="15"/>
      <c r="C2673" s="15"/>
      <c r="D2673" s="16"/>
      <c r="E2673" s="16"/>
      <c r="F2673" s="16"/>
      <c r="G2673" s="16"/>
      <c r="H2673" s="16"/>
      <c r="I2673" s="16"/>
      <c r="J2673" s="16"/>
      <c r="K2673" s="17"/>
      <c r="L2673" s="16"/>
      <c r="M2673" s="17"/>
      <c r="N2673" s="17"/>
      <c r="O2673" s="17"/>
    </row>
    <row r="2674" spans="1:15" ht="12.75" x14ac:dyDescent="0.2">
      <c r="A2674" s="15"/>
      <c r="B2674" s="15"/>
      <c r="C2674" s="15"/>
      <c r="D2674" s="16"/>
      <c r="E2674" s="16"/>
      <c r="F2674" s="16"/>
      <c r="G2674" s="16"/>
      <c r="H2674" s="16"/>
      <c r="I2674" s="16"/>
      <c r="J2674" s="16"/>
      <c r="K2674" s="17"/>
      <c r="L2674" s="16"/>
      <c r="M2674" s="17"/>
      <c r="N2674" s="17"/>
      <c r="O2674" s="17"/>
    </row>
    <row r="2675" spans="1:15" ht="12.75" x14ac:dyDescent="0.2">
      <c r="A2675" s="15"/>
      <c r="B2675" s="15"/>
      <c r="C2675" s="15"/>
      <c r="D2675" s="16"/>
      <c r="E2675" s="16"/>
      <c r="F2675" s="16"/>
      <c r="G2675" s="16"/>
      <c r="H2675" s="16"/>
      <c r="I2675" s="16"/>
      <c r="J2675" s="16"/>
      <c r="K2675" s="17"/>
      <c r="L2675" s="16"/>
      <c r="M2675" s="17"/>
      <c r="N2675" s="17"/>
      <c r="O2675" s="17"/>
    </row>
    <row r="2676" spans="1:15" ht="12.75" x14ac:dyDescent="0.2">
      <c r="A2676" s="15"/>
      <c r="B2676" s="15"/>
      <c r="C2676" s="15"/>
      <c r="D2676" s="16"/>
      <c r="E2676" s="16"/>
      <c r="F2676" s="16"/>
      <c r="G2676" s="16"/>
      <c r="H2676" s="16"/>
      <c r="I2676" s="16"/>
      <c r="J2676" s="16"/>
      <c r="K2676" s="17"/>
      <c r="L2676" s="16"/>
      <c r="M2676" s="17"/>
      <c r="N2676" s="17"/>
      <c r="O2676" s="17"/>
    </row>
    <row r="2677" spans="1:15" ht="12.75" x14ac:dyDescent="0.2">
      <c r="A2677" s="15"/>
      <c r="B2677" s="15"/>
      <c r="C2677" s="15"/>
      <c r="D2677" s="16"/>
      <c r="E2677" s="16"/>
      <c r="F2677" s="16"/>
      <c r="G2677" s="16"/>
      <c r="H2677" s="16"/>
      <c r="I2677" s="16"/>
      <c r="J2677" s="16"/>
      <c r="K2677" s="17"/>
      <c r="L2677" s="16"/>
      <c r="M2677" s="17"/>
      <c r="N2677" s="17"/>
      <c r="O2677" s="17"/>
    </row>
    <row r="2678" spans="1:15" ht="12.75" x14ac:dyDescent="0.2">
      <c r="A2678" s="15"/>
      <c r="B2678" s="15"/>
      <c r="C2678" s="15"/>
      <c r="D2678" s="16"/>
      <c r="E2678" s="16"/>
      <c r="F2678" s="16"/>
      <c r="G2678" s="16"/>
      <c r="H2678" s="16"/>
      <c r="I2678" s="16"/>
      <c r="J2678" s="16"/>
      <c r="K2678" s="17"/>
      <c r="L2678" s="16"/>
      <c r="M2678" s="17"/>
      <c r="N2678" s="17"/>
      <c r="O2678" s="17"/>
    </row>
    <row r="2679" spans="1:15" ht="12.75" x14ac:dyDescent="0.2">
      <c r="A2679" s="15"/>
      <c r="B2679" s="15"/>
      <c r="C2679" s="15"/>
      <c r="D2679" s="16"/>
      <c r="E2679" s="16"/>
      <c r="F2679" s="16"/>
      <c r="G2679" s="16"/>
      <c r="H2679" s="16"/>
      <c r="I2679" s="16"/>
      <c r="J2679" s="16"/>
      <c r="K2679" s="17"/>
      <c r="L2679" s="16"/>
      <c r="M2679" s="17"/>
      <c r="N2679" s="17"/>
      <c r="O2679" s="17"/>
    </row>
    <row r="2680" spans="1:15" ht="12.75" x14ac:dyDescent="0.2">
      <c r="A2680" s="15"/>
      <c r="B2680" s="15"/>
      <c r="C2680" s="15"/>
      <c r="D2680" s="16"/>
      <c r="E2680" s="16"/>
      <c r="F2680" s="16"/>
      <c r="G2680" s="16"/>
      <c r="H2680" s="16"/>
      <c r="I2680" s="16"/>
      <c r="J2680" s="16"/>
      <c r="K2680" s="17"/>
      <c r="L2680" s="16"/>
      <c r="M2680" s="17"/>
      <c r="N2680" s="17"/>
      <c r="O2680" s="17"/>
    </row>
    <row r="2681" spans="1:15" ht="12.75" x14ac:dyDescent="0.2">
      <c r="A2681" s="15"/>
      <c r="B2681" s="15"/>
      <c r="C2681" s="15"/>
      <c r="D2681" s="16"/>
      <c r="E2681" s="16"/>
      <c r="F2681" s="16"/>
      <c r="G2681" s="16"/>
      <c r="H2681" s="16"/>
      <c r="I2681" s="16"/>
      <c r="J2681" s="16"/>
      <c r="K2681" s="17"/>
      <c r="L2681" s="16"/>
      <c r="M2681" s="17"/>
      <c r="N2681" s="17"/>
      <c r="O2681" s="17"/>
    </row>
    <row r="2682" spans="1:15" ht="12.75" x14ac:dyDescent="0.2">
      <c r="A2682" s="15"/>
      <c r="B2682" s="15"/>
      <c r="C2682" s="15"/>
      <c r="D2682" s="16"/>
      <c r="E2682" s="16"/>
      <c r="F2682" s="16"/>
      <c r="G2682" s="16"/>
      <c r="H2682" s="16"/>
      <c r="I2682" s="16"/>
      <c r="J2682" s="16"/>
      <c r="K2682" s="17"/>
      <c r="L2682" s="16"/>
      <c r="M2682" s="17"/>
      <c r="N2682" s="17"/>
      <c r="O2682" s="17"/>
    </row>
    <row r="2683" spans="1:15" ht="12.75" x14ac:dyDescent="0.2">
      <c r="A2683" s="15"/>
      <c r="B2683" s="15"/>
      <c r="C2683" s="15"/>
      <c r="D2683" s="16"/>
      <c r="E2683" s="16"/>
      <c r="F2683" s="16"/>
      <c r="G2683" s="16"/>
      <c r="H2683" s="16"/>
      <c r="I2683" s="16"/>
      <c r="J2683" s="16"/>
      <c r="K2683" s="17"/>
      <c r="L2683" s="16"/>
      <c r="M2683" s="17"/>
      <c r="N2683" s="17"/>
      <c r="O2683" s="17"/>
    </row>
    <row r="2684" spans="1:15" ht="12.75" x14ac:dyDescent="0.2">
      <c r="A2684" s="15"/>
      <c r="B2684" s="15"/>
      <c r="C2684" s="15"/>
      <c r="D2684" s="16"/>
      <c r="E2684" s="16"/>
      <c r="F2684" s="16"/>
      <c r="G2684" s="16"/>
      <c r="H2684" s="16"/>
      <c r="I2684" s="16"/>
      <c r="J2684" s="16"/>
      <c r="K2684" s="17"/>
      <c r="L2684" s="16"/>
      <c r="M2684" s="17"/>
      <c r="N2684" s="17"/>
      <c r="O2684" s="17"/>
    </row>
    <row r="2685" spans="1:15" ht="12.75" x14ac:dyDescent="0.2">
      <c r="A2685" s="15"/>
      <c r="B2685" s="15"/>
      <c r="C2685" s="15"/>
      <c r="D2685" s="16"/>
      <c r="E2685" s="16"/>
      <c r="F2685" s="16"/>
      <c r="G2685" s="16"/>
      <c r="H2685" s="16"/>
      <c r="I2685" s="16"/>
      <c r="J2685" s="16"/>
      <c r="K2685" s="17"/>
      <c r="L2685" s="16"/>
      <c r="M2685" s="17"/>
      <c r="N2685" s="17"/>
      <c r="O2685" s="17"/>
    </row>
    <row r="2686" spans="1:15" ht="12.75" x14ac:dyDescent="0.2">
      <c r="A2686" s="15"/>
      <c r="B2686" s="15"/>
      <c r="C2686" s="15"/>
      <c r="D2686" s="16"/>
      <c r="E2686" s="16"/>
      <c r="F2686" s="16"/>
      <c r="G2686" s="16"/>
      <c r="H2686" s="16"/>
      <c r="I2686" s="16"/>
      <c r="J2686" s="16"/>
      <c r="K2686" s="17"/>
      <c r="L2686" s="16"/>
      <c r="M2686" s="17"/>
      <c r="N2686" s="17"/>
      <c r="O2686" s="17"/>
    </row>
    <row r="2687" spans="1:15" ht="12.75" x14ac:dyDescent="0.2">
      <c r="A2687" s="15"/>
      <c r="B2687" s="15"/>
      <c r="C2687" s="15"/>
      <c r="D2687" s="16"/>
      <c r="E2687" s="16"/>
      <c r="F2687" s="16"/>
      <c r="G2687" s="16"/>
      <c r="H2687" s="16"/>
      <c r="I2687" s="16"/>
      <c r="J2687" s="16"/>
      <c r="K2687" s="17"/>
      <c r="L2687" s="16"/>
      <c r="M2687" s="17"/>
      <c r="N2687" s="17"/>
      <c r="O2687" s="17"/>
    </row>
    <row r="2688" spans="1:15" ht="12.75" x14ac:dyDescent="0.2">
      <c r="A2688" s="15"/>
      <c r="B2688" s="15"/>
      <c r="C2688" s="15"/>
      <c r="D2688" s="16"/>
      <c r="E2688" s="16"/>
      <c r="F2688" s="16"/>
      <c r="G2688" s="16"/>
      <c r="H2688" s="16"/>
      <c r="I2688" s="16"/>
      <c r="J2688" s="16"/>
      <c r="K2688" s="17"/>
      <c r="L2688" s="16"/>
      <c r="M2688" s="17"/>
      <c r="N2688" s="17"/>
      <c r="O2688" s="17"/>
    </row>
    <row r="2689" spans="1:15" ht="12.75" x14ac:dyDescent="0.2">
      <c r="A2689" s="15"/>
      <c r="B2689" s="15"/>
      <c r="C2689" s="15"/>
      <c r="D2689" s="16"/>
      <c r="E2689" s="16"/>
      <c r="F2689" s="16"/>
      <c r="G2689" s="16"/>
      <c r="H2689" s="16"/>
      <c r="I2689" s="16"/>
      <c r="J2689" s="16"/>
      <c r="K2689" s="17"/>
      <c r="L2689" s="16"/>
      <c r="M2689" s="17"/>
      <c r="N2689" s="17"/>
      <c r="O2689" s="17"/>
    </row>
    <row r="2690" spans="1:15" ht="12.75" x14ac:dyDescent="0.2">
      <c r="A2690" s="15"/>
      <c r="B2690" s="15"/>
      <c r="C2690" s="15"/>
      <c r="D2690" s="16"/>
      <c r="E2690" s="16"/>
      <c r="F2690" s="16"/>
      <c r="G2690" s="16"/>
      <c r="H2690" s="16"/>
      <c r="I2690" s="16"/>
      <c r="J2690" s="16"/>
      <c r="K2690" s="17"/>
      <c r="L2690" s="16"/>
      <c r="M2690" s="17"/>
      <c r="N2690" s="17"/>
      <c r="O2690" s="17"/>
    </row>
    <row r="2691" spans="1:15" ht="12.75" x14ac:dyDescent="0.2">
      <c r="A2691" s="15"/>
      <c r="B2691" s="15"/>
      <c r="C2691" s="15"/>
      <c r="D2691" s="16"/>
      <c r="E2691" s="16"/>
      <c r="F2691" s="16"/>
      <c r="G2691" s="16"/>
      <c r="H2691" s="16"/>
      <c r="I2691" s="16"/>
      <c r="J2691" s="16"/>
      <c r="K2691" s="17"/>
      <c r="L2691" s="16"/>
      <c r="M2691" s="17"/>
      <c r="N2691" s="17"/>
      <c r="O2691" s="17"/>
    </row>
    <row r="2692" spans="1:15" ht="12.75" x14ac:dyDescent="0.2">
      <c r="A2692" s="15"/>
      <c r="B2692" s="15"/>
      <c r="C2692" s="15"/>
      <c r="D2692" s="16"/>
      <c r="E2692" s="16"/>
      <c r="F2692" s="16"/>
      <c r="G2692" s="16"/>
      <c r="H2692" s="16"/>
      <c r="I2692" s="16"/>
      <c r="J2692" s="16"/>
      <c r="K2692" s="17"/>
      <c r="L2692" s="16"/>
      <c r="M2692" s="17"/>
      <c r="N2692" s="17"/>
      <c r="O2692" s="17"/>
    </row>
    <row r="2693" spans="1:15" ht="12.75" x14ac:dyDescent="0.2">
      <c r="A2693" s="15"/>
      <c r="B2693" s="15"/>
      <c r="C2693" s="15"/>
      <c r="D2693" s="16"/>
      <c r="E2693" s="16"/>
      <c r="F2693" s="16"/>
      <c r="G2693" s="16"/>
      <c r="H2693" s="16"/>
      <c r="I2693" s="16"/>
      <c r="J2693" s="16"/>
      <c r="K2693" s="17"/>
      <c r="L2693" s="16"/>
      <c r="M2693" s="17"/>
      <c r="N2693" s="17"/>
      <c r="O2693" s="17"/>
    </row>
    <row r="2694" spans="1:15" ht="12.75" x14ac:dyDescent="0.2">
      <c r="A2694" s="15"/>
      <c r="B2694" s="15"/>
      <c r="C2694" s="15"/>
      <c r="D2694" s="16"/>
      <c r="E2694" s="16"/>
      <c r="F2694" s="16"/>
      <c r="G2694" s="16"/>
      <c r="H2694" s="16"/>
      <c r="I2694" s="16"/>
      <c r="J2694" s="16"/>
      <c r="K2694" s="17"/>
      <c r="L2694" s="16"/>
      <c r="M2694" s="17"/>
      <c r="N2694" s="17"/>
      <c r="O2694" s="17"/>
    </row>
    <row r="2695" spans="1:15" ht="12.75" x14ac:dyDescent="0.2">
      <c r="A2695" s="15"/>
      <c r="B2695" s="15"/>
      <c r="C2695" s="15"/>
      <c r="D2695" s="16"/>
      <c r="E2695" s="16"/>
      <c r="F2695" s="16"/>
      <c r="G2695" s="16"/>
      <c r="H2695" s="16"/>
      <c r="I2695" s="16"/>
      <c r="J2695" s="16"/>
      <c r="K2695" s="17"/>
      <c r="L2695" s="16"/>
      <c r="M2695" s="17"/>
      <c r="N2695" s="17"/>
      <c r="O2695" s="17"/>
    </row>
    <row r="2696" spans="1:15" ht="12.75" x14ac:dyDescent="0.2">
      <c r="A2696" s="15"/>
      <c r="B2696" s="15"/>
      <c r="C2696" s="15"/>
      <c r="D2696" s="16"/>
      <c r="E2696" s="16"/>
      <c r="F2696" s="16"/>
      <c r="G2696" s="16"/>
      <c r="H2696" s="16"/>
      <c r="I2696" s="16"/>
      <c r="J2696" s="16"/>
      <c r="K2696" s="17"/>
      <c r="L2696" s="16"/>
      <c r="M2696" s="17"/>
      <c r="N2696" s="17"/>
      <c r="O2696" s="17"/>
    </row>
    <row r="2697" spans="1:15" ht="12.75" x14ac:dyDescent="0.2">
      <c r="A2697" s="15"/>
      <c r="B2697" s="15"/>
      <c r="C2697" s="15"/>
      <c r="D2697" s="16"/>
      <c r="E2697" s="16"/>
      <c r="F2697" s="16"/>
      <c r="G2697" s="16"/>
      <c r="H2697" s="16"/>
      <c r="I2697" s="16"/>
      <c r="J2697" s="16"/>
      <c r="K2697" s="17"/>
      <c r="L2697" s="16"/>
      <c r="M2697" s="17"/>
      <c r="N2697" s="17"/>
      <c r="O2697" s="17"/>
    </row>
    <row r="2698" spans="1:15" ht="12.75" x14ac:dyDescent="0.2">
      <c r="A2698" s="15"/>
      <c r="B2698" s="15"/>
      <c r="C2698" s="15"/>
      <c r="D2698" s="16"/>
      <c r="E2698" s="16"/>
      <c r="F2698" s="16"/>
      <c r="G2698" s="16"/>
      <c r="H2698" s="16"/>
      <c r="I2698" s="16"/>
      <c r="J2698" s="16"/>
      <c r="K2698" s="17"/>
      <c r="L2698" s="16"/>
      <c r="M2698" s="17"/>
      <c r="N2698" s="17"/>
      <c r="O2698" s="17"/>
    </row>
    <row r="2699" spans="1:15" ht="12.75" x14ac:dyDescent="0.2">
      <c r="A2699" s="15"/>
      <c r="B2699" s="15"/>
      <c r="C2699" s="15"/>
      <c r="D2699" s="16"/>
      <c r="E2699" s="16"/>
      <c r="F2699" s="16"/>
      <c r="G2699" s="16"/>
      <c r="H2699" s="16"/>
      <c r="I2699" s="16"/>
      <c r="J2699" s="16"/>
      <c r="K2699" s="17"/>
      <c r="L2699" s="16"/>
      <c r="M2699" s="17"/>
      <c r="N2699" s="17"/>
      <c r="O2699" s="17"/>
    </row>
    <row r="2700" spans="1:15" ht="12.75" x14ac:dyDescent="0.2">
      <c r="A2700" s="15"/>
      <c r="B2700" s="15"/>
      <c r="C2700" s="15"/>
      <c r="D2700" s="16"/>
      <c r="E2700" s="16"/>
      <c r="F2700" s="16"/>
      <c r="G2700" s="16"/>
      <c r="H2700" s="16"/>
      <c r="I2700" s="16"/>
      <c r="J2700" s="16"/>
      <c r="K2700" s="17"/>
      <c r="L2700" s="16"/>
      <c r="M2700" s="17"/>
      <c r="N2700" s="17"/>
      <c r="O2700" s="17"/>
    </row>
    <row r="2701" spans="1:15" ht="12.75" x14ac:dyDescent="0.2">
      <c r="A2701" s="15"/>
      <c r="B2701" s="15"/>
      <c r="C2701" s="15"/>
      <c r="D2701" s="16"/>
      <c r="E2701" s="16"/>
      <c r="F2701" s="16"/>
      <c r="G2701" s="16"/>
      <c r="H2701" s="16"/>
      <c r="I2701" s="16"/>
      <c r="J2701" s="16"/>
      <c r="K2701" s="17"/>
      <c r="L2701" s="16"/>
      <c r="M2701" s="17"/>
      <c r="N2701" s="17"/>
      <c r="O2701" s="17"/>
    </row>
    <row r="2702" spans="1:15" ht="12.75" x14ac:dyDescent="0.2">
      <c r="A2702" s="15"/>
      <c r="B2702" s="15"/>
      <c r="C2702" s="15"/>
      <c r="D2702" s="16"/>
      <c r="E2702" s="16"/>
      <c r="F2702" s="16"/>
      <c r="G2702" s="16"/>
      <c r="H2702" s="16"/>
      <c r="I2702" s="16"/>
      <c r="J2702" s="16"/>
      <c r="K2702" s="17"/>
      <c r="L2702" s="16"/>
      <c r="M2702" s="17"/>
      <c r="N2702" s="17"/>
      <c r="O2702" s="17"/>
    </row>
    <row r="2703" spans="1:15" ht="12.75" x14ac:dyDescent="0.2">
      <c r="A2703" s="15"/>
      <c r="B2703" s="15"/>
      <c r="C2703" s="15"/>
      <c r="D2703" s="16"/>
      <c r="E2703" s="16"/>
      <c r="F2703" s="16"/>
      <c r="G2703" s="16"/>
      <c r="H2703" s="16"/>
      <c r="I2703" s="16"/>
      <c r="J2703" s="16"/>
      <c r="K2703" s="17"/>
      <c r="L2703" s="16"/>
      <c r="M2703" s="17"/>
      <c r="N2703" s="17"/>
      <c r="O2703" s="17"/>
    </row>
    <row r="2704" spans="1:15" ht="12.75" x14ac:dyDescent="0.2">
      <c r="A2704" s="15"/>
      <c r="B2704" s="15"/>
      <c r="C2704" s="15"/>
      <c r="D2704" s="16"/>
      <c r="E2704" s="16"/>
      <c r="F2704" s="16"/>
      <c r="G2704" s="16"/>
      <c r="H2704" s="16"/>
      <c r="I2704" s="16"/>
      <c r="J2704" s="16"/>
      <c r="K2704" s="17"/>
      <c r="L2704" s="16"/>
      <c r="M2704" s="17"/>
      <c r="N2704" s="17"/>
      <c r="O2704" s="17"/>
    </row>
    <row r="2705" spans="1:15" ht="12.75" x14ac:dyDescent="0.2">
      <c r="A2705" s="15"/>
      <c r="B2705" s="15"/>
      <c r="C2705" s="15"/>
      <c r="D2705" s="16"/>
      <c r="E2705" s="16"/>
      <c r="F2705" s="16"/>
      <c r="G2705" s="16"/>
      <c r="H2705" s="16"/>
      <c r="I2705" s="16"/>
      <c r="J2705" s="16"/>
      <c r="K2705" s="17"/>
      <c r="L2705" s="16"/>
      <c r="M2705" s="17"/>
      <c r="N2705" s="17"/>
      <c r="O2705" s="17"/>
    </row>
    <row r="2706" spans="1:15" ht="12.75" x14ac:dyDescent="0.2">
      <c r="A2706" s="15"/>
      <c r="B2706" s="15"/>
      <c r="C2706" s="15"/>
      <c r="D2706" s="16"/>
      <c r="E2706" s="16"/>
      <c r="F2706" s="16"/>
      <c r="G2706" s="16"/>
      <c r="H2706" s="16"/>
      <c r="I2706" s="16"/>
      <c r="J2706" s="16"/>
      <c r="K2706" s="17"/>
      <c r="L2706" s="16"/>
      <c r="M2706" s="17"/>
      <c r="N2706" s="17"/>
      <c r="O2706" s="17"/>
    </row>
    <row r="2707" spans="1:15" ht="12.75" x14ac:dyDescent="0.2">
      <c r="A2707" s="15"/>
      <c r="B2707" s="15"/>
      <c r="C2707" s="15"/>
      <c r="D2707" s="16"/>
      <c r="E2707" s="16"/>
      <c r="F2707" s="16"/>
      <c r="G2707" s="16"/>
      <c r="H2707" s="16"/>
      <c r="I2707" s="16"/>
      <c r="J2707" s="16"/>
      <c r="K2707" s="17"/>
      <c r="L2707" s="16"/>
      <c r="M2707" s="17"/>
      <c r="N2707" s="17"/>
      <c r="O2707" s="17"/>
    </row>
    <row r="2708" spans="1:15" ht="12.75" x14ac:dyDescent="0.2">
      <c r="A2708" s="15"/>
      <c r="B2708" s="15"/>
      <c r="C2708" s="15"/>
      <c r="D2708" s="16"/>
      <c r="E2708" s="16"/>
      <c r="F2708" s="16"/>
      <c r="G2708" s="16"/>
      <c r="H2708" s="16"/>
      <c r="I2708" s="16"/>
      <c r="J2708" s="16"/>
      <c r="K2708" s="17"/>
      <c r="L2708" s="16"/>
      <c r="M2708" s="17"/>
      <c r="N2708" s="17"/>
      <c r="O2708" s="17"/>
    </row>
    <row r="2709" spans="1:15" ht="12.75" x14ac:dyDescent="0.2">
      <c r="A2709" s="15"/>
      <c r="B2709" s="15"/>
      <c r="C2709" s="15"/>
      <c r="D2709" s="16"/>
      <c r="E2709" s="16"/>
      <c r="F2709" s="16"/>
      <c r="G2709" s="16"/>
      <c r="H2709" s="16"/>
      <c r="I2709" s="16"/>
      <c r="J2709" s="16"/>
      <c r="K2709" s="17"/>
      <c r="L2709" s="16"/>
      <c r="M2709" s="17"/>
      <c r="N2709" s="17"/>
      <c r="O2709" s="17"/>
    </row>
    <row r="2710" spans="1:15" ht="12.75" x14ac:dyDescent="0.2">
      <c r="A2710" s="15"/>
      <c r="B2710" s="15"/>
      <c r="C2710" s="15"/>
      <c r="D2710" s="16"/>
      <c r="E2710" s="16"/>
      <c r="F2710" s="16"/>
      <c r="G2710" s="16"/>
      <c r="H2710" s="16"/>
      <c r="I2710" s="16"/>
      <c r="J2710" s="16"/>
      <c r="K2710" s="17"/>
      <c r="L2710" s="16"/>
      <c r="M2710" s="17"/>
      <c r="N2710" s="17"/>
      <c r="O2710" s="17"/>
    </row>
    <row r="2711" spans="1:15" ht="12.75" x14ac:dyDescent="0.2">
      <c r="A2711" s="15"/>
      <c r="B2711" s="15"/>
      <c r="C2711" s="15"/>
      <c r="D2711" s="16"/>
      <c r="E2711" s="16"/>
      <c r="F2711" s="16"/>
      <c r="G2711" s="16"/>
      <c r="H2711" s="16"/>
      <c r="I2711" s="16"/>
      <c r="J2711" s="16"/>
      <c r="K2711" s="17"/>
      <c r="L2711" s="16"/>
      <c r="M2711" s="17"/>
      <c r="N2711" s="17"/>
      <c r="O2711" s="17"/>
    </row>
    <row r="2712" spans="1:15" ht="12.75" x14ac:dyDescent="0.2">
      <c r="A2712" s="15"/>
      <c r="B2712" s="15"/>
      <c r="C2712" s="15"/>
      <c r="D2712" s="16"/>
      <c r="E2712" s="16"/>
      <c r="F2712" s="16"/>
      <c r="G2712" s="16"/>
      <c r="H2712" s="16"/>
      <c r="I2712" s="16"/>
      <c r="J2712" s="16"/>
      <c r="K2712" s="17"/>
      <c r="L2712" s="16"/>
      <c r="M2712" s="17"/>
      <c r="N2712" s="17"/>
      <c r="O2712" s="17"/>
    </row>
    <row r="2713" spans="1:15" ht="12.75" x14ac:dyDescent="0.2">
      <c r="A2713" s="15"/>
      <c r="B2713" s="15"/>
      <c r="C2713" s="15"/>
      <c r="D2713" s="16"/>
      <c r="E2713" s="16"/>
      <c r="F2713" s="16"/>
      <c r="G2713" s="16"/>
      <c r="H2713" s="16"/>
      <c r="I2713" s="16"/>
      <c r="J2713" s="16"/>
      <c r="K2713" s="17"/>
      <c r="L2713" s="16"/>
      <c r="M2713" s="17"/>
      <c r="N2713" s="17"/>
      <c r="O2713" s="17"/>
    </row>
    <row r="2714" spans="1:15" ht="12.75" x14ac:dyDescent="0.2">
      <c r="A2714" s="15"/>
      <c r="B2714" s="15"/>
      <c r="C2714" s="15"/>
      <c r="D2714" s="16"/>
      <c r="E2714" s="16"/>
      <c r="F2714" s="16"/>
      <c r="G2714" s="16"/>
      <c r="H2714" s="16"/>
      <c r="I2714" s="16"/>
      <c r="J2714" s="16"/>
      <c r="K2714" s="17"/>
      <c r="L2714" s="16"/>
      <c r="M2714" s="17"/>
      <c r="N2714" s="17"/>
      <c r="O2714" s="17"/>
    </row>
    <row r="2715" spans="1:15" ht="12.75" x14ac:dyDescent="0.2">
      <c r="A2715" s="15"/>
      <c r="B2715" s="15"/>
      <c r="C2715" s="15"/>
      <c r="D2715" s="16"/>
      <c r="E2715" s="16"/>
      <c r="F2715" s="16"/>
      <c r="G2715" s="16"/>
      <c r="H2715" s="16"/>
      <c r="I2715" s="16"/>
      <c r="J2715" s="16"/>
      <c r="K2715" s="17"/>
      <c r="L2715" s="16"/>
      <c r="M2715" s="17"/>
      <c r="N2715" s="17"/>
      <c r="O2715" s="17"/>
    </row>
    <row r="2716" spans="1:15" ht="12.75" x14ac:dyDescent="0.2">
      <c r="A2716" s="15"/>
      <c r="B2716" s="15"/>
      <c r="C2716" s="15"/>
      <c r="D2716" s="16"/>
      <c r="E2716" s="16"/>
      <c r="F2716" s="16"/>
      <c r="G2716" s="16"/>
      <c r="H2716" s="16"/>
      <c r="I2716" s="16"/>
      <c r="J2716" s="16"/>
      <c r="K2716" s="17"/>
      <c r="L2716" s="16"/>
      <c r="M2716" s="17"/>
      <c r="N2716" s="17"/>
      <c r="O2716" s="17"/>
    </row>
    <row r="2717" spans="1:15" ht="12.75" x14ac:dyDescent="0.2">
      <c r="A2717" s="15"/>
      <c r="B2717" s="15"/>
      <c r="C2717" s="15"/>
      <c r="D2717" s="16"/>
      <c r="E2717" s="16"/>
      <c r="F2717" s="16"/>
      <c r="G2717" s="16"/>
      <c r="H2717" s="16"/>
      <c r="I2717" s="16"/>
      <c r="J2717" s="16"/>
      <c r="K2717" s="17"/>
      <c r="L2717" s="16"/>
      <c r="M2717" s="17"/>
      <c r="N2717" s="17"/>
      <c r="O2717" s="17"/>
    </row>
    <row r="2718" spans="1:15" ht="12.75" x14ac:dyDescent="0.2">
      <c r="A2718" s="15"/>
      <c r="B2718" s="15"/>
      <c r="C2718" s="15"/>
      <c r="D2718" s="16"/>
      <c r="E2718" s="16"/>
      <c r="F2718" s="16"/>
      <c r="G2718" s="16"/>
      <c r="H2718" s="16"/>
      <c r="I2718" s="16"/>
      <c r="J2718" s="16"/>
      <c r="K2718" s="17"/>
      <c r="L2718" s="16"/>
      <c r="M2718" s="17"/>
      <c r="N2718" s="17"/>
      <c r="O2718" s="17"/>
    </row>
    <row r="2719" spans="1:15" ht="12.75" x14ac:dyDescent="0.2">
      <c r="A2719" s="15"/>
      <c r="B2719" s="15"/>
      <c r="C2719" s="15"/>
      <c r="D2719" s="16"/>
      <c r="E2719" s="16"/>
      <c r="F2719" s="16"/>
      <c r="G2719" s="16"/>
      <c r="H2719" s="16"/>
      <c r="I2719" s="16"/>
      <c r="J2719" s="16"/>
      <c r="K2719" s="17"/>
      <c r="L2719" s="16"/>
      <c r="M2719" s="17"/>
      <c r="N2719" s="17"/>
      <c r="O2719" s="17"/>
    </row>
    <row r="2720" spans="1:15" ht="12.75" x14ac:dyDescent="0.2">
      <c r="A2720" s="15"/>
      <c r="B2720" s="15"/>
      <c r="C2720" s="15"/>
      <c r="D2720" s="16"/>
      <c r="E2720" s="16"/>
      <c r="F2720" s="16"/>
      <c r="G2720" s="16"/>
      <c r="H2720" s="16"/>
      <c r="I2720" s="16"/>
      <c r="J2720" s="16"/>
      <c r="K2720" s="17"/>
      <c r="L2720" s="16"/>
      <c r="M2720" s="17"/>
      <c r="N2720" s="17"/>
      <c r="O2720" s="17"/>
    </row>
    <row r="2721" spans="1:15" ht="12.75" x14ac:dyDescent="0.2">
      <c r="A2721" s="15"/>
      <c r="B2721" s="15"/>
      <c r="C2721" s="15"/>
      <c r="D2721" s="16"/>
      <c r="E2721" s="16"/>
      <c r="F2721" s="16"/>
      <c r="G2721" s="16"/>
      <c r="H2721" s="16"/>
      <c r="I2721" s="16"/>
      <c r="J2721" s="16"/>
      <c r="K2721" s="17"/>
      <c r="L2721" s="16"/>
      <c r="M2721" s="17"/>
      <c r="N2721" s="17"/>
      <c r="O2721" s="17"/>
    </row>
    <row r="2722" spans="1:15" ht="12.75" x14ac:dyDescent="0.2">
      <c r="A2722" s="15"/>
      <c r="B2722" s="15"/>
      <c r="C2722" s="15"/>
      <c r="D2722" s="16"/>
      <c r="E2722" s="16"/>
      <c r="F2722" s="16"/>
      <c r="G2722" s="16"/>
      <c r="H2722" s="16"/>
      <c r="I2722" s="16"/>
      <c r="J2722" s="16"/>
      <c r="K2722" s="17"/>
      <c r="L2722" s="16"/>
      <c r="M2722" s="17"/>
      <c r="N2722" s="17"/>
      <c r="O2722" s="17"/>
    </row>
    <row r="2723" spans="1:15" ht="12.75" x14ac:dyDescent="0.2">
      <c r="A2723" s="15"/>
      <c r="B2723" s="15"/>
      <c r="C2723" s="15"/>
      <c r="D2723" s="16"/>
      <c r="E2723" s="16"/>
      <c r="F2723" s="16"/>
      <c r="G2723" s="16"/>
      <c r="H2723" s="16"/>
      <c r="I2723" s="16"/>
      <c r="J2723" s="16"/>
      <c r="K2723" s="17"/>
      <c r="L2723" s="16"/>
      <c r="M2723" s="17"/>
      <c r="N2723" s="17"/>
      <c r="O2723" s="17"/>
    </row>
    <row r="2724" spans="1:15" ht="12.75" x14ac:dyDescent="0.2">
      <c r="A2724" s="15"/>
      <c r="B2724" s="15"/>
      <c r="C2724" s="15"/>
      <c r="D2724" s="16"/>
      <c r="E2724" s="16"/>
      <c r="F2724" s="16"/>
      <c r="G2724" s="16"/>
      <c r="H2724" s="16"/>
      <c r="I2724" s="16"/>
      <c r="J2724" s="16"/>
      <c r="K2724" s="17"/>
      <c r="L2724" s="16"/>
      <c r="M2724" s="17"/>
      <c r="N2724" s="17"/>
      <c r="O2724" s="17"/>
    </row>
    <row r="2725" spans="1:15" ht="12.75" x14ac:dyDescent="0.2">
      <c r="A2725" s="15"/>
      <c r="B2725" s="15"/>
      <c r="C2725" s="15"/>
      <c r="D2725" s="16"/>
      <c r="E2725" s="16"/>
      <c r="F2725" s="16"/>
      <c r="G2725" s="16"/>
      <c r="H2725" s="16"/>
      <c r="I2725" s="16"/>
      <c r="J2725" s="16"/>
      <c r="K2725" s="17"/>
      <c r="L2725" s="16"/>
      <c r="M2725" s="17"/>
      <c r="N2725" s="17"/>
      <c r="O2725" s="17"/>
    </row>
    <row r="2726" spans="1:15" ht="12.75" x14ac:dyDescent="0.2">
      <c r="A2726" s="15"/>
      <c r="B2726" s="15"/>
      <c r="C2726" s="15"/>
      <c r="D2726" s="16"/>
      <c r="E2726" s="16"/>
      <c r="F2726" s="16"/>
      <c r="G2726" s="16"/>
      <c r="H2726" s="16"/>
      <c r="I2726" s="16"/>
      <c r="J2726" s="16"/>
      <c r="K2726" s="17"/>
      <c r="L2726" s="16"/>
      <c r="M2726" s="17"/>
      <c r="N2726" s="17"/>
      <c r="O2726" s="17"/>
    </row>
    <row r="2727" spans="1:15" ht="12.75" x14ac:dyDescent="0.2">
      <c r="A2727" s="15"/>
      <c r="B2727" s="15"/>
      <c r="C2727" s="15"/>
      <c r="D2727" s="16"/>
      <c r="E2727" s="16"/>
      <c r="F2727" s="16"/>
      <c r="G2727" s="16"/>
      <c r="H2727" s="16"/>
      <c r="I2727" s="16"/>
      <c r="J2727" s="16"/>
      <c r="K2727" s="17"/>
      <c r="L2727" s="16"/>
      <c r="M2727" s="17"/>
      <c r="N2727" s="17"/>
      <c r="O2727" s="17"/>
    </row>
    <row r="2728" spans="1:15" ht="12.75" x14ac:dyDescent="0.2">
      <c r="A2728" s="15"/>
      <c r="B2728" s="15"/>
      <c r="C2728" s="15"/>
      <c r="D2728" s="16"/>
      <c r="E2728" s="16"/>
      <c r="F2728" s="16"/>
      <c r="G2728" s="16"/>
      <c r="H2728" s="16"/>
      <c r="I2728" s="16"/>
      <c r="J2728" s="16"/>
      <c r="K2728" s="17"/>
      <c r="L2728" s="16"/>
      <c r="M2728" s="17"/>
      <c r="N2728" s="17"/>
      <c r="O2728" s="17"/>
    </row>
    <row r="2729" spans="1:15" ht="12.75" x14ac:dyDescent="0.2">
      <c r="A2729" s="15"/>
      <c r="B2729" s="15"/>
      <c r="C2729" s="15"/>
      <c r="D2729" s="16"/>
      <c r="E2729" s="16"/>
      <c r="F2729" s="16"/>
      <c r="G2729" s="16"/>
      <c r="H2729" s="16"/>
      <c r="I2729" s="16"/>
      <c r="J2729" s="16"/>
      <c r="K2729" s="17"/>
      <c r="L2729" s="16"/>
      <c r="M2729" s="17"/>
      <c r="N2729" s="17"/>
      <c r="O2729" s="17"/>
    </row>
    <row r="2730" spans="1:15" ht="12.75" x14ac:dyDescent="0.2">
      <c r="A2730" s="15"/>
      <c r="B2730" s="15"/>
      <c r="C2730" s="15"/>
      <c r="D2730" s="16"/>
      <c r="E2730" s="16"/>
      <c r="F2730" s="16"/>
      <c r="G2730" s="16"/>
      <c r="H2730" s="16"/>
      <c r="I2730" s="16"/>
      <c r="J2730" s="16"/>
      <c r="K2730" s="17"/>
      <c r="L2730" s="16"/>
      <c r="M2730" s="17"/>
      <c r="N2730" s="17"/>
      <c r="O2730" s="17"/>
    </row>
    <row r="2731" spans="1:15" ht="12.75" x14ac:dyDescent="0.2">
      <c r="A2731" s="15"/>
      <c r="B2731" s="15"/>
      <c r="C2731" s="15"/>
      <c r="D2731" s="16"/>
      <c r="E2731" s="16"/>
      <c r="F2731" s="16"/>
      <c r="G2731" s="16"/>
      <c r="H2731" s="16"/>
      <c r="I2731" s="16"/>
      <c r="J2731" s="16"/>
      <c r="K2731" s="17"/>
      <c r="L2731" s="16"/>
      <c r="M2731" s="17"/>
      <c r="N2731" s="17"/>
      <c r="O2731" s="17"/>
    </row>
    <row r="2732" spans="1:15" ht="12.75" x14ac:dyDescent="0.2">
      <c r="A2732" s="15"/>
      <c r="B2732" s="15"/>
      <c r="C2732" s="15"/>
      <c r="D2732" s="16"/>
      <c r="E2732" s="16"/>
      <c r="F2732" s="16"/>
      <c r="G2732" s="16"/>
      <c r="H2732" s="16"/>
      <c r="I2732" s="16"/>
      <c r="J2732" s="16"/>
      <c r="K2732" s="17"/>
      <c r="L2732" s="16"/>
      <c r="M2732" s="17"/>
      <c r="N2732" s="17"/>
      <c r="O2732" s="17"/>
    </row>
    <row r="2733" spans="1:15" ht="12.75" x14ac:dyDescent="0.2">
      <c r="A2733" s="15"/>
      <c r="B2733" s="15"/>
      <c r="C2733" s="15"/>
      <c r="D2733" s="16"/>
      <c r="E2733" s="16"/>
      <c r="F2733" s="16"/>
      <c r="G2733" s="16"/>
      <c r="H2733" s="16"/>
      <c r="I2733" s="16"/>
      <c r="J2733" s="16"/>
      <c r="K2733" s="17"/>
      <c r="L2733" s="16"/>
      <c r="M2733" s="17"/>
      <c r="N2733" s="17"/>
      <c r="O2733" s="17"/>
    </row>
    <row r="2734" spans="1:15" ht="12.75" x14ac:dyDescent="0.2">
      <c r="A2734" s="15"/>
      <c r="B2734" s="15"/>
      <c r="C2734" s="15"/>
      <c r="D2734" s="16"/>
      <c r="E2734" s="16"/>
      <c r="F2734" s="16"/>
      <c r="G2734" s="16"/>
      <c r="H2734" s="16"/>
      <c r="I2734" s="16"/>
      <c r="J2734" s="16"/>
      <c r="K2734" s="17"/>
      <c r="L2734" s="16"/>
      <c r="M2734" s="17"/>
      <c r="N2734" s="17"/>
      <c r="O2734" s="17"/>
    </row>
    <row r="2735" spans="1:15" ht="12.75" x14ac:dyDescent="0.2">
      <c r="A2735" s="15"/>
      <c r="B2735" s="15"/>
      <c r="C2735" s="15"/>
      <c r="D2735" s="16"/>
      <c r="E2735" s="16"/>
      <c r="F2735" s="16"/>
      <c r="G2735" s="16"/>
      <c r="H2735" s="16"/>
      <c r="I2735" s="16"/>
      <c r="J2735" s="16"/>
      <c r="K2735" s="17"/>
      <c r="L2735" s="16"/>
      <c r="M2735" s="17"/>
      <c r="N2735" s="17"/>
      <c r="O2735" s="17"/>
    </row>
    <row r="2736" spans="1:15" ht="12.75" x14ac:dyDescent="0.2">
      <c r="A2736" s="15"/>
      <c r="B2736" s="15"/>
      <c r="C2736" s="15"/>
      <c r="D2736" s="16"/>
      <c r="E2736" s="16"/>
      <c r="F2736" s="16"/>
      <c r="G2736" s="16"/>
      <c r="H2736" s="16"/>
      <c r="I2736" s="16"/>
      <c r="J2736" s="16"/>
      <c r="K2736" s="17"/>
      <c r="L2736" s="16"/>
      <c r="M2736" s="17"/>
      <c r="N2736" s="17"/>
      <c r="O2736" s="17"/>
    </row>
    <row r="2737" spans="1:15" ht="12.75" x14ac:dyDescent="0.2">
      <c r="A2737" s="15"/>
      <c r="B2737" s="15"/>
      <c r="C2737" s="15"/>
      <c r="D2737" s="16"/>
      <c r="E2737" s="16"/>
      <c r="F2737" s="16"/>
      <c r="G2737" s="16"/>
      <c r="H2737" s="16"/>
      <c r="I2737" s="16"/>
      <c r="J2737" s="16"/>
      <c r="K2737" s="17"/>
      <c r="L2737" s="16"/>
      <c r="M2737" s="17"/>
      <c r="N2737" s="17"/>
      <c r="O2737" s="17"/>
    </row>
    <row r="2738" spans="1:15" ht="12.75" x14ac:dyDescent="0.2">
      <c r="A2738" s="15"/>
      <c r="B2738" s="15"/>
      <c r="C2738" s="15"/>
      <c r="D2738" s="16"/>
      <c r="E2738" s="16"/>
      <c r="F2738" s="16"/>
      <c r="G2738" s="16"/>
      <c r="H2738" s="16"/>
      <c r="I2738" s="16"/>
      <c r="J2738" s="16"/>
      <c r="K2738" s="17"/>
      <c r="L2738" s="16"/>
      <c r="M2738" s="17"/>
      <c r="N2738" s="17"/>
      <c r="O2738" s="17"/>
    </row>
    <row r="2739" spans="1:15" ht="12.75" x14ac:dyDescent="0.2">
      <c r="A2739" s="15"/>
      <c r="B2739" s="15"/>
      <c r="C2739" s="15"/>
      <c r="D2739" s="16"/>
      <c r="E2739" s="16"/>
      <c r="F2739" s="16"/>
      <c r="G2739" s="16"/>
      <c r="H2739" s="16"/>
      <c r="I2739" s="16"/>
      <c r="J2739" s="16"/>
      <c r="K2739" s="17"/>
      <c r="L2739" s="16"/>
      <c r="M2739" s="17"/>
      <c r="N2739" s="17"/>
      <c r="O2739" s="17"/>
    </row>
    <row r="2740" spans="1:15" ht="12.75" x14ac:dyDescent="0.2">
      <c r="A2740" s="15"/>
      <c r="B2740" s="15"/>
      <c r="C2740" s="15"/>
      <c r="D2740" s="16"/>
      <c r="E2740" s="16"/>
      <c r="F2740" s="16"/>
      <c r="G2740" s="16"/>
      <c r="H2740" s="16"/>
      <c r="I2740" s="16"/>
      <c r="J2740" s="16"/>
      <c r="K2740" s="17"/>
      <c r="L2740" s="16"/>
      <c r="M2740" s="17"/>
      <c r="N2740" s="17"/>
      <c r="O2740" s="17"/>
    </row>
    <row r="2741" spans="1:15" ht="12.75" x14ac:dyDescent="0.2">
      <c r="A2741" s="15"/>
      <c r="B2741" s="15"/>
      <c r="C2741" s="15"/>
      <c r="D2741" s="16"/>
      <c r="E2741" s="16"/>
      <c r="F2741" s="16"/>
      <c r="G2741" s="16"/>
      <c r="H2741" s="16"/>
      <c r="I2741" s="16"/>
      <c r="J2741" s="16"/>
      <c r="K2741" s="17"/>
      <c r="L2741" s="16"/>
      <c r="M2741" s="17"/>
      <c r="N2741" s="17"/>
      <c r="O2741" s="17"/>
    </row>
    <row r="2742" spans="1:15" ht="12.75" x14ac:dyDescent="0.2">
      <c r="A2742" s="15"/>
      <c r="B2742" s="15"/>
      <c r="C2742" s="15"/>
      <c r="D2742" s="16"/>
      <c r="E2742" s="16"/>
      <c r="F2742" s="16"/>
      <c r="G2742" s="16"/>
      <c r="H2742" s="16"/>
      <c r="I2742" s="16"/>
      <c r="J2742" s="16"/>
      <c r="K2742" s="17"/>
      <c r="L2742" s="16"/>
      <c r="M2742" s="17"/>
      <c r="N2742" s="17"/>
      <c r="O2742" s="17"/>
    </row>
    <row r="2743" spans="1:15" ht="12.75" x14ac:dyDescent="0.2">
      <c r="A2743" s="15"/>
      <c r="B2743" s="15"/>
      <c r="C2743" s="15"/>
      <c r="D2743" s="16"/>
      <c r="E2743" s="16"/>
      <c r="F2743" s="16"/>
      <c r="G2743" s="16"/>
      <c r="H2743" s="16"/>
      <c r="I2743" s="16"/>
      <c r="J2743" s="16"/>
      <c r="K2743" s="17"/>
      <c r="L2743" s="16"/>
      <c r="M2743" s="17"/>
      <c r="N2743" s="17"/>
      <c r="O2743" s="17"/>
    </row>
    <row r="2744" spans="1:15" ht="12.75" x14ac:dyDescent="0.2">
      <c r="A2744" s="15"/>
      <c r="B2744" s="15"/>
      <c r="C2744" s="15"/>
      <c r="D2744" s="16"/>
      <c r="E2744" s="16"/>
      <c r="F2744" s="16"/>
      <c r="G2744" s="16"/>
      <c r="H2744" s="16"/>
      <c r="I2744" s="16"/>
      <c r="J2744" s="16"/>
      <c r="K2744" s="17"/>
      <c r="L2744" s="16"/>
      <c r="M2744" s="17"/>
      <c r="N2744" s="17"/>
      <c r="O2744" s="17"/>
    </row>
    <row r="2745" spans="1:15" ht="12.75" x14ac:dyDescent="0.2">
      <c r="A2745" s="15"/>
      <c r="B2745" s="15"/>
      <c r="C2745" s="15"/>
      <c r="D2745" s="16"/>
      <c r="E2745" s="16"/>
      <c r="F2745" s="16"/>
      <c r="G2745" s="16"/>
      <c r="H2745" s="16"/>
      <c r="I2745" s="16"/>
      <c r="J2745" s="16"/>
      <c r="K2745" s="17"/>
      <c r="L2745" s="16"/>
      <c r="M2745" s="17"/>
      <c r="N2745" s="17"/>
      <c r="O2745" s="17"/>
    </row>
    <row r="2746" spans="1:15" ht="12.75" x14ac:dyDescent="0.2">
      <c r="A2746" s="15"/>
      <c r="B2746" s="15"/>
      <c r="C2746" s="15"/>
      <c r="D2746" s="16"/>
      <c r="E2746" s="16"/>
      <c r="F2746" s="16"/>
      <c r="G2746" s="16"/>
      <c r="H2746" s="16"/>
      <c r="I2746" s="16"/>
      <c r="J2746" s="16"/>
      <c r="K2746" s="17"/>
      <c r="L2746" s="16"/>
      <c r="M2746" s="17"/>
      <c r="N2746" s="17"/>
      <c r="O2746" s="17"/>
    </row>
    <row r="2747" spans="1:15" ht="12.75" x14ac:dyDescent="0.2">
      <c r="A2747" s="15"/>
      <c r="B2747" s="15"/>
      <c r="C2747" s="15"/>
      <c r="D2747" s="16"/>
      <c r="E2747" s="16"/>
      <c r="F2747" s="16"/>
      <c r="G2747" s="16"/>
      <c r="H2747" s="16"/>
      <c r="I2747" s="16"/>
      <c r="J2747" s="16"/>
      <c r="K2747" s="17"/>
      <c r="L2747" s="16"/>
      <c r="M2747" s="17"/>
      <c r="N2747" s="17"/>
      <c r="O2747" s="17"/>
    </row>
    <row r="2748" spans="1:15" ht="12.75" x14ac:dyDescent="0.2">
      <c r="A2748" s="15"/>
      <c r="B2748" s="15"/>
      <c r="C2748" s="15"/>
      <c r="D2748" s="16"/>
      <c r="E2748" s="16"/>
      <c r="F2748" s="16"/>
      <c r="G2748" s="16"/>
      <c r="H2748" s="16"/>
      <c r="I2748" s="16"/>
      <c r="J2748" s="16"/>
      <c r="K2748" s="17"/>
      <c r="L2748" s="16"/>
      <c r="M2748" s="17"/>
      <c r="N2748" s="17"/>
      <c r="O2748" s="17"/>
    </row>
    <row r="2749" spans="1:15" ht="12.75" x14ac:dyDescent="0.2">
      <c r="A2749" s="15"/>
      <c r="B2749" s="15"/>
      <c r="C2749" s="15"/>
      <c r="D2749" s="16"/>
      <c r="E2749" s="16"/>
      <c r="F2749" s="16"/>
      <c r="G2749" s="16"/>
      <c r="H2749" s="16"/>
      <c r="I2749" s="16"/>
      <c r="J2749" s="16"/>
      <c r="K2749" s="17"/>
      <c r="L2749" s="16"/>
      <c r="M2749" s="17"/>
      <c r="N2749" s="17"/>
      <c r="O2749" s="17"/>
    </row>
    <row r="2750" spans="1:15" ht="12.75" x14ac:dyDescent="0.2">
      <c r="A2750" s="15"/>
      <c r="B2750" s="15"/>
      <c r="C2750" s="15"/>
      <c r="D2750" s="16"/>
      <c r="E2750" s="16"/>
      <c r="F2750" s="16"/>
      <c r="G2750" s="16"/>
      <c r="H2750" s="16"/>
      <c r="I2750" s="16"/>
      <c r="J2750" s="16"/>
      <c r="K2750" s="17"/>
      <c r="L2750" s="16"/>
      <c r="M2750" s="17"/>
      <c r="N2750" s="17"/>
      <c r="O2750" s="17"/>
    </row>
    <row r="2751" spans="1:15" ht="12.75" x14ac:dyDescent="0.2">
      <c r="A2751" s="15"/>
      <c r="B2751" s="15"/>
      <c r="C2751" s="15"/>
      <c r="D2751" s="16"/>
      <c r="E2751" s="16"/>
      <c r="F2751" s="16"/>
      <c r="G2751" s="16"/>
      <c r="H2751" s="16"/>
      <c r="I2751" s="16"/>
      <c r="J2751" s="16"/>
      <c r="K2751" s="17"/>
      <c r="L2751" s="16"/>
      <c r="M2751" s="17"/>
      <c r="N2751" s="17"/>
      <c r="O2751" s="17"/>
    </row>
    <row r="2752" spans="1:15" ht="12.75" x14ac:dyDescent="0.2">
      <c r="A2752" s="15"/>
      <c r="B2752" s="15"/>
      <c r="C2752" s="15"/>
      <c r="D2752" s="16"/>
      <c r="E2752" s="16"/>
      <c r="F2752" s="16"/>
      <c r="G2752" s="16"/>
      <c r="H2752" s="16"/>
      <c r="I2752" s="16"/>
      <c r="J2752" s="16"/>
      <c r="K2752" s="17"/>
      <c r="L2752" s="16"/>
      <c r="M2752" s="17"/>
      <c r="N2752" s="17"/>
      <c r="O2752" s="17"/>
    </row>
    <row r="2753" spans="1:15" ht="12.75" x14ac:dyDescent="0.2">
      <c r="A2753" s="15"/>
      <c r="B2753" s="15"/>
      <c r="C2753" s="15"/>
      <c r="D2753" s="16"/>
      <c r="E2753" s="16"/>
      <c r="F2753" s="16"/>
      <c r="G2753" s="16"/>
      <c r="H2753" s="16"/>
      <c r="I2753" s="16"/>
      <c r="J2753" s="16"/>
      <c r="K2753" s="17"/>
      <c r="L2753" s="16"/>
      <c r="M2753" s="17"/>
      <c r="N2753" s="17"/>
      <c r="O2753" s="17"/>
    </row>
    <row r="2754" spans="1:15" ht="12.75" x14ac:dyDescent="0.2">
      <c r="A2754" s="15"/>
      <c r="B2754" s="15"/>
      <c r="C2754" s="15"/>
      <c r="D2754" s="16"/>
      <c r="E2754" s="16"/>
      <c r="F2754" s="16"/>
      <c r="G2754" s="16"/>
      <c r="H2754" s="16"/>
      <c r="I2754" s="16"/>
      <c r="J2754" s="16"/>
      <c r="K2754" s="17"/>
      <c r="L2754" s="16"/>
      <c r="M2754" s="17"/>
      <c r="N2754" s="17"/>
      <c r="O2754" s="17"/>
    </row>
    <row r="2755" spans="1:15" ht="12.75" x14ac:dyDescent="0.2">
      <c r="A2755" s="15"/>
      <c r="B2755" s="15"/>
      <c r="C2755" s="15"/>
      <c r="D2755" s="16"/>
      <c r="E2755" s="16"/>
      <c r="F2755" s="16"/>
      <c r="G2755" s="16"/>
      <c r="H2755" s="16"/>
      <c r="I2755" s="16"/>
      <c r="J2755" s="16"/>
      <c r="K2755" s="17"/>
      <c r="L2755" s="16"/>
      <c r="M2755" s="17"/>
      <c r="N2755" s="17"/>
      <c r="O2755" s="17"/>
    </row>
    <row r="2756" spans="1:15" ht="12.75" x14ac:dyDescent="0.2">
      <c r="A2756" s="15"/>
      <c r="B2756" s="15"/>
      <c r="C2756" s="15"/>
      <c r="D2756" s="16"/>
      <c r="E2756" s="16"/>
      <c r="F2756" s="16"/>
      <c r="G2756" s="16"/>
      <c r="H2756" s="16"/>
      <c r="I2756" s="16"/>
      <c r="J2756" s="16"/>
      <c r="K2756" s="17"/>
      <c r="L2756" s="16"/>
      <c r="M2756" s="17"/>
      <c r="N2756" s="17"/>
      <c r="O2756" s="17"/>
    </row>
    <row r="2757" spans="1:15" ht="12.75" x14ac:dyDescent="0.2">
      <c r="A2757" s="15"/>
      <c r="B2757" s="15"/>
      <c r="C2757" s="15"/>
      <c r="D2757" s="16"/>
      <c r="E2757" s="16"/>
      <c r="F2757" s="16"/>
      <c r="G2757" s="16"/>
      <c r="H2757" s="16"/>
      <c r="I2757" s="16"/>
      <c r="J2757" s="16"/>
      <c r="K2757" s="17"/>
      <c r="L2757" s="16"/>
      <c r="M2757" s="17"/>
      <c r="N2757" s="17"/>
      <c r="O2757" s="17"/>
    </row>
    <row r="2758" spans="1:15" ht="12.75" x14ac:dyDescent="0.2">
      <c r="A2758" s="15"/>
      <c r="B2758" s="15"/>
      <c r="C2758" s="15"/>
      <c r="D2758" s="16"/>
      <c r="E2758" s="16"/>
      <c r="F2758" s="16"/>
      <c r="G2758" s="16"/>
      <c r="H2758" s="16"/>
      <c r="I2758" s="16"/>
      <c r="J2758" s="16"/>
      <c r="K2758" s="17"/>
      <c r="L2758" s="16"/>
      <c r="M2758" s="17"/>
      <c r="N2758" s="17"/>
      <c r="O2758" s="17"/>
    </row>
    <row r="2759" spans="1:15" ht="12.75" x14ac:dyDescent="0.2">
      <c r="A2759" s="15"/>
      <c r="B2759" s="15"/>
      <c r="C2759" s="15"/>
      <c r="D2759" s="16"/>
      <c r="E2759" s="16"/>
      <c r="F2759" s="16"/>
      <c r="G2759" s="16"/>
      <c r="H2759" s="16"/>
      <c r="I2759" s="16"/>
      <c r="J2759" s="16"/>
      <c r="K2759" s="17"/>
      <c r="L2759" s="16"/>
      <c r="M2759" s="17"/>
      <c r="N2759" s="17"/>
      <c r="O2759" s="17"/>
    </row>
    <row r="2760" spans="1:15" ht="12.75" x14ac:dyDescent="0.2">
      <c r="A2760" s="15"/>
      <c r="B2760" s="15"/>
      <c r="C2760" s="15"/>
      <c r="D2760" s="16"/>
      <c r="E2760" s="16"/>
      <c r="F2760" s="16"/>
      <c r="G2760" s="16"/>
      <c r="H2760" s="16"/>
      <c r="I2760" s="16"/>
      <c r="J2760" s="16"/>
      <c r="K2760" s="17"/>
      <c r="L2760" s="16"/>
      <c r="M2760" s="17"/>
      <c r="N2760" s="17"/>
      <c r="O2760" s="17"/>
    </row>
    <row r="2761" spans="1:15" ht="12.75" x14ac:dyDescent="0.2">
      <c r="A2761" s="15"/>
      <c r="B2761" s="15"/>
      <c r="C2761" s="15"/>
      <c r="D2761" s="16"/>
      <c r="E2761" s="16"/>
      <c r="F2761" s="16"/>
      <c r="G2761" s="16"/>
      <c r="H2761" s="16"/>
      <c r="I2761" s="16"/>
      <c r="J2761" s="16"/>
      <c r="K2761" s="17"/>
      <c r="L2761" s="16"/>
      <c r="M2761" s="17"/>
      <c r="N2761" s="17"/>
      <c r="O2761" s="17"/>
    </row>
    <row r="2762" spans="1:15" ht="12.75" x14ac:dyDescent="0.2">
      <c r="A2762" s="15"/>
      <c r="B2762" s="15"/>
      <c r="C2762" s="15"/>
      <c r="D2762" s="16"/>
      <c r="E2762" s="16"/>
      <c r="F2762" s="16"/>
      <c r="G2762" s="16"/>
      <c r="H2762" s="16"/>
      <c r="I2762" s="16"/>
      <c r="J2762" s="16"/>
      <c r="K2762" s="17"/>
      <c r="L2762" s="16"/>
      <c r="M2762" s="17"/>
      <c r="N2762" s="17"/>
      <c r="O2762" s="17"/>
    </row>
    <row r="2763" spans="1:15" ht="12.75" x14ac:dyDescent="0.2">
      <c r="A2763" s="15"/>
      <c r="B2763" s="15"/>
      <c r="C2763" s="15"/>
      <c r="D2763" s="16"/>
      <c r="E2763" s="16"/>
      <c r="F2763" s="16"/>
      <c r="G2763" s="16"/>
      <c r="H2763" s="16"/>
      <c r="I2763" s="16"/>
      <c r="J2763" s="16"/>
      <c r="K2763" s="17"/>
      <c r="L2763" s="16"/>
      <c r="M2763" s="17"/>
      <c r="N2763" s="17"/>
      <c r="O2763" s="17"/>
    </row>
    <row r="2764" spans="1:15" ht="12.75" x14ac:dyDescent="0.2">
      <c r="A2764" s="15"/>
      <c r="B2764" s="15"/>
      <c r="C2764" s="15"/>
      <c r="D2764" s="16"/>
      <c r="E2764" s="16"/>
      <c r="F2764" s="16"/>
      <c r="G2764" s="16"/>
      <c r="H2764" s="16"/>
      <c r="I2764" s="16"/>
      <c r="J2764" s="16"/>
      <c r="K2764" s="17"/>
      <c r="L2764" s="16"/>
      <c r="M2764" s="17"/>
      <c r="N2764" s="17"/>
      <c r="O2764" s="17"/>
    </row>
    <row r="2765" spans="1:15" ht="12.75" x14ac:dyDescent="0.2">
      <c r="A2765" s="15"/>
      <c r="B2765" s="15"/>
      <c r="C2765" s="15"/>
      <c r="D2765" s="16"/>
      <c r="E2765" s="16"/>
      <c r="F2765" s="16"/>
      <c r="G2765" s="16"/>
      <c r="H2765" s="16"/>
      <c r="I2765" s="16"/>
      <c r="J2765" s="16"/>
      <c r="K2765" s="17"/>
      <c r="L2765" s="16"/>
      <c r="M2765" s="17"/>
      <c r="N2765" s="17"/>
      <c r="O2765" s="17"/>
    </row>
    <row r="2766" spans="1:15" ht="12.75" x14ac:dyDescent="0.2">
      <c r="A2766" s="15"/>
      <c r="B2766" s="15"/>
      <c r="C2766" s="15"/>
      <c r="D2766" s="16"/>
      <c r="E2766" s="16"/>
      <c r="F2766" s="16"/>
      <c r="G2766" s="16"/>
      <c r="H2766" s="16"/>
      <c r="I2766" s="16"/>
      <c r="J2766" s="16"/>
      <c r="K2766" s="17"/>
      <c r="L2766" s="16"/>
      <c r="M2766" s="17"/>
      <c r="N2766" s="17"/>
      <c r="O2766" s="17"/>
    </row>
    <row r="2767" spans="1:15" ht="12.75" x14ac:dyDescent="0.2">
      <c r="A2767" s="15"/>
      <c r="B2767" s="15"/>
      <c r="C2767" s="15"/>
      <c r="D2767" s="16"/>
      <c r="E2767" s="16"/>
      <c r="F2767" s="16"/>
      <c r="G2767" s="16"/>
      <c r="H2767" s="16"/>
      <c r="I2767" s="16"/>
      <c r="J2767" s="16"/>
      <c r="K2767" s="17"/>
      <c r="L2767" s="16"/>
      <c r="M2767" s="17"/>
      <c r="N2767" s="17"/>
      <c r="O2767" s="17"/>
    </row>
    <row r="2768" spans="1:15" ht="12.75" x14ac:dyDescent="0.2">
      <c r="A2768" s="15"/>
      <c r="B2768" s="15"/>
      <c r="C2768" s="15"/>
      <c r="D2768" s="16"/>
      <c r="E2768" s="16"/>
      <c r="F2768" s="16"/>
      <c r="G2768" s="16"/>
      <c r="H2768" s="16"/>
      <c r="I2768" s="16"/>
      <c r="J2768" s="16"/>
      <c r="K2768" s="17"/>
      <c r="L2768" s="16"/>
      <c r="M2768" s="17"/>
      <c r="N2768" s="17"/>
      <c r="O2768" s="17"/>
    </row>
    <row r="2769" spans="1:15" ht="12.75" x14ac:dyDescent="0.2">
      <c r="A2769" s="15"/>
      <c r="B2769" s="15"/>
      <c r="C2769" s="15"/>
      <c r="D2769" s="16"/>
      <c r="E2769" s="16"/>
      <c r="F2769" s="16"/>
      <c r="G2769" s="16"/>
      <c r="H2769" s="16"/>
      <c r="I2769" s="16"/>
      <c r="J2769" s="16"/>
      <c r="K2769" s="17"/>
      <c r="L2769" s="16"/>
      <c r="M2769" s="17"/>
      <c r="N2769" s="17"/>
      <c r="O2769" s="17"/>
    </row>
    <row r="2770" spans="1:15" ht="12.75" x14ac:dyDescent="0.2">
      <c r="A2770" s="15"/>
      <c r="B2770" s="15"/>
      <c r="C2770" s="15"/>
      <c r="D2770" s="16"/>
      <c r="E2770" s="16"/>
      <c r="F2770" s="16"/>
      <c r="G2770" s="16"/>
      <c r="H2770" s="16"/>
      <c r="I2770" s="16"/>
      <c r="J2770" s="16"/>
      <c r="K2770" s="17"/>
      <c r="L2770" s="16"/>
      <c r="M2770" s="17"/>
      <c r="N2770" s="17"/>
      <c r="O2770" s="17"/>
    </row>
    <row r="2771" spans="1:15" ht="12.75" x14ac:dyDescent="0.2">
      <c r="A2771" s="15"/>
      <c r="B2771" s="15"/>
      <c r="C2771" s="15"/>
      <c r="D2771" s="16"/>
      <c r="E2771" s="16"/>
      <c r="F2771" s="16"/>
      <c r="G2771" s="16"/>
      <c r="H2771" s="16"/>
      <c r="I2771" s="16"/>
      <c r="J2771" s="16"/>
      <c r="K2771" s="17"/>
      <c r="L2771" s="16"/>
      <c r="M2771" s="17"/>
      <c r="N2771" s="17"/>
      <c r="O2771" s="17"/>
    </row>
    <row r="2772" spans="1:15" ht="12.75" x14ac:dyDescent="0.2">
      <c r="A2772" s="15"/>
      <c r="B2772" s="15"/>
      <c r="C2772" s="15"/>
      <c r="D2772" s="16"/>
      <c r="E2772" s="16"/>
      <c r="F2772" s="16"/>
      <c r="G2772" s="16"/>
      <c r="H2772" s="16"/>
      <c r="I2772" s="16"/>
      <c r="J2772" s="16"/>
      <c r="K2772" s="17"/>
      <c r="L2772" s="16"/>
      <c r="M2772" s="17"/>
      <c r="N2772" s="17"/>
      <c r="O2772" s="17"/>
    </row>
    <row r="2773" spans="1:15" ht="12.75" x14ac:dyDescent="0.2">
      <c r="A2773" s="15"/>
      <c r="B2773" s="15"/>
      <c r="C2773" s="15"/>
      <c r="D2773" s="16"/>
      <c r="E2773" s="16"/>
      <c r="F2773" s="16"/>
      <c r="G2773" s="16"/>
      <c r="H2773" s="16"/>
      <c r="I2773" s="16"/>
      <c r="J2773" s="16"/>
      <c r="K2773" s="17"/>
      <c r="L2773" s="16"/>
      <c r="M2773" s="17"/>
      <c r="N2773" s="17"/>
      <c r="O2773" s="17"/>
    </row>
    <row r="2774" spans="1:15" ht="12.75" x14ac:dyDescent="0.2">
      <c r="A2774" s="15"/>
      <c r="B2774" s="15"/>
      <c r="C2774" s="15"/>
      <c r="D2774" s="16"/>
      <c r="E2774" s="16"/>
      <c r="F2774" s="16"/>
      <c r="G2774" s="16"/>
      <c r="H2774" s="16"/>
      <c r="I2774" s="16"/>
      <c r="J2774" s="16"/>
      <c r="K2774" s="17"/>
      <c r="L2774" s="16"/>
      <c r="M2774" s="17"/>
      <c r="N2774" s="17"/>
      <c r="O2774" s="17"/>
    </row>
    <row r="2775" spans="1:15" ht="12.75" x14ac:dyDescent="0.2">
      <c r="A2775" s="15"/>
      <c r="B2775" s="15"/>
      <c r="C2775" s="15"/>
      <c r="D2775" s="16"/>
      <c r="E2775" s="16"/>
      <c r="F2775" s="16"/>
      <c r="G2775" s="16"/>
      <c r="H2775" s="16"/>
      <c r="I2775" s="16"/>
      <c r="J2775" s="16"/>
      <c r="K2775" s="17"/>
      <c r="L2775" s="16"/>
      <c r="M2775" s="17"/>
      <c r="N2775" s="17"/>
      <c r="O2775" s="17"/>
    </row>
    <row r="2776" spans="1:15" ht="12.75" x14ac:dyDescent="0.2">
      <c r="A2776" s="15"/>
      <c r="B2776" s="15"/>
      <c r="C2776" s="15"/>
      <c r="D2776" s="16"/>
      <c r="E2776" s="16"/>
      <c r="F2776" s="16"/>
      <c r="G2776" s="16"/>
      <c r="H2776" s="16"/>
      <c r="I2776" s="16"/>
      <c r="J2776" s="16"/>
      <c r="K2776" s="17"/>
      <c r="L2776" s="16"/>
      <c r="M2776" s="17"/>
      <c r="N2776" s="17"/>
      <c r="O2776" s="17"/>
    </row>
    <row r="2777" spans="1:15" ht="12.75" x14ac:dyDescent="0.2">
      <c r="A2777" s="15"/>
      <c r="B2777" s="15"/>
      <c r="C2777" s="15"/>
      <c r="D2777" s="16"/>
      <c r="E2777" s="16"/>
      <c r="F2777" s="16"/>
      <c r="G2777" s="16"/>
      <c r="H2777" s="16"/>
      <c r="I2777" s="16"/>
      <c r="J2777" s="16"/>
      <c r="K2777" s="17"/>
      <c r="L2777" s="16"/>
      <c r="M2777" s="17"/>
      <c r="N2777" s="17"/>
      <c r="O2777" s="17"/>
    </row>
    <row r="2778" spans="1:15" ht="12.75" x14ac:dyDescent="0.2">
      <c r="A2778" s="15"/>
      <c r="B2778" s="15"/>
      <c r="C2778" s="15"/>
      <c r="D2778" s="16"/>
      <c r="E2778" s="16"/>
      <c r="F2778" s="16"/>
      <c r="G2778" s="16"/>
      <c r="H2778" s="16"/>
      <c r="I2778" s="16"/>
      <c r="J2778" s="16"/>
      <c r="K2778" s="17"/>
      <c r="L2778" s="16"/>
      <c r="M2778" s="17"/>
      <c r="N2778" s="17"/>
      <c r="O2778" s="17"/>
    </row>
    <row r="2779" spans="1:15" ht="12.75" x14ac:dyDescent="0.2">
      <c r="A2779" s="15"/>
      <c r="B2779" s="15"/>
      <c r="C2779" s="15"/>
      <c r="D2779" s="16"/>
      <c r="E2779" s="16"/>
      <c r="F2779" s="16"/>
      <c r="G2779" s="16"/>
      <c r="H2779" s="16"/>
      <c r="I2779" s="16"/>
      <c r="J2779" s="16"/>
      <c r="K2779" s="17"/>
      <c r="L2779" s="16"/>
      <c r="M2779" s="17"/>
      <c r="N2779" s="17"/>
      <c r="O2779" s="17"/>
    </row>
    <row r="2780" spans="1:15" ht="12.75" x14ac:dyDescent="0.2">
      <c r="A2780" s="15"/>
      <c r="B2780" s="15"/>
      <c r="C2780" s="15"/>
      <c r="D2780" s="16"/>
      <c r="E2780" s="16"/>
      <c r="F2780" s="16"/>
      <c r="G2780" s="16"/>
      <c r="H2780" s="16"/>
      <c r="I2780" s="16"/>
      <c r="J2780" s="16"/>
      <c r="K2780" s="17"/>
      <c r="L2780" s="16"/>
      <c r="M2780" s="17"/>
      <c r="N2780" s="17"/>
      <c r="O2780" s="17"/>
    </row>
    <row r="2781" spans="1:15" ht="12.75" x14ac:dyDescent="0.2">
      <c r="A2781" s="15"/>
      <c r="B2781" s="15"/>
      <c r="C2781" s="15"/>
      <c r="D2781" s="16"/>
      <c r="E2781" s="16"/>
      <c r="F2781" s="16"/>
      <c r="G2781" s="16"/>
      <c r="H2781" s="16"/>
      <c r="I2781" s="16"/>
      <c r="J2781" s="16"/>
      <c r="K2781" s="17"/>
      <c r="L2781" s="16"/>
      <c r="M2781" s="17"/>
      <c r="N2781" s="17"/>
      <c r="O2781" s="17"/>
    </row>
    <row r="2782" spans="1:15" ht="12.75" x14ac:dyDescent="0.2">
      <c r="A2782" s="15"/>
      <c r="B2782" s="15"/>
      <c r="C2782" s="15"/>
      <c r="D2782" s="16"/>
      <c r="E2782" s="16"/>
      <c r="F2782" s="16"/>
      <c r="G2782" s="16"/>
      <c r="H2782" s="16"/>
      <c r="I2782" s="16"/>
      <c r="J2782" s="16"/>
      <c r="K2782" s="17"/>
      <c r="L2782" s="16"/>
      <c r="M2782" s="17"/>
      <c r="N2782" s="17"/>
      <c r="O2782" s="17"/>
    </row>
    <row r="2783" spans="1:15" ht="12.75" x14ac:dyDescent="0.2">
      <c r="A2783" s="15"/>
      <c r="B2783" s="15"/>
      <c r="C2783" s="15"/>
      <c r="D2783" s="16"/>
      <c r="E2783" s="16"/>
      <c r="F2783" s="16"/>
      <c r="G2783" s="16"/>
      <c r="H2783" s="16"/>
      <c r="I2783" s="16"/>
      <c r="J2783" s="16"/>
      <c r="K2783" s="17"/>
      <c r="L2783" s="16"/>
      <c r="M2783" s="17"/>
      <c r="N2783" s="17"/>
      <c r="O2783" s="17"/>
    </row>
    <row r="2784" spans="1:15" ht="12.75" x14ac:dyDescent="0.2">
      <c r="A2784" s="15"/>
      <c r="B2784" s="15"/>
      <c r="C2784" s="15"/>
      <c r="D2784" s="16"/>
      <c r="E2784" s="16"/>
      <c r="F2784" s="16"/>
      <c r="G2784" s="16"/>
      <c r="H2784" s="16"/>
      <c r="I2784" s="16"/>
      <c r="J2784" s="16"/>
      <c r="K2784" s="17"/>
      <c r="L2784" s="16"/>
      <c r="M2784" s="17"/>
      <c r="N2784" s="17"/>
      <c r="O2784" s="17"/>
    </row>
    <row r="2785" spans="1:15" ht="12.75" x14ac:dyDescent="0.2">
      <c r="A2785" s="15"/>
      <c r="B2785" s="15"/>
      <c r="C2785" s="15"/>
      <c r="D2785" s="16"/>
      <c r="E2785" s="16"/>
      <c r="F2785" s="16"/>
      <c r="G2785" s="16"/>
      <c r="H2785" s="16"/>
      <c r="I2785" s="16"/>
      <c r="J2785" s="16"/>
      <c r="K2785" s="17"/>
      <c r="L2785" s="16"/>
      <c r="M2785" s="17"/>
      <c r="N2785" s="17"/>
      <c r="O2785" s="17"/>
    </row>
    <row r="2786" spans="1:15" ht="12.75" x14ac:dyDescent="0.2">
      <c r="A2786" s="15"/>
      <c r="B2786" s="15"/>
      <c r="C2786" s="15"/>
      <c r="D2786" s="16"/>
      <c r="E2786" s="16"/>
      <c r="F2786" s="16"/>
      <c r="G2786" s="16"/>
      <c r="H2786" s="16"/>
      <c r="I2786" s="16"/>
      <c r="J2786" s="16"/>
      <c r="K2786" s="17"/>
      <c r="L2786" s="16"/>
      <c r="M2786" s="17"/>
      <c r="N2786" s="17"/>
      <c r="O2786" s="17"/>
    </row>
    <row r="2787" spans="1:15" ht="12.75" x14ac:dyDescent="0.2">
      <c r="A2787" s="15"/>
      <c r="B2787" s="15"/>
      <c r="C2787" s="15"/>
      <c r="D2787" s="16"/>
      <c r="E2787" s="16"/>
      <c r="F2787" s="16"/>
      <c r="G2787" s="16"/>
      <c r="H2787" s="16"/>
      <c r="I2787" s="16"/>
      <c r="J2787" s="16"/>
      <c r="K2787" s="17"/>
      <c r="L2787" s="16"/>
      <c r="M2787" s="17"/>
      <c r="N2787" s="17"/>
      <c r="O2787" s="17"/>
    </row>
    <row r="2788" spans="1:15" ht="12.75" x14ac:dyDescent="0.2">
      <c r="A2788" s="15"/>
      <c r="B2788" s="15"/>
      <c r="C2788" s="15"/>
      <c r="D2788" s="16"/>
      <c r="E2788" s="16"/>
      <c r="F2788" s="16"/>
      <c r="G2788" s="16"/>
      <c r="H2788" s="16"/>
      <c r="I2788" s="16"/>
      <c r="J2788" s="16"/>
      <c r="K2788" s="17"/>
      <c r="L2788" s="16"/>
      <c r="M2788" s="17"/>
      <c r="N2788" s="17"/>
      <c r="O2788" s="17"/>
    </row>
    <row r="2789" spans="1:15" ht="12.75" x14ac:dyDescent="0.2">
      <c r="A2789" s="15"/>
      <c r="B2789" s="15"/>
      <c r="C2789" s="15"/>
      <c r="D2789" s="16"/>
      <c r="E2789" s="16"/>
      <c r="F2789" s="16"/>
      <c r="G2789" s="16"/>
      <c r="H2789" s="16"/>
      <c r="I2789" s="16"/>
      <c r="J2789" s="16"/>
      <c r="K2789" s="17"/>
      <c r="L2789" s="16"/>
      <c r="M2789" s="17"/>
      <c r="N2789" s="17"/>
      <c r="O2789" s="17"/>
    </row>
    <row r="2790" spans="1:15" ht="12.75" x14ac:dyDescent="0.2">
      <c r="A2790" s="15"/>
      <c r="B2790" s="15"/>
      <c r="C2790" s="15"/>
      <c r="D2790" s="16"/>
      <c r="E2790" s="16"/>
      <c r="F2790" s="16"/>
      <c r="G2790" s="16"/>
      <c r="H2790" s="16"/>
      <c r="I2790" s="16"/>
      <c r="J2790" s="16"/>
      <c r="K2790" s="17"/>
      <c r="L2790" s="16"/>
      <c r="M2790" s="17"/>
      <c r="N2790" s="17"/>
      <c r="O2790" s="17"/>
    </row>
    <row r="2791" spans="1:15" ht="12.75" x14ac:dyDescent="0.2">
      <c r="A2791" s="15"/>
      <c r="B2791" s="15"/>
      <c r="C2791" s="15"/>
      <c r="D2791" s="16"/>
      <c r="E2791" s="16"/>
      <c r="F2791" s="16"/>
      <c r="G2791" s="16"/>
      <c r="H2791" s="16"/>
      <c r="I2791" s="16"/>
      <c r="J2791" s="16"/>
      <c r="K2791" s="17"/>
      <c r="L2791" s="16"/>
      <c r="M2791" s="17"/>
      <c r="N2791" s="17"/>
      <c r="O2791" s="17"/>
    </row>
    <row r="2792" spans="1:15" ht="12.75" x14ac:dyDescent="0.2">
      <c r="A2792" s="15"/>
      <c r="B2792" s="15"/>
      <c r="C2792" s="15"/>
      <c r="D2792" s="16"/>
      <c r="E2792" s="16"/>
      <c r="F2792" s="16"/>
      <c r="G2792" s="16"/>
      <c r="H2792" s="16"/>
      <c r="I2792" s="16"/>
      <c r="J2792" s="16"/>
      <c r="K2792" s="17"/>
      <c r="L2792" s="16"/>
      <c r="M2792" s="17"/>
      <c r="N2792" s="17"/>
      <c r="O2792" s="17"/>
    </row>
    <row r="2793" spans="1:15" ht="12.75" x14ac:dyDescent="0.2">
      <c r="A2793" s="15"/>
      <c r="B2793" s="15"/>
      <c r="C2793" s="15"/>
      <c r="D2793" s="16"/>
      <c r="E2793" s="16"/>
      <c r="F2793" s="16"/>
      <c r="G2793" s="16"/>
      <c r="H2793" s="16"/>
      <c r="I2793" s="16"/>
      <c r="J2793" s="16"/>
      <c r="K2793" s="17"/>
      <c r="L2793" s="16"/>
      <c r="M2793" s="17"/>
      <c r="N2793" s="17"/>
      <c r="O2793" s="17"/>
    </row>
    <row r="2794" spans="1:15" ht="12.75" x14ac:dyDescent="0.2">
      <c r="A2794" s="15"/>
      <c r="B2794" s="15"/>
      <c r="C2794" s="15"/>
      <c r="D2794" s="16"/>
      <c r="E2794" s="16"/>
      <c r="F2794" s="16"/>
      <c r="G2794" s="16"/>
      <c r="H2794" s="16"/>
      <c r="I2794" s="16"/>
      <c r="J2794" s="16"/>
      <c r="K2794" s="17"/>
      <c r="L2794" s="16"/>
      <c r="M2794" s="17"/>
      <c r="N2794" s="17"/>
      <c r="O2794" s="17"/>
    </row>
    <row r="2795" spans="1:15" ht="12.75" x14ac:dyDescent="0.2">
      <c r="A2795" s="15"/>
      <c r="B2795" s="15"/>
      <c r="C2795" s="15"/>
      <c r="D2795" s="16"/>
      <c r="E2795" s="16"/>
      <c r="F2795" s="16"/>
      <c r="G2795" s="16"/>
      <c r="H2795" s="16"/>
      <c r="I2795" s="16"/>
      <c r="J2795" s="16"/>
      <c r="K2795" s="17"/>
      <c r="L2795" s="16"/>
      <c r="M2795" s="17"/>
      <c r="N2795" s="17"/>
      <c r="O2795" s="17"/>
    </row>
    <row r="2796" spans="1:15" ht="12.75" x14ac:dyDescent="0.2">
      <c r="A2796" s="15"/>
      <c r="B2796" s="15"/>
      <c r="C2796" s="15"/>
      <c r="D2796" s="16"/>
      <c r="E2796" s="16"/>
      <c r="F2796" s="16"/>
      <c r="G2796" s="16"/>
      <c r="H2796" s="16"/>
      <c r="I2796" s="16"/>
      <c r="J2796" s="16"/>
      <c r="K2796" s="17"/>
      <c r="L2796" s="16"/>
      <c r="M2796" s="17"/>
      <c r="N2796" s="17"/>
      <c r="O2796" s="17"/>
    </row>
    <row r="2797" spans="1:15" ht="12.75" x14ac:dyDescent="0.2">
      <c r="A2797" s="15"/>
      <c r="B2797" s="15"/>
      <c r="C2797" s="15"/>
      <c r="D2797" s="16"/>
      <c r="E2797" s="16"/>
      <c r="F2797" s="16"/>
      <c r="G2797" s="16"/>
      <c r="H2797" s="16"/>
      <c r="I2797" s="16"/>
      <c r="J2797" s="16"/>
      <c r="K2797" s="17"/>
      <c r="L2797" s="16"/>
      <c r="M2797" s="17"/>
      <c r="N2797" s="17"/>
      <c r="O2797" s="17"/>
    </row>
    <row r="2798" spans="1:15" ht="12.75" x14ac:dyDescent="0.2">
      <c r="A2798" s="15"/>
      <c r="B2798" s="15"/>
      <c r="C2798" s="15"/>
      <c r="D2798" s="16"/>
      <c r="E2798" s="16"/>
      <c r="F2798" s="16"/>
      <c r="G2798" s="16"/>
      <c r="H2798" s="16"/>
      <c r="I2798" s="16"/>
      <c r="J2798" s="16"/>
      <c r="K2798" s="17"/>
      <c r="L2798" s="16"/>
      <c r="M2798" s="17"/>
      <c r="N2798" s="17"/>
      <c r="O2798" s="17"/>
    </row>
    <row r="2799" spans="1:15" ht="12.75" x14ac:dyDescent="0.2">
      <c r="A2799" s="15"/>
      <c r="B2799" s="15"/>
      <c r="C2799" s="15"/>
      <c r="D2799" s="16"/>
      <c r="E2799" s="16"/>
      <c r="F2799" s="16"/>
      <c r="G2799" s="16"/>
      <c r="H2799" s="16"/>
      <c r="I2799" s="16"/>
      <c r="J2799" s="16"/>
      <c r="K2799" s="17"/>
      <c r="L2799" s="16"/>
      <c r="M2799" s="17"/>
      <c r="N2799" s="17"/>
      <c r="O2799" s="17"/>
    </row>
    <row r="2800" spans="1:15" ht="12.75" x14ac:dyDescent="0.2">
      <c r="A2800" s="15"/>
      <c r="B2800" s="15"/>
      <c r="C2800" s="15"/>
      <c r="D2800" s="16"/>
      <c r="E2800" s="16"/>
      <c r="F2800" s="16"/>
      <c r="G2800" s="16"/>
      <c r="H2800" s="16"/>
      <c r="I2800" s="16"/>
      <c r="J2800" s="16"/>
      <c r="K2800" s="17"/>
      <c r="L2800" s="16"/>
      <c r="M2800" s="17"/>
      <c r="N2800" s="17"/>
      <c r="O2800" s="17"/>
    </row>
    <row r="2801" spans="1:15" ht="12.75" x14ac:dyDescent="0.2">
      <c r="A2801" s="15"/>
      <c r="B2801" s="15"/>
      <c r="C2801" s="15"/>
      <c r="D2801" s="16"/>
      <c r="E2801" s="16"/>
      <c r="F2801" s="16"/>
      <c r="G2801" s="16"/>
      <c r="H2801" s="16"/>
      <c r="I2801" s="16"/>
      <c r="J2801" s="16"/>
      <c r="K2801" s="17"/>
      <c r="L2801" s="16"/>
      <c r="M2801" s="17"/>
      <c r="N2801" s="17"/>
      <c r="O2801" s="17"/>
    </row>
    <row r="2802" spans="1:15" ht="12.75" x14ac:dyDescent="0.2">
      <c r="A2802" s="15"/>
      <c r="B2802" s="15"/>
      <c r="C2802" s="15"/>
      <c r="D2802" s="16"/>
      <c r="E2802" s="16"/>
      <c r="F2802" s="16"/>
      <c r="G2802" s="16"/>
      <c r="H2802" s="16"/>
      <c r="I2802" s="16"/>
      <c r="J2802" s="16"/>
      <c r="K2802" s="17"/>
      <c r="L2802" s="16"/>
      <c r="M2802" s="17"/>
      <c r="N2802" s="17"/>
      <c r="O2802" s="17"/>
    </row>
    <row r="2803" spans="1:15" ht="12.75" x14ac:dyDescent="0.2">
      <c r="A2803" s="15"/>
      <c r="B2803" s="15"/>
      <c r="C2803" s="15"/>
      <c r="D2803" s="16"/>
      <c r="E2803" s="16"/>
      <c r="F2803" s="16"/>
      <c r="G2803" s="16"/>
      <c r="H2803" s="16"/>
      <c r="I2803" s="16"/>
      <c r="J2803" s="16"/>
      <c r="K2803" s="17"/>
      <c r="L2803" s="16"/>
      <c r="M2803" s="17"/>
      <c r="N2803" s="17"/>
      <c r="O2803" s="17"/>
    </row>
    <row r="2804" spans="1:15" ht="12.75" x14ac:dyDescent="0.2">
      <c r="A2804" s="15"/>
      <c r="B2804" s="15"/>
      <c r="C2804" s="15"/>
      <c r="D2804" s="16"/>
      <c r="E2804" s="16"/>
      <c r="F2804" s="16"/>
      <c r="G2804" s="16"/>
      <c r="H2804" s="16"/>
      <c r="I2804" s="16"/>
      <c r="J2804" s="16"/>
      <c r="K2804" s="17"/>
      <c r="L2804" s="16"/>
      <c r="M2804" s="17"/>
      <c r="N2804" s="17"/>
      <c r="O2804" s="17"/>
    </row>
    <row r="2805" spans="1:15" ht="12.75" x14ac:dyDescent="0.2">
      <c r="A2805" s="15"/>
      <c r="B2805" s="15"/>
      <c r="C2805" s="15"/>
      <c r="D2805" s="16"/>
      <c r="E2805" s="16"/>
      <c r="F2805" s="16"/>
      <c r="G2805" s="16"/>
      <c r="H2805" s="16"/>
      <c r="I2805" s="16"/>
      <c r="J2805" s="16"/>
      <c r="K2805" s="17"/>
      <c r="L2805" s="16"/>
      <c r="M2805" s="17"/>
      <c r="N2805" s="17"/>
      <c r="O2805" s="17"/>
    </row>
    <row r="2806" spans="1:15" ht="12.75" x14ac:dyDescent="0.2">
      <c r="A2806" s="15"/>
      <c r="B2806" s="15"/>
      <c r="C2806" s="15"/>
      <c r="D2806" s="16"/>
      <c r="E2806" s="16"/>
      <c r="F2806" s="16"/>
      <c r="G2806" s="16"/>
      <c r="H2806" s="16"/>
      <c r="I2806" s="16"/>
      <c r="J2806" s="16"/>
      <c r="K2806" s="17"/>
      <c r="L2806" s="16"/>
      <c r="M2806" s="17"/>
      <c r="N2806" s="17"/>
      <c r="O2806" s="17"/>
    </row>
    <row r="2807" spans="1:15" ht="12.75" x14ac:dyDescent="0.2">
      <c r="A2807" s="15"/>
      <c r="B2807" s="15"/>
      <c r="C2807" s="15"/>
      <c r="D2807" s="16"/>
      <c r="E2807" s="16"/>
      <c r="F2807" s="16"/>
      <c r="G2807" s="16"/>
      <c r="H2807" s="16"/>
      <c r="I2807" s="16"/>
      <c r="J2807" s="16"/>
      <c r="K2807" s="17"/>
      <c r="L2807" s="16"/>
      <c r="M2807" s="17"/>
      <c r="N2807" s="17"/>
      <c r="O2807" s="17"/>
    </row>
    <row r="2808" spans="1:15" ht="12.75" x14ac:dyDescent="0.2">
      <c r="A2808" s="15"/>
      <c r="B2808" s="15"/>
      <c r="C2808" s="15"/>
      <c r="D2808" s="16"/>
      <c r="E2808" s="16"/>
      <c r="F2808" s="16"/>
      <c r="G2808" s="16"/>
      <c r="H2808" s="16"/>
      <c r="I2808" s="16"/>
      <c r="J2808" s="16"/>
      <c r="K2808" s="17"/>
      <c r="L2808" s="16"/>
      <c r="M2808" s="17"/>
      <c r="N2808" s="17"/>
      <c r="O2808" s="17"/>
    </row>
    <row r="2809" spans="1:15" ht="12.75" x14ac:dyDescent="0.2">
      <c r="A2809" s="15"/>
      <c r="B2809" s="15"/>
      <c r="C2809" s="15"/>
      <c r="D2809" s="16"/>
      <c r="E2809" s="16"/>
      <c r="F2809" s="16"/>
      <c r="G2809" s="16"/>
      <c r="H2809" s="16"/>
      <c r="I2809" s="16"/>
      <c r="J2809" s="16"/>
      <c r="K2809" s="17"/>
      <c r="L2809" s="16"/>
      <c r="M2809" s="17"/>
      <c r="N2809" s="17"/>
      <c r="O2809" s="17"/>
    </row>
    <row r="2810" spans="1:15" ht="12.75" x14ac:dyDescent="0.2">
      <c r="A2810" s="15"/>
      <c r="B2810" s="15"/>
      <c r="C2810" s="15"/>
      <c r="D2810" s="16"/>
      <c r="E2810" s="16"/>
      <c r="F2810" s="16"/>
      <c r="G2810" s="16"/>
      <c r="H2810" s="16"/>
      <c r="I2810" s="16"/>
      <c r="J2810" s="16"/>
      <c r="K2810" s="17"/>
      <c r="L2810" s="16"/>
      <c r="M2810" s="17"/>
      <c r="N2810" s="17"/>
      <c r="O2810" s="17"/>
    </row>
    <row r="2811" spans="1:15" ht="12.75" x14ac:dyDescent="0.2">
      <c r="A2811" s="15"/>
      <c r="B2811" s="15"/>
      <c r="C2811" s="15"/>
      <c r="D2811" s="16"/>
      <c r="E2811" s="16"/>
      <c r="F2811" s="16"/>
      <c r="G2811" s="16"/>
      <c r="H2811" s="16"/>
      <c r="I2811" s="16"/>
      <c r="J2811" s="16"/>
      <c r="K2811" s="17"/>
      <c r="L2811" s="16"/>
      <c r="M2811" s="17"/>
      <c r="N2811" s="17"/>
      <c r="O2811" s="17"/>
    </row>
    <row r="2812" spans="1:15" ht="12.75" x14ac:dyDescent="0.2">
      <c r="A2812" s="15"/>
      <c r="B2812" s="15"/>
      <c r="C2812" s="15"/>
      <c r="D2812" s="16"/>
      <c r="E2812" s="16"/>
      <c r="F2812" s="16"/>
      <c r="G2812" s="16"/>
      <c r="H2812" s="16"/>
      <c r="I2812" s="16"/>
      <c r="J2812" s="16"/>
      <c r="K2812" s="17"/>
      <c r="L2812" s="16"/>
      <c r="M2812" s="17"/>
      <c r="N2812" s="17"/>
      <c r="O2812" s="17"/>
    </row>
    <row r="2813" spans="1:15" ht="12.75" x14ac:dyDescent="0.2">
      <c r="A2813" s="15"/>
      <c r="B2813" s="15"/>
      <c r="C2813" s="15"/>
      <c r="D2813" s="16"/>
      <c r="E2813" s="16"/>
      <c r="F2813" s="16"/>
      <c r="G2813" s="16"/>
      <c r="H2813" s="16"/>
      <c r="I2813" s="16"/>
      <c r="J2813" s="16"/>
      <c r="K2813" s="17"/>
      <c r="L2813" s="16"/>
      <c r="M2813" s="17"/>
      <c r="N2813" s="17"/>
      <c r="O2813" s="17"/>
    </row>
    <row r="2814" spans="1:15" ht="12.75" x14ac:dyDescent="0.2">
      <c r="A2814" s="15"/>
      <c r="B2814" s="15"/>
      <c r="C2814" s="15"/>
      <c r="D2814" s="16"/>
      <c r="E2814" s="16"/>
      <c r="F2814" s="16"/>
      <c r="G2814" s="16"/>
      <c r="H2814" s="16"/>
      <c r="I2814" s="16"/>
      <c r="J2814" s="16"/>
      <c r="K2814" s="17"/>
      <c r="L2814" s="16"/>
      <c r="M2814" s="17"/>
      <c r="N2814" s="17"/>
      <c r="O2814" s="17"/>
    </row>
    <row r="2815" spans="1:15" ht="12.75" x14ac:dyDescent="0.2">
      <c r="A2815" s="15"/>
      <c r="B2815" s="15"/>
      <c r="C2815" s="15"/>
      <c r="D2815" s="16"/>
      <c r="E2815" s="16"/>
      <c r="F2815" s="16"/>
      <c r="G2815" s="16"/>
      <c r="H2815" s="16"/>
      <c r="I2815" s="16"/>
      <c r="J2815" s="16"/>
      <c r="K2815" s="17"/>
      <c r="L2815" s="16"/>
      <c r="M2815" s="17"/>
      <c r="N2815" s="17"/>
      <c r="O2815" s="17"/>
    </row>
    <row r="2816" spans="1:15" ht="12.75" x14ac:dyDescent="0.2">
      <c r="A2816" s="15"/>
      <c r="B2816" s="15"/>
      <c r="C2816" s="15"/>
      <c r="D2816" s="16"/>
      <c r="E2816" s="16"/>
      <c r="F2816" s="16"/>
      <c r="G2816" s="16"/>
      <c r="H2816" s="16"/>
      <c r="I2816" s="16"/>
      <c r="J2816" s="16"/>
      <c r="K2816" s="17"/>
      <c r="L2816" s="16"/>
      <c r="M2816" s="17"/>
      <c r="N2816" s="17"/>
      <c r="O2816" s="17"/>
    </row>
    <row r="2817" spans="1:15" ht="12.75" x14ac:dyDescent="0.2">
      <c r="A2817" s="15"/>
      <c r="B2817" s="15"/>
      <c r="C2817" s="15"/>
      <c r="D2817" s="16"/>
      <c r="E2817" s="16"/>
      <c r="F2817" s="16"/>
      <c r="G2817" s="16"/>
      <c r="H2817" s="16"/>
      <c r="I2817" s="16"/>
      <c r="J2817" s="16"/>
      <c r="K2817" s="17"/>
      <c r="L2817" s="16"/>
      <c r="M2817" s="17"/>
      <c r="N2817" s="17"/>
      <c r="O2817" s="17"/>
    </row>
    <row r="2818" spans="1:15" ht="12.75" x14ac:dyDescent="0.2">
      <c r="A2818" s="15"/>
      <c r="B2818" s="15"/>
      <c r="C2818" s="15"/>
      <c r="D2818" s="16"/>
      <c r="E2818" s="16"/>
      <c r="F2818" s="16"/>
      <c r="G2818" s="16"/>
      <c r="H2818" s="16"/>
      <c r="I2818" s="16"/>
      <c r="J2818" s="16"/>
      <c r="K2818" s="17"/>
      <c r="L2818" s="16"/>
      <c r="M2818" s="17"/>
      <c r="N2818" s="17"/>
      <c r="O2818" s="17"/>
    </row>
    <row r="2819" spans="1:15" ht="12.75" x14ac:dyDescent="0.2">
      <c r="A2819" s="15"/>
      <c r="B2819" s="15"/>
      <c r="C2819" s="15"/>
      <c r="D2819" s="16"/>
      <c r="E2819" s="16"/>
      <c r="F2819" s="16"/>
      <c r="G2819" s="16"/>
      <c r="H2819" s="16"/>
      <c r="I2819" s="16"/>
      <c r="J2819" s="16"/>
      <c r="K2819" s="17"/>
      <c r="L2819" s="16"/>
      <c r="M2819" s="17"/>
      <c r="N2819" s="17"/>
      <c r="O2819" s="17"/>
    </row>
    <row r="2820" spans="1:15" ht="12.75" x14ac:dyDescent="0.2">
      <c r="A2820" s="15"/>
      <c r="B2820" s="15"/>
      <c r="C2820" s="15"/>
      <c r="D2820" s="16"/>
      <c r="E2820" s="16"/>
      <c r="F2820" s="16"/>
      <c r="G2820" s="16"/>
      <c r="H2820" s="16"/>
      <c r="I2820" s="16"/>
      <c r="J2820" s="16"/>
      <c r="K2820" s="17"/>
      <c r="L2820" s="16"/>
      <c r="M2820" s="17"/>
      <c r="N2820" s="17"/>
      <c r="O2820" s="17"/>
    </row>
    <row r="2821" spans="1:15" ht="12.75" x14ac:dyDescent="0.2">
      <c r="A2821" s="15"/>
      <c r="B2821" s="15"/>
      <c r="C2821" s="15"/>
      <c r="D2821" s="16"/>
      <c r="E2821" s="16"/>
      <c r="F2821" s="16"/>
      <c r="G2821" s="16"/>
      <c r="H2821" s="16"/>
      <c r="I2821" s="16"/>
      <c r="J2821" s="16"/>
      <c r="K2821" s="17"/>
      <c r="L2821" s="16"/>
      <c r="M2821" s="17"/>
      <c r="N2821" s="17"/>
      <c r="O2821" s="17"/>
    </row>
    <row r="2822" spans="1:15" ht="12.75" x14ac:dyDescent="0.2">
      <c r="A2822" s="15"/>
      <c r="B2822" s="15"/>
      <c r="C2822" s="15"/>
      <c r="D2822" s="16"/>
      <c r="E2822" s="16"/>
      <c r="F2822" s="16"/>
      <c r="G2822" s="16"/>
      <c r="H2822" s="16"/>
      <c r="I2822" s="16"/>
      <c r="J2822" s="16"/>
      <c r="K2822" s="17"/>
      <c r="L2822" s="16"/>
      <c r="M2822" s="17"/>
      <c r="N2822" s="17"/>
      <c r="O2822" s="17"/>
    </row>
    <row r="2823" spans="1:15" ht="12.75" x14ac:dyDescent="0.2">
      <c r="A2823" s="15"/>
      <c r="B2823" s="15"/>
      <c r="C2823" s="15"/>
      <c r="D2823" s="16"/>
      <c r="E2823" s="16"/>
      <c r="F2823" s="16"/>
      <c r="G2823" s="16"/>
      <c r="H2823" s="16"/>
      <c r="I2823" s="16"/>
      <c r="J2823" s="16"/>
      <c r="K2823" s="17"/>
      <c r="L2823" s="16"/>
      <c r="M2823" s="17"/>
      <c r="N2823" s="17"/>
      <c r="O2823" s="17"/>
    </row>
    <row r="2824" spans="1:15" ht="12.75" x14ac:dyDescent="0.2">
      <c r="A2824" s="15"/>
      <c r="B2824" s="15"/>
      <c r="C2824" s="15"/>
      <c r="D2824" s="16"/>
      <c r="E2824" s="16"/>
      <c r="F2824" s="16"/>
      <c r="G2824" s="16"/>
      <c r="H2824" s="16"/>
      <c r="I2824" s="16"/>
      <c r="J2824" s="16"/>
      <c r="K2824" s="17"/>
      <c r="L2824" s="16"/>
      <c r="M2824" s="17"/>
      <c r="N2824" s="17"/>
      <c r="O2824" s="17"/>
    </row>
    <row r="2825" spans="1:15" ht="12.75" x14ac:dyDescent="0.2">
      <c r="A2825" s="15"/>
      <c r="B2825" s="15"/>
      <c r="C2825" s="15"/>
      <c r="D2825" s="16"/>
      <c r="E2825" s="16"/>
      <c r="F2825" s="16"/>
      <c r="G2825" s="16"/>
      <c r="H2825" s="16"/>
      <c r="I2825" s="16"/>
      <c r="J2825" s="16"/>
      <c r="K2825" s="17"/>
      <c r="L2825" s="16"/>
      <c r="M2825" s="17"/>
      <c r="N2825" s="17"/>
      <c r="O2825" s="17"/>
    </row>
    <row r="2826" spans="1:15" ht="12.75" x14ac:dyDescent="0.2">
      <c r="A2826" s="15"/>
      <c r="B2826" s="15"/>
      <c r="C2826" s="15"/>
      <c r="D2826" s="16"/>
      <c r="E2826" s="16"/>
      <c r="F2826" s="16"/>
      <c r="G2826" s="16"/>
      <c r="H2826" s="16"/>
      <c r="I2826" s="16"/>
      <c r="J2826" s="16"/>
      <c r="K2826" s="17"/>
      <c r="L2826" s="16"/>
      <c r="M2826" s="17"/>
      <c r="N2826" s="17"/>
      <c r="O2826" s="17"/>
    </row>
    <row r="2827" spans="1:15" ht="12.75" x14ac:dyDescent="0.2">
      <c r="A2827" s="15"/>
      <c r="B2827" s="15"/>
      <c r="C2827" s="15"/>
      <c r="D2827" s="16"/>
      <c r="E2827" s="16"/>
      <c r="F2827" s="16"/>
      <c r="G2827" s="16"/>
      <c r="H2827" s="16"/>
      <c r="I2827" s="16"/>
      <c r="J2827" s="16"/>
      <c r="K2827" s="17"/>
      <c r="L2827" s="16"/>
      <c r="M2827" s="17"/>
      <c r="N2827" s="17"/>
      <c r="O2827" s="17"/>
    </row>
    <row r="2828" spans="1:15" ht="12.75" x14ac:dyDescent="0.2">
      <c r="A2828" s="15"/>
      <c r="B2828" s="15"/>
      <c r="C2828" s="15"/>
      <c r="D2828" s="16"/>
      <c r="E2828" s="16"/>
      <c r="F2828" s="16"/>
      <c r="G2828" s="16"/>
      <c r="H2828" s="16"/>
      <c r="I2828" s="16"/>
      <c r="J2828" s="16"/>
      <c r="K2828" s="17"/>
      <c r="L2828" s="16"/>
      <c r="M2828" s="17"/>
      <c r="N2828" s="17"/>
      <c r="O2828" s="17"/>
    </row>
    <row r="2829" spans="1:15" ht="12.75" x14ac:dyDescent="0.2">
      <c r="A2829" s="15"/>
      <c r="B2829" s="15"/>
      <c r="C2829" s="15"/>
      <c r="D2829" s="16"/>
      <c r="E2829" s="16"/>
      <c r="F2829" s="16"/>
      <c r="G2829" s="16"/>
      <c r="H2829" s="16"/>
      <c r="I2829" s="16"/>
      <c r="J2829" s="16"/>
      <c r="K2829" s="17"/>
      <c r="L2829" s="16"/>
      <c r="M2829" s="17"/>
      <c r="N2829" s="17"/>
      <c r="O2829" s="17"/>
    </row>
    <row r="2830" spans="1:15" ht="12.75" x14ac:dyDescent="0.2">
      <c r="A2830" s="15"/>
      <c r="B2830" s="15"/>
      <c r="C2830" s="15"/>
      <c r="D2830" s="16"/>
      <c r="E2830" s="16"/>
      <c r="F2830" s="16"/>
      <c r="G2830" s="16"/>
      <c r="H2830" s="16"/>
      <c r="I2830" s="16"/>
      <c r="J2830" s="16"/>
      <c r="K2830" s="17"/>
      <c r="L2830" s="16"/>
      <c r="M2830" s="17"/>
      <c r="N2830" s="17"/>
      <c r="O2830" s="17"/>
    </row>
    <row r="2831" spans="1:15" ht="12.75" x14ac:dyDescent="0.2">
      <c r="A2831" s="15"/>
      <c r="B2831" s="15"/>
      <c r="C2831" s="15"/>
      <c r="D2831" s="16"/>
      <c r="E2831" s="16"/>
      <c r="F2831" s="16"/>
      <c r="G2831" s="16"/>
      <c r="H2831" s="16"/>
      <c r="I2831" s="16"/>
      <c r="J2831" s="16"/>
      <c r="K2831" s="17"/>
      <c r="L2831" s="16"/>
      <c r="M2831" s="17"/>
      <c r="N2831" s="17"/>
      <c r="O2831" s="17"/>
    </row>
    <row r="2832" spans="1:15" ht="12.75" x14ac:dyDescent="0.2">
      <c r="A2832" s="15"/>
      <c r="B2832" s="15"/>
      <c r="C2832" s="15"/>
      <c r="D2832" s="16"/>
      <c r="E2832" s="16"/>
      <c r="F2832" s="16"/>
      <c r="G2832" s="16"/>
      <c r="H2832" s="16"/>
      <c r="I2832" s="16"/>
      <c r="J2832" s="16"/>
      <c r="K2832" s="17"/>
      <c r="L2832" s="16"/>
      <c r="M2832" s="17"/>
      <c r="N2832" s="17"/>
      <c r="O2832" s="17"/>
    </row>
    <row r="2833" spans="1:15" ht="12.75" x14ac:dyDescent="0.2">
      <c r="A2833" s="15"/>
      <c r="B2833" s="15"/>
      <c r="C2833" s="15"/>
      <c r="D2833" s="16"/>
      <c r="E2833" s="16"/>
      <c r="F2833" s="16"/>
      <c r="G2833" s="16"/>
      <c r="H2833" s="16"/>
      <c r="I2833" s="16"/>
      <c r="J2833" s="16"/>
      <c r="K2833" s="17"/>
      <c r="L2833" s="16"/>
      <c r="M2833" s="17"/>
      <c r="N2833" s="17"/>
      <c r="O2833" s="17"/>
    </row>
    <row r="2834" spans="1:15" ht="12.75" x14ac:dyDescent="0.2">
      <c r="A2834" s="15"/>
      <c r="B2834" s="15"/>
      <c r="C2834" s="15"/>
      <c r="D2834" s="16"/>
      <c r="E2834" s="16"/>
      <c r="F2834" s="16"/>
      <c r="G2834" s="16"/>
      <c r="H2834" s="16"/>
      <c r="I2834" s="16"/>
      <c r="J2834" s="16"/>
      <c r="K2834" s="17"/>
      <c r="L2834" s="16"/>
      <c r="M2834" s="17"/>
      <c r="N2834" s="17"/>
      <c r="O2834" s="17"/>
    </row>
    <row r="2835" spans="1:15" ht="12.75" x14ac:dyDescent="0.2">
      <c r="A2835" s="15"/>
      <c r="B2835" s="15"/>
      <c r="C2835" s="15"/>
      <c r="D2835" s="16"/>
      <c r="E2835" s="16"/>
      <c r="F2835" s="16"/>
      <c r="G2835" s="16"/>
      <c r="H2835" s="16"/>
      <c r="I2835" s="16"/>
      <c r="J2835" s="16"/>
      <c r="K2835" s="17"/>
      <c r="L2835" s="16"/>
      <c r="M2835" s="17"/>
      <c r="N2835" s="17"/>
      <c r="O2835" s="17"/>
    </row>
    <row r="2836" spans="1:15" ht="12.75" x14ac:dyDescent="0.2">
      <c r="A2836" s="15"/>
      <c r="B2836" s="15"/>
      <c r="C2836" s="15"/>
      <c r="D2836" s="16"/>
      <c r="E2836" s="16"/>
      <c r="F2836" s="16"/>
      <c r="G2836" s="16"/>
      <c r="H2836" s="16"/>
      <c r="I2836" s="16"/>
      <c r="J2836" s="16"/>
      <c r="K2836" s="17"/>
      <c r="L2836" s="16"/>
      <c r="M2836" s="17"/>
      <c r="N2836" s="17"/>
      <c r="O2836" s="17"/>
    </row>
    <row r="2837" spans="1:15" ht="12.75" x14ac:dyDescent="0.2">
      <c r="A2837" s="15"/>
      <c r="B2837" s="15"/>
      <c r="C2837" s="15"/>
      <c r="D2837" s="16"/>
      <c r="E2837" s="16"/>
      <c r="F2837" s="16"/>
      <c r="G2837" s="16"/>
      <c r="H2837" s="16"/>
      <c r="I2837" s="16"/>
      <c r="J2837" s="16"/>
      <c r="K2837" s="17"/>
      <c r="L2837" s="16"/>
      <c r="M2837" s="17"/>
      <c r="N2837" s="17"/>
      <c r="O2837" s="17"/>
    </row>
    <row r="2838" spans="1:15" ht="12.75" x14ac:dyDescent="0.2">
      <c r="A2838" s="15"/>
      <c r="B2838" s="15"/>
      <c r="C2838" s="15"/>
      <c r="D2838" s="16"/>
      <c r="E2838" s="16"/>
      <c r="F2838" s="16"/>
      <c r="G2838" s="16"/>
      <c r="H2838" s="16"/>
      <c r="I2838" s="16"/>
      <c r="J2838" s="16"/>
      <c r="K2838" s="17"/>
      <c r="L2838" s="16"/>
      <c r="M2838" s="17"/>
      <c r="N2838" s="17"/>
      <c r="O2838" s="17"/>
    </row>
    <row r="2839" spans="1:15" ht="12.75" x14ac:dyDescent="0.2">
      <c r="A2839" s="15"/>
      <c r="B2839" s="15"/>
      <c r="C2839" s="15"/>
      <c r="D2839" s="16"/>
      <c r="E2839" s="16"/>
      <c r="F2839" s="16"/>
      <c r="G2839" s="16"/>
      <c r="H2839" s="16"/>
      <c r="I2839" s="16"/>
      <c r="J2839" s="16"/>
      <c r="K2839" s="17"/>
      <c r="L2839" s="16"/>
      <c r="M2839" s="17"/>
      <c r="N2839" s="17"/>
      <c r="O2839" s="17"/>
    </row>
    <row r="2840" spans="1:15" ht="12.75" x14ac:dyDescent="0.2">
      <c r="A2840" s="15"/>
      <c r="B2840" s="15"/>
      <c r="C2840" s="15"/>
      <c r="D2840" s="16"/>
      <c r="E2840" s="16"/>
      <c r="F2840" s="16"/>
      <c r="G2840" s="16"/>
      <c r="H2840" s="16"/>
      <c r="I2840" s="16"/>
      <c r="J2840" s="16"/>
      <c r="K2840" s="17"/>
      <c r="L2840" s="16"/>
      <c r="M2840" s="17"/>
      <c r="N2840" s="17"/>
      <c r="O2840" s="17"/>
    </row>
    <row r="2841" spans="1:15" ht="12.75" x14ac:dyDescent="0.2">
      <c r="A2841" s="15"/>
      <c r="B2841" s="15"/>
      <c r="C2841" s="15"/>
      <c r="D2841" s="16"/>
      <c r="E2841" s="16"/>
      <c r="F2841" s="16"/>
      <c r="G2841" s="16"/>
      <c r="H2841" s="16"/>
      <c r="I2841" s="16"/>
      <c r="J2841" s="16"/>
      <c r="K2841" s="17"/>
      <c r="L2841" s="16"/>
      <c r="M2841" s="17"/>
      <c r="N2841" s="17"/>
      <c r="O2841" s="17"/>
    </row>
    <row r="2842" spans="1:15" ht="12.75" x14ac:dyDescent="0.2">
      <c r="A2842" s="15"/>
      <c r="B2842" s="15"/>
      <c r="C2842" s="15"/>
      <c r="D2842" s="16"/>
      <c r="E2842" s="16"/>
      <c r="F2842" s="16"/>
      <c r="G2842" s="16"/>
      <c r="H2842" s="16"/>
      <c r="I2842" s="16"/>
      <c r="J2842" s="16"/>
      <c r="K2842" s="17"/>
      <c r="L2842" s="16"/>
      <c r="M2842" s="17"/>
      <c r="N2842" s="17"/>
      <c r="O2842" s="17"/>
    </row>
    <row r="2843" spans="1:15" ht="12.75" x14ac:dyDescent="0.2">
      <c r="A2843" s="15"/>
      <c r="B2843" s="15"/>
      <c r="C2843" s="15"/>
      <c r="D2843" s="16"/>
      <c r="E2843" s="16"/>
      <c r="F2843" s="16"/>
      <c r="G2843" s="16"/>
      <c r="H2843" s="16"/>
      <c r="I2843" s="16"/>
      <c r="J2843" s="16"/>
      <c r="K2843" s="17"/>
      <c r="L2843" s="16"/>
      <c r="M2843" s="17"/>
      <c r="N2843" s="17"/>
      <c r="O2843" s="17"/>
    </row>
    <row r="2844" spans="1:15" ht="12.75" x14ac:dyDescent="0.2">
      <c r="A2844" s="15"/>
      <c r="B2844" s="15"/>
      <c r="C2844" s="15"/>
      <c r="D2844" s="16"/>
      <c r="E2844" s="16"/>
      <c r="F2844" s="16"/>
      <c r="G2844" s="16"/>
      <c r="H2844" s="16"/>
      <c r="I2844" s="16"/>
      <c r="J2844" s="16"/>
      <c r="K2844" s="17"/>
      <c r="L2844" s="16"/>
      <c r="M2844" s="17"/>
      <c r="N2844" s="17"/>
      <c r="O2844" s="17"/>
    </row>
    <row r="2845" spans="1:15" ht="12.75" x14ac:dyDescent="0.2">
      <c r="A2845" s="15"/>
      <c r="B2845" s="15"/>
      <c r="C2845" s="15"/>
      <c r="D2845" s="16"/>
      <c r="E2845" s="16"/>
      <c r="F2845" s="16"/>
      <c r="G2845" s="16"/>
      <c r="H2845" s="16"/>
      <c r="I2845" s="16"/>
      <c r="J2845" s="16"/>
      <c r="K2845" s="17"/>
      <c r="L2845" s="16"/>
      <c r="M2845" s="17"/>
      <c r="N2845" s="17"/>
      <c r="O2845" s="17"/>
    </row>
    <row r="2846" spans="1:15" ht="12.75" x14ac:dyDescent="0.2">
      <c r="A2846" s="15"/>
      <c r="B2846" s="15"/>
      <c r="C2846" s="15"/>
      <c r="D2846" s="16"/>
      <c r="E2846" s="16"/>
      <c r="F2846" s="16"/>
      <c r="G2846" s="16"/>
      <c r="H2846" s="16"/>
      <c r="I2846" s="16"/>
      <c r="J2846" s="16"/>
      <c r="K2846" s="17"/>
      <c r="L2846" s="16"/>
      <c r="M2846" s="17"/>
      <c r="N2846" s="17"/>
      <c r="O2846" s="17"/>
    </row>
    <row r="2847" spans="1:15" ht="12.75" x14ac:dyDescent="0.2">
      <c r="A2847" s="15"/>
      <c r="B2847" s="15"/>
      <c r="C2847" s="15"/>
      <c r="D2847" s="16"/>
      <c r="E2847" s="16"/>
      <c r="F2847" s="16"/>
      <c r="G2847" s="16"/>
      <c r="H2847" s="16"/>
      <c r="I2847" s="16"/>
      <c r="J2847" s="16"/>
      <c r="K2847" s="17"/>
      <c r="L2847" s="16"/>
      <c r="M2847" s="17"/>
      <c r="N2847" s="17"/>
      <c r="O2847" s="17"/>
    </row>
    <row r="2848" spans="1:15" ht="12.75" x14ac:dyDescent="0.2">
      <c r="A2848" s="15"/>
      <c r="B2848" s="15"/>
      <c r="C2848" s="15"/>
      <c r="D2848" s="16"/>
      <c r="E2848" s="16"/>
      <c r="F2848" s="16"/>
      <c r="G2848" s="16"/>
      <c r="H2848" s="16"/>
      <c r="I2848" s="16"/>
      <c r="J2848" s="16"/>
      <c r="K2848" s="17"/>
      <c r="L2848" s="16"/>
      <c r="M2848" s="17"/>
      <c r="N2848" s="17"/>
      <c r="O2848" s="17"/>
    </row>
    <row r="2849" spans="1:15" ht="12.75" x14ac:dyDescent="0.2">
      <c r="A2849" s="15"/>
      <c r="B2849" s="15"/>
      <c r="C2849" s="15"/>
      <c r="D2849" s="16"/>
      <c r="E2849" s="16"/>
      <c r="F2849" s="16"/>
      <c r="G2849" s="16"/>
      <c r="H2849" s="16"/>
      <c r="I2849" s="16"/>
      <c r="J2849" s="16"/>
      <c r="K2849" s="17"/>
      <c r="L2849" s="16"/>
      <c r="M2849" s="17"/>
      <c r="N2849" s="17"/>
      <c r="O2849" s="17"/>
    </row>
    <row r="2850" spans="1:15" ht="12.75" x14ac:dyDescent="0.2">
      <c r="A2850" s="15"/>
      <c r="B2850" s="15"/>
      <c r="C2850" s="15"/>
      <c r="D2850" s="16"/>
      <c r="E2850" s="16"/>
      <c r="F2850" s="16"/>
      <c r="G2850" s="16"/>
      <c r="H2850" s="16"/>
      <c r="I2850" s="16"/>
      <c r="J2850" s="16"/>
      <c r="K2850" s="17"/>
      <c r="L2850" s="16"/>
      <c r="M2850" s="17"/>
      <c r="N2850" s="17"/>
      <c r="O2850" s="17"/>
    </row>
    <row r="2851" spans="1:15" ht="12.75" x14ac:dyDescent="0.2">
      <c r="A2851" s="15"/>
      <c r="B2851" s="15"/>
      <c r="C2851" s="15"/>
      <c r="D2851" s="16"/>
      <c r="E2851" s="16"/>
      <c r="F2851" s="16"/>
      <c r="G2851" s="16"/>
      <c r="H2851" s="16"/>
      <c r="I2851" s="16"/>
      <c r="J2851" s="16"/>
      <c r="K2851" s="17"/>
      <c r="L2851" s="16"/>
      <c r="M2851" s="17"/>
      <c r="N2851" s="17"/>
      <c r="O2851" s="17"/>
    </row>
    <row r="2852" spans="1:15" ht="12.75" x14ac:dyDescent="0.2">
      <c r="A2852" s="15"/>
      <c r="B2852" s="15"/>
      <c r="C2852" s="15"/>
      <c r="D2852" s="16"/>
      <c r="E2852" s="16"/>
      <c r="F2852" s="16"/>
      <c r="G2852" s="16"/>
      <c r="H2852" s="16"/>
      <c r="I2852" s="16"/>
      <c r="J2852" s="16"/>
      <c r="K2852" s="17"/>
      <c r="L2852" s="16"/>
      <c r="M2852" s="17"/>
      <c r="N2852" s="17"/>
      <c r="O2852" s="17"/>
    </row>
    <row r="2853" spans="1:15" ht="12.75" x14ac:dyDescent="0.2">
      <c r="A2853" s="15"/>
      <c r="B2853" s="15"/>
      <c r="C2853" s="15"/>
      <c r="D2853" s="16"/>
      <c r="E2853" s="16"/>
      <c r="F2853" s="16"/>
      <c r="G2853" s="16"/>
      <c r="H2853" s="16"/>
      <c r="I2853" s="16"/>
      <c r="J2853" s="16"/>
      <c r="K2853" s="17"/>
      <c r="L2853" s="16"/>
      <c r="M2853" s="17"/>
      <c r="N2853" s="17"/>
      <c r="O2853" s="17"/>
    </row>
    <row r="2854" spans="1:15" ht="12.75" x14ac:dyDescent="0.2">
      <c r="A2854" s="15"/>
      <c r="B2854" s="15"/>
      <c r="C2854" s="15"/>
      <c r="D2854" s="16"/>
      <c r="E2854" s="16"/>
      <c r="F2854" s="16"/>
      <c r="G2854" s="16"/>
      <c r="H2854" s="16"/>
      <c r="I2854" s="16"/>
      <c r="J2854" s="16"/>
      <c r="K2854" s="17"/>
      <c r="L2854" s="16"/>
      <c r="M2854" s="17"/>
      <c r="N2854" s="17"/>
      <c r="O2854" s="17"/>
    </row>
    <row r="2855" spans="1:15" ht="12.75" x14ac:dyDescent="0.2">
      <c r="A2855" s="15"/>
      <c r="B2855" s="15"/>
      <c r="C2855" s="15"/>
      <c r="D2855" s="16"/>
      <c r="E2855" s="16"/>
      <c r="F2855" s="16"/>
      <c r="G2855" s="16"/>
      <c r="H2855" s="16"/>
      <c r="I2855" s="16"/>
      <c r="J2855" s="16"/>
      <c r="K2855" s="17"/>
      <c r="L2855" s="16"/>
      <c r="M2855" s="17"/>
      <c r="N2855" s="17"/>
      <c r="O2855" s="17"/>
    </row>
    <row r="2856" spans="1:15" ht="12.75" x14ac:dyDescent="0.2">
      <c r="A2856" s="15"/>
      <c r="B2856" s="15"/>
      <c r="C2856" s="15"/>
      <c r="D2856" s="16"/>
      <c r="E2856" s="16"/>
      <c r="F2856" s="16"/>
      <c r="G2856" s="16"/>
      <c r="H2856" s="16"/>
      <c r="I2856" s="16"/>
      <c r="J2856" s="16"/>
      <c r="K2856" s="17"/>
      <c r="L2856" s="16"/>
      <c r="M2856" s="17"/>
      <c r="N2856" s="17"/>
      <c r="O2856" s="17"/>
    </row>
    <row r="2857" spans="1:15" ht="12.75" x14ac:dyDescent="0.2">
      <c r="A2857" s="15"/>
      <c r="B2857" s="15"/>
      <c r="C2857" s="15"/>
      <c r="D2857" s="16"/>
      <c r="E2857" s="16"/>
      <c r="F2857" s="16"/>
      <c r="G2857" s="16"/>
      <c r="H2857" s="16"/>
      <c r="I2857" s="16"/>
      <c r="J2857" s="16"/>
      <c r="K2857" s="17"/>
      <c r="L2857" s="16"/>
      <c r="M2857" s="17"/>
      <c r="N2857" s="17"/>
      <c r="O2857" s="17"/>
    </row>
    <row r="2858" spans="1:15" ht="12.75" x14ac:dyDescent="0.2">
      <c r="A2858" s="15"/>
      <c r="B2858" s="15"/>
      <c r="C2858" s="15"/>
      <c r="D2858" s="16"/>
      <c r="E2858" s="16"/>
      <c r="F2858" s="16"/>
      <c r="G2858" s="16"/>
      <c r="H2858" s="16"/>
      <c r="I2858" s="16"/>
      <c r="J2858" s="16"/>
      <c r="K2858" s="17"/>
      <c r="L2858" s="16"/>
      <c r="M2858" s="17"/>
      <c r="N2858" s="17"/>
      <c r="O2858" s="17"/>
    </row>
    <row r="2859" spans="1:15" ht="12.75" x14ac:dyDescent="0.2">
      <c r="A2859" s="15"/>
      <c r="B2859" s="15"/>
      <c r="C2859" s="15"/>
      <c r="D2859" s="16"/>
      <c r="E2859" s="16"/>
      <c r="F2859" s="16"/>
      <c r="G2859" s="16"/>
      <c r="H2859" s="16"/>
      <c r="I2859" s="16"/>
      <c r="J2859" s="16"/>
      <c r="K2859" s="17"/>
      <c r="L2859" s="16"/>
      <c r="M2859" s="17"/>
      <c r="N2859" s="17"/>
      <c r="O2859" s="17"/>
    </row>
    <row r="2860" spans="1:15" ht="12.75" x14ac:dyDescent="0.2">
      <c r="A2860" s="15"/>
      <c r="B2860" s="15"/>
      <c r="C2860" s="15"/>
      <c r="D2860" s="16"/>
      <c r="E2860" s="16"/>
      <c r="F2860" s="16"/>
      <c r="G2860" s="16"/>
      <c r="H2860" s="16"/>
      <c r="I2860" s="16"/>
      <c r="J2860" s="16"/>
      <c r="K2860" s="17"/>
      <c r="L2860" s="16"/>
      <c r="M2860" s="17"/>
      <c r="N2860" s="17"/>
      <c r="O2860" s="17"/>
    </row>
    <row r="2861" spans="1:15" ht="12.75" x14ac:dyDescent="0.2">
      <c r="A2861" s="15"/>
      <c r="B2861" s="15"/>
      <c r="C2861" s="15"/>
      <c r="D2861" s="16"/>
      <c r="E2861" s="16"/>
      <c r="F2861" s="16"/>
      <c r="G2861" s="16"/>
      <c r="H2861" s="16"/>
      <c r="I2861" s="16"/>
      <c r="J2861" s="16"/>
      <c r="K2861" s="17"/>
      <c r="L2861" s="16"/>
      <c r="M2861" s="17"/>
      <c r="N2861" s="17"/>
      <c r="O2861" s="17"/>
    </row>
    <row r="2862" spans="1:15" ht="12.75" x14ac:dyDescent="0.2">
      <c r="A2862" s="15"/>
      <c r="B2862" s="15"/>
      <c r="C2862" s="15"/>
      <c r="D2862" s="16"/>
      <c r="E2862" s="16"/>
      <c r="F2862" s="16"/>
      <c r="G2862" s="16"/>
      <c r="H2862" s="16"/>
      <c r="I2862" s="16"/>
      <c r="J2862" s="16"/>
      <c r="K2862" s="17"/>
      <c r="L2862" s="16"/>
      <c r="M2862" s="17"/>
      <c r="N2862" s="17"/>
      <c r="O2862" s="17"/>
    </row>
    <row r="2863" spans="1:15" ht="12.75" x14ac:dyDescent="0.2">
      <c r="A2863" s="15"/>
      <c r="B2863" s="15"/>
      <c r="C2863" s="15"/>
      <c r="D2863" s="16"/>
      <c r="E2863" s="16"/>
      <c r="F2863" s="16"/>
      <c r="G2863" s="16"/>
      <c r="H2863" s="16"/>
      <c r="I2863" s="16"/>
      <c r="J2863" s="16"/>
      <c r="K2863" s="17"/>
      <c r="L2863" s="16"/>
      <c r="M2863" s="17"/>
      <c r="N2863" s="17"/>
      <c r="O2863" s="17"/>
    </row>
    <row r="2864" spans="1:15" ht="12.75" x14ac:dyDescent="0.2">
      <c r="A2864" s="15"/>
      <c r="B2864" s="15"/>
      <c r="C2864" s="15"/>
      <c r="D2864" s="16"/>
      <c r="E2864" s="16"/>
      <c r="F2864" s="16"/>
      <c r="G2864" s="16"/>
      <c r="H2864" s="16"/>
      <c r="I2864" s="16"/>
      <c r="J2864" s="16"/>
      <c r="K2864" s="17"/>
      <c r="L2864" s="16"/>
      <c r="M2864" s="17"/>
      <c r="N2864" s="17"/>
      <c r="O2864" s="17"/>
    </row>
    <row r="2865" spans="1:15" ht="12.75" x14ac:dyDescent="0.2">
      <c r="A2865" s="15"/>
      <c r="B2865" s="15"/>
      <c r="C2865" s="15"/>
      <c r="D2865" s="16"/>
      <c r="E2865" s="16"/>
      <c r="F2865" s="16"/>
      <c r="G2865" s="16"/>
      <c r="H2865" s="16"/>
      <c r="I2865" s="16"/>
      <c r="J2865" s="16"/>
      <c r="K2865" s="17"/>
      <c r="L2865" s="16"/>
      <c r="M2865" s="17"/>
      <c r="N2865" s="17"/>
      <c r="O2865" s="17"/>
    </row>
    <row r="2866" spans="1:15" ht="12.75" x14ac:dyDescent="0.2">
      <c r="A2866" s="15"/>
      <c r="B2866" s="15"/>
      <c r="C2866" s="15"/>
      <c r="D2866" s="16"/>
      <c r="E2866" s="16"/>
      <c r="F2866" s="16"/>
      <c r="G2866" s="16"/>
      <c r="H2866" s="16"/>
      <c r="I2866" s="16"/>
      <c r="J2866" s="16"/>
      <c r="K2866" s="17"/>
      <c r="L2866" s="16"/>
      <c r="M2866" s="17"/>
      <c r="N2866" s="17"/>
      <c r="O2866" s="17"/>
    </row>
    <row r="2867" spans="1:15" ht="12.75" x14ac:dyDescent="0.2">
      <c r="A2867" s="15"/>
      <c r="B2867" s="15"/>
      <c r="C2867" s="15"/>
      <c r="D2867" s="16"/>
      <c r="E2867" s="16"/>
      <c r="F2867" s="16"/>
      <c r="G2867" s="16"/>
      <c r="H2867" s="16"/>
      <c r="I2867" s="16"/>
      <c r="J2867" s="16"/>
      <c r="K2867" s="17"/>
      <c r="L2867" s="16"/>
      <c r="M2867" s="17"/>
      <c r="N2867" s="17"/>
      <c r="O2867" s="17"/>
    </row>
    <row r="2868" spans="1:15" ht="12.75" x14ac:dyDescent="0.2">
      <c r="A2868" s="15"/>
      <c r="B2868" s="15"/>
      <c r="C2868" s="15"/>
      <c r="D2868" s="16"/>
      <c r="E2868" s="16"/>
      <c r="F2868" s="16"/>
      <c r="G2868" s="16"/>
      <c r="H2868" s="16"/>
      <c r="I2868" s="16"/>
      <c r="J2868" s="16"/>
      <c r="K2868" s="17"/>
      <c r="L2868" s="16"/>
      <c r="M2868" s="17"/>
      <c r="N2868" s="17"/>
      <c r="O2868" s="17"/>
    </row>
    <row r="2869" spans="1:15" ht="12.75" x14ac:dyDescent="0.2">
      <c r="A2869" s="15"/>
      <c r="B2869" s="15"/>
      <c r="C2869" s="15"/>
      <c r="D2869" s="16"/>
      <c r="E2869" s="16"/>
      <c r="F2869" s="16"/>
      <c r="G2869" s="16"/>
      <c r="H2869" s="16"/>
      <c r="I2869" s="16"/>
      <c r="J2869" s="16"/>
      <c r="K2869" s="17"/>
      <c r="L2869" s="16"/>
      <c r="M2869" s="17"/>
      <c r="N2869" s="17"/>
      <c r="O2869" s="17"/>
    </row>
    <row r="2870" spans="1:15" ht="12.75" x14ac:dyDescent="0.2">
      <c r="A2870" s="15"/>
      <c r="B2870" s="15"/>
      <c r="C2870" s="15"/>
      <c r="D2870" s="16"/>
      <c r="E2870" s="16"/>
      <c r="F2870" s="16"/>
      <c r="G2870" s="16"/>
      <c r="H2870" s="16"/>
      <c r="I2870" s="16"/>
      <c r="J2870" s="16"/>
      <c r="K2870" s="17"/>
      <c r="L2870" s="16"/>
      <c r="M2870" s="17"/>
      <c r="N2870" s="17"/>
      <c r="O2870" s="17"/>
    </row>
    <row r="2871" spans="1:15" ht="12.75" x14ac:dyDescent="0.2">
      <c r="A2871" s="15"/>
      <c r="B2871" s="15"/>
      <c r="C2871" s="15"/>
      <c r="D2871" s="16"/>
      <c r="E2871" s="16"/>
      <c r="F2871" s="16"/>
      <c r="G2871" s="16"/>
      <c r="H2871" s="16"/>
      <c r="I2871" s="16"/>
      <c r="J2871" s="16"/>
      <c r="K2871" s="17"/>
      <c r="L2871" s="16"/>
      <c r="M2871" s="17"/>
      <c r="N2871" s="17"/>
      <c r="O2871" s="17"/>
    </row>
    <row r="2872" spans="1:15" ht="12.75" x14ac:dyDescent="0.2">
      <c r="A2872" s="15"/>
      <c r="B2872" s="15"/>
      <c r="C2872" s="15"/>
      <c r="D2872" s="16"/>
      <c r="E2872" s="16"/>
      <c r="F2872" s="16"/>
      <c r="G2872" s="16"/>
      <c r="H2872" s="16"/>
      <c r="I2872" s="16"/>
      <c r="J2872" s="16"/>
      <c r="K2872" s="17"/>
      <c r="L2872" s="16"/>
      <c r="M2872" s="17"/>
      <c r="N2872" s="17"/>
      <c r="O2872" s="17"/>
    </row>
    <row r="2873" spans="1:15" ht="12.75" x14ac:dyDescent="0.2">
      <c r="A2873" s="15"/>
      <c r="B2873" s="15"/>
      <c r="C2873" s="15"/>
      <c r="D2873" s="16"/>
      <c r="E2873" s="16"/>
      <c r="F2873" s="16"/>
      <c r="G2873" s="16"/>
      <c r="H2873" s="16"/>
      <c r="I2873" s="16"/>
      <c r="J2873" s="16"/>
      <c r="K2873" s="17"/>
      <c r="L2873" s="16"/>
      <c r="M2873" s="17"/>
      <c r="N2873" s="17"/>
      <c r="O2873" s="17"/>
    </row>
    <row r="2874" spans="1:15" ht="12.75" x14ac:dyDescent="0.2">
      <c r="A2874" s="15"/>
      <c r="B2874" s="15"/>
      <c r="C2874" s="15"/>
      <c r="D2874" s="16"/>
      <c r="E2874" s="16"/>
      <c r="F2874" s="16"/>
      <c r="G2874" s="16"/>
      <c r="H2874" s="16"/>
      <c r="I2874" s="16"/>
      <c r="J2874" s="16"/>
      <c r="K2874" s="17"/>
      <c r="L2874" s="16"/>
      <c r="M2874" s="17"/>
      <c r="N2874" s="17"/>
      <c r="O2874" s="17"/>
    </row>
    <row r="2875" spans="1:15" ht="12.75" x14ac:dyDescent="0.2">
      <c r="A2875" s="15"/>
      <c r="B2875" s="15"/>
      <c r="C2875" s="15"/>
      <c r="D2875" s="16"/>
      <c r="E2875" s="16"/>
      <c r="F2875" s="16"/>
      <c r="G2875" s="16"/>
      <c r="H2875" s="16"/>
      <c r="I2875" s="16"/>
      <c r="J2875" s="16"/>
      <c r="K2875" s="17"/>
      <c r="L2875" s="16"/>
      <c r="M2875" s="17"/>
      <c r="N2875" s="17"/>
      <c r="O2875" s="17"/>
    </row>
    <row r="2876" spans="1:15" ht="12.75" x14ac:dyDescent="0.2">
      <c r="A2876" s="15"/>
      <c r="B2876" s="15"/>
      <c r="C2876" s="15"/>
      <c r="D2876" s="16"/>
      <c r="E2876" s="16"/>
      <c r="F2876" s="16"/>
      <c r="G2876" s="16"/>
      <c r="H2876" s="16"/>
      <c r="I2876" s="16"/>
      <c r="J2876" s="16"/>
      <c r="K2876" s="17"/>
      <c r="L2876" s="16"/>
      <c r="M2876" s="17"/>
      <c r="N2876" s="17"/>
      <c r="O2876" s="17"/>
    </row>
    <row r="2877" spans="1:15" ht="12.75" x14ac:dyDescent="0.2">
      <c r="A2877" s="15"/>
      <c r="B2877" s="15"/>
      <c r="C2877" s="15"/>
      <c r="D2877" s="16"/>
      <c r="E2877" s="16"/>
      <c r="F2877" s="16"/>
      <c r="G2877" s="16"/>
      <c r="H2877" s="16"/>
      <c r="I2877" s="16"/>
      <c r="J2877" s="16"/>
      <c r="K2877" s="17"/>
      <c r="L2877" s="16"/>
      <c r="M2877" s="17"/>
      <c r="N2877" s="17"/>
      <c r="O2877" s="17"/>
    </row>
    <row r="2878" spans="1:15" ht="12.75" x14ac:dyDescent="0.2">
      <c r="A2878" s="15"/>
      <c r="B2878" s="15"/>
      <c r="C2878" s="15"/>
      <c r="D2878" s="16"/>
      <c r="E2878" s="16"/>
      <c r="F2878" s="16"/>
      <c r="G2878" s="16"/>
      <c r="H2878" s="16"/>
      <c r="I2878" s="16"/>
      <c r="J2878" s="16"/>
      <c r="K2878" s="17"/>
      <c r="L2878" s="16"/>
      <c r="M2878" s="17"/>
      <c r="N2878" s="17"/>
      <c r="O2878" s="17"/>
    </row>
    <row r="2879" spans="1:15" ht="12.75" x14ac:dyDescent="0.2">
      <c r="A2879" s="15"/>
      <c r="B2879" s="15"/>
      <c r="C2879" s="15"/>
      <c r="D2879" s="16"/>
      <c r="E2879" s="16"/>
      <c r="F2879" s="16"/>
      <c r="G2879" s="16"/>
      <c r="H2879" s="16"/>
      <c r="I2879" s="16"/>
      <c r="J2879" s="16"/>
      <c r="K2879" s="17"/>
      <c r="L2879" s="16"/>
      <c r="M2879" s="17"/>
      <c r="N2879" s="17"/>
      <c r="O2879" s="17"/>
    </row>
    <row r="2880" spans="1:15" ht="12.75" x14ac:dyDescent="0.2">
      <c r="A2880" s="15"/>
      <c r="B2880" s="15"/>
      <c r="C2880" s="15"/>
      <c r="D2880" s="16"/>
      <c r="E2880" s="16"/>
      <c r="F2880" s="16"/>
      <c r="G2880" s="16"/>
      <c r="H2880" s="16"/>
      <c r="I2880" s="16"/>
      <c r="J2880" s="16"/>
      <c r="K2880" s="17"/>
      <c r="L2880" s="16"/>
      <c r="M2880" s="17"/>
      <c r="N2880" s="17"/>
      <c r="O2880" s="17"/>
    </row>
    <row r="2881" spans="1:15" ht="12.75" x14ac:dyDescent="0.2">
      <c r="A2881" s="15"/>
      <c r="B2881" s="15"/>
      <c r="C2881" s="15"/>
      <c r="D2881" s="16"/>
      <c r="E2881" s="16"/>
      <c r="F2881" s="16"/>
      <c r="G2881" s="16"/>
      <c r="H2881" s="16"/>
      <c r="I2881" s="16"/>
      <c r="J2881" s="16"/>
      <c r="K2881" s="17"/>
      <c r="L2881" s="16"/>
      <c r="M2881" s="17"/>
      <c r="N2881" s="17"/>
      <c r="O2881" s="17"/>
    </row>
    <row r="2882" spans="1:15" ht="12.75" x14ac:dyDescent="0.2">
      <c r="A2882" s="15"/>
      <c r="B2882" s="15"/>
      <c r="C2882" s="15"/>
      <c r="D2882" s="16"/>
      <c r="E2882" s="16"/>
      <c r="F2882" s="16"/>
      <c r="G2882" s="16"/>
      <c r="H2882" s="16"/>
      <c r="I2882" s="16"/>
      <c r="J2882" s="16"/>
      <c r="K2882" s="17"/>
      <c r="L2882" s="16"/>
      <c r="M2882" s="17"/>
      <c r="N2882" s="17"/>
      <c r="O2882" s="17"/>
    </row>
    <row r="2883" spans="1:15" ht="12.75" x14ac:dyDescent="0.2">
      <c r="A2883" s="15"/>
      <c r="B2883" s="15"/>
      <c r="C2883" s="15"/>
      <c r="D2883" s="16"/>
      <c r="E2883" s="16"/>
      <c r="F2883" s="16"/>
      <c r="G2883" s="16"/>
      <c r="H2883" s="16"/>
      <c r="I2883" s="16"/>
      <c r="J2883" s="16"/>
      <c r="K2883" s="17"/>
      <c r="L2883" s="16"/>
      <c r="M2883" s="17"/>
      <c r="N2883" s="17"/>
      <c r="O2883" s="17"/>
    </row>
    <row r="2884" spans="1:15" ht="12.75" x14ac:dyDescent="0.2">
      <c r="A2884" s="15"/>
      <c r="B2884" s="15"/>
      <c r="C2884" s="15"/>
      <c r="D2884" s="16"/>
      <c r="E2884" s="16"/>
      <c r="F2884" s="16"/>
      <c r="G2884" s="16"/>
      <c r="H2884" s="16"/>
      <c r="I2884" s="16"/>
      <c r="J2884" s="16"/>
      <c r="K2884" s="17"/>
      <c r="L2884" s="16"/>
      <c r="M2884" s="17"/>
      <c r="N2884" s="17"/>
      <c r="O2884" s="17"/>
    </row>
    <row r="2885" spans="1:15" ht="12.75" x14ac:dyDescent="0.2">
      <c r="A2885" s="15"/>
      <c r="B2885" s="15"/>
      <c r="C2885" s="15"/>
      <c r="D2885" s="16"/>
      <c r="E2885" s="16"/>
      <c r="F2885" s="16"/>
      <c r="G2885" s="16"/>
      <c r="H2885" s="16"/>
      <c r="I2885" s="16"/>
      <c r="J2885" s="16"/>
      <c r="K2885" s="17"/>
      <c r="L2885" s="16"/>
      <c r="M2885" s="17"/>
      <c r="N2885" s="17"/>
      <c r="O2885" s="17"/>
    </row>
    <row r="2886" spans="1:15" ht="12.75" x14ac:dyDescent="0.2">
      <c r="A2886" s="15"/>
      <c r="B2886" s="15"/>
      <c r="C2886" s="15"/>
      <c r="D2886" s="16"/>
      <c r="E2886" s="16"/>
      <c r="F2886" s="16"/>
      <c r="G2886" s="16"/>
      <c r="H2886" s="16"/>
      <c r="I2886" s="16"/>
      <c r="J2886" s="16"/>
      <c r="K2886" s="17"/>
      <c r="L2886" s="16"/>
      <c r="M2886" s="17"/>
      <c r="N2886" s="17"/>
      <c r="O2886" s="17"/>
    </row>
    <row r="2887" spans="1:15" ht="12.75" x14ac:dyDescent="0.2">
      <c r="A2887" s="15"/>
      <c r="B2887" s="15"/>
      <c r="C2887" s="15"/>
      <c r="D2887" s="16"/>
      <c r="E2887" s="16"/>
      <c r="F2887" s="16"/>
      <c r="G2887" s="16"/>
      <c r="H2887" s="16"/>
      <c r="I2887" s="16"/>
      <c r="J2887" s="16"/>
      <c r="K2887" s="17"/>
      <c r="L2887" s="16"/>
      <c r="M2887" s="17"/>
      <c r="N2887" s="17"/>
      <c r="O2887" s="17"/>
    </row>
    <row r="2888" spans="1:15" ht="12.75" x14ac:dyDescent="0.2">
      <c r="A2888" s="15"/>
      <c r="B2888" s="15"/>
      <c r="C2888" s="15"/>
      <c r="D2888" s="16"/>
      <c r="E2888" s="16"/>
      <c r="F2888" s="16"/>
      <c r="G2888" s="16"/>
      <c r="H2888" s="16"/>
      <c r="I2888" s="16"/>
      <c r="J2888" s="16"/>
      <c r="K2888" s="17"/>
      <c r="L2888" s="16"/>
      <c r="M2888" s="17"/>
      <c r="N2888" s="17"/>
      <c r="O2888" s="17"/>
    </row>
    <row r="2889" spans="1:15" ht="12.75" x14ac:dyDescent="0.2">
      <c r="A2889" s="15"/>
      <c r="B2889" s="15"/>
      <c r="C2889" s="15"/>
      <c r="D2889" s="16"/>
      <c r="E2889" s="16"/>
      <c r="F2889" s="16"/>
      <c r="G2889" s="16"/>
      <c r="H2889" s="16"/>
      <c r="I2889" s="16"/>
      <c r="J2889" s="16"/>
      <c r="K2889" s="17"/>
      <c r="L2889" s="16"/>
      <c r="M2889" s="17"/>
      <c r="N2889" s="17"/>
      <c r="O2889" s="17"/>
    </row>
    <row r="2890" spans="1:15" ht="12.75" x14ac:dyDescent="0.2">
      <c r="A2890" s="15"/>
      <c r="B2890" s="15"/>
      <c r="C2890" s="15"/>
      <c r="D2890" s="16"/>
      <c r="E2890" s="16"/>
      <c r="F2890" s="16"/>
      <c r="G2890" s="16"/>
      <c r="H2890" s="16"/>
      <c r="I2890" s="16"/>
      <c r="J2890" s="16"/>
      <c r="K2890" s="17"/>
      <c r="L2890" s="16"/>
      <c r="M2890" s="17"/>
      <c r="N2890" s="17"/>
      <c r="O2890" s="17"/>
    </row>
    <row r="2891" spans="1:15" ht="12.75" x14ac:dyDescent="0.2">
      <c r="A2891" s="15"/>
      <c r="B2891" s="15"/>
      <c r="C2891" s="15"/>
      <c r="D2891" s="16"/>
      <c r="E2891" s="16"/>
      <c r="F2891" s="16"/>
      <c r="G2891" s="16"/>
      <c r="H2891" s="16"/>
      <c r="I2891" s="16"/>
      <c r="J2891" s="16"/>
      <c r="K2891" s="17"/>
      <c r="L2891" s="16"/>
      <c r="M2891" s="17"/>
      <c r="N2891" s="17"/>
      <c r="O2891" s="17"/>
    </row>
    <row r="2892" spans="1:15" ht="12.75" x14ac:dyDescent="0.2">
      <c r="A2892" s="15"/>
      <c r="B2892" s="15"/>
      <c r="C2892" s="15"/>
      <c r="D2892" s="16"/>
      <c r="E2892" s="16"/>
      <c r="F2892" s="16"/>
      <c r="G2892" s="16"/>
      <c r="H2892" s="16"/>
      <c r="I2892" s="16"/>
      <c r="J2892" s="16"/>
      <c r="K2892" s="17"/>
      <c r="L2892" s="16"/>
      <c r="M2892" s="17"/>
      <c r="N2892" s="17"/>
      <c r="O2892" s="17"/>
    </row>
    <row r="2893" spans="1:15" ht="12.75" x14ac:dyDescent="0.2">
      <c r="A2893" s="15"/>
      <c r="B2893" s="15"/>
      <c r="C2893" s="15"/>
      <c r="D2893" s="16"/>
      <c r="E2893" s="16"/>
      <c r="F2893" s="16"/>
      <c r="G2893" s="16"/>
      <c r="H2893" s="16"/>
      <c r="I2893" s="16"/>
      <c r="J2893" s="16"/>
      <c r="K2893" s="17"/>
      <c r="L2893" s="16"/>
      <c r="M2893" s="17"/>
      <c r="N2893" s="17"/>
      <c r="O2893" s="17"/>
    </row>
    <row r="2894" spans="1:15" ht="12.75" x14ac:dyDescent="0.2">
      <c r="A2894" s="15"/>
      <c r="B2894" s="15"/>
      <c r="C2894" s="15"/>
      <c r="D2894" s="16"/>
      <c r="E2894" s="16"/>
      <c r="F2894" s="16"/>
      <c r="G2894" s="16"/>
      <c r="H2894" s="16"/>
      <c r="I2894" s="16"/>
      <c r="J2894" s="16"/>
      <c r="K2894" s="17"/>
      <c r="L2894" s="16"/>
      <c r="M2894" s="17"/>
      <c r="N2894" s="17"/>
      <c r="O2894" s="17"/>
    </row>
    <row r="2895" spans="1:15" ht="12.75" x14ac:dyDescent="0.2">
      <c r="A2895" s="15"/>
      <c r="B2895" s="15"/>
      <c r="C2895" s="15"/>
      <c r="D2895" s="16"/>
      <c r="E2895" s="16"/>
      <c r="F2895" s="16"/>
      <c r="G2895" s="16"/>
      <c r="H2895" s="16"/>
      <c r="I2895" s="16"/>
      <c r="J2895" s="16"/>
      <c r="K2895" s="17"/>
      <c r="L2895" s="16"/>
      <c r="M2895" s="17"/>
      <c r="N2895" s="17"/>
      <c r="O2895" s="17"/>
    </row>
    <row r="2896" spans="1:15" ht="12.75" x14ac:dyDescent="0.2">
      <c r="A2896" s="15"/>
      <c r="B2896" s="15"/>
      <c r="C2896" s="15"/>
      <c r="D2896" s="16"/>
      <c r="E2896" s="16"/>
      <c r="F2896" s="16"/>
      <c r="G2896" s="16"/>
      <c r="H2896" s="16"/>
      <c r="I2896" s="16"/>
      <c r="J2896" s="16"/>
      <c r="K2896" s="17"/>
      <c r="L2896" s="16"/>
      <c r="M2896" s="17"/>
      <c r="N2896" s="17"/>
      <c r="O2896" s="17"/>
    </row>
    <row r="2897" spans="1:15" ht="12.75" x14ac:dyDescent="0.2">
      <c r="A2897" s="15"/>
      <c r="B2897" s="15"/>
      <c r="C2897" s="15"/>
      <c r="D2897" s="16"/>
      <c r="E2897" s="16"/>
      <c r="F2897" s="16"/>
      <c r="G2897" s="16"/>
      <c r="H2897" s="16"/>
      <c r="I2897" s="16"/>
      <c r="J2897" s="16"/>
      <c r="K2897" s="17"/>
      <c r="L2897" s="16"/>
      <c r="M2897" s="17"/>
      <c r="N2897" s="17"/>
      <c r="O2897" s="17"/>
    </row>
    <row r="2898" spans="1:15" ht="12.75" x14ac:dyDescent="0.2">
      <c r="A2898" s="15"/>
      <c r="B2898" s="15"/>
      <c r="C2898" s="15"/>
      <c r="D2898" s="16"/>
      <c r="E2898" s="16"/>
      <c r="F2898" s="16"/>
      <c r="G2898" s="16"/>
      <c r="H2898" s="16"/>
      <c r="I2898" s="16"/>
      <c r="J2898" s="16"/>
      <c r="K2898" s="17"/>
      <c r="L2898" s="16"/>
      <c r="M2898" s="17"/>
      <c r="N2898" s="17"/>
      <c r="O2898" s="17"/>
    </row>
    <row r="2899" spans="1:15" ht="12.75" x14ac:dyDescent="0.2">
      <c r="A2899" s="15"/>
      <c r="B2899" s="15"/>
      <c r="C2899" s="15"/>
      <c r="D2899" s="16"/>
      <c r="E2899" s="16"/>
      <c r="F2899" s="16"/>
      <c r="G2899" s="16"/>
      <c r="H2899" s="16"/>
      <c r="I2899" s="16"/>
      <c r="J2899" s="16"/>
      <c r="K2899" s="17"/>
      <c r="L2899" s="16"/>
      <c r="M2899" s="17"/>
      <c r="N2899" s="17"/>
      <c r="O2899" s="17"/>
    </row>
    <row r="2900" spans="1:15" ht="12.75" x14ac:dyDescent="0.2">
      <c r="A2900" s="15"/>
      <c r="B2900" s="15"/>
      <c r="C2900" s="15"/>
      <c r="D2900" s="16"/>
      <c r="E2900" s="16"/>
      <c r="F2900" s="16"/>
      <c r="G2900" s="16"/>
      <c r="H2900" s="16"/>
      <c r="I2900" s="16"/>
      <c r="J2900" s="16"/>
      <c r="K2900" s="17"/>
      <c r="L2900" s="16"/>
      <c r="M2900" s="17"/>
      <c r="N2900" s="17"/>
      <c r="O2900" s="17"/>
    </row>
    <row r="2901" spans="1:15" ht="12.75" x14ac:dyDescent="0.2">
      <c r="A2901" s="15"/>
      <c r="B2901" s="15"/>
      <c r="C2901" s="15"/>
      <c r="D2901" s="16"/>
      <c r="E2901" s="16"/>
      <c r="F2901" s="16"/>
      <c r="G2901" s="16"/>
      <c r="H2901" s="16"/>
      <c r="I2901" s="16"/>
      <c r="J2901" s="16"/>
      <c r="K2901" s="17"/>
      <c r="L2901" s="16"/>
      <c r="M2901" s="17"/>
      <c r="N2901" s="17"/>
      <c r="O2901" s="17"/>
    </row>
    <row r="2902" spans="1:15" ht="12.75" x14ac:dyDescent="0.2">
      <c r="A2902" s="15"/>
      <c r="B2902" s="15"/>
      <c r="C2902" s="15"/>
      <c r="D2902" s="16"/>
      <c r="E2902" s="16"/>
      <c r="F2902" s="16"/>
      <c r="G2902" s="16"/>
      <c r="H2902" s="16"/>
      <c r="I2902" s="16"/>
      <c r="J2902" s="16"/>
      <c r="K2902" s="17"/>
      <c r="L2902" s="16"/>
      <c r="M2902" s="17"/>
      <c r="N2902" s="17"/>
      <c r="O2902" s="17"/>
    </row>
    <row r="2903" spans="1:15" ht="12.75" x14ac:dyDescent="0.2">
      <c r="A2903" s="15"/>
      <c r="B2903" s="15"/>
      <c r="C2903" s="15"/>
      <c r="D2903" s="16"/>
      <c r="E2903" s="16"/>
      <c r="F2903" s="16"/>
      <c r="G2903" s="16"/>
      <c r="H2903" s="16"/>
      <c r="I2903" s="16"/>
      <c r="J2903" s="16"/>
      <c r="K2903" s="17"/>
      <c r="L2903" s="16"/>
      <c r="M2903" s="17"/>
      <c r="N2903" s="17"/>
      <c r="O2903" s="17"/>
    </row>
    <row r="2904" spans="1:15" ht="12.75" x14ac:dyDescent="0.2">
      <c r="A2904" s="15"/>
      <c r="B2904" s="15"/>
      <c r="C2904" s="15"/>
      <c r="D2904" s="16"/>
      <c r="E2904" s="16"/>
      <c r="F2904" s="16"/>
      <c r="G2904" s="16"/>
      <c r="H2904" s="16"/>
      <c r="I2904" s="16"/>
      <c r="J2904" s="16"/>
      <c r="K2904" s="17"/>
      <c r="L2904" s="16"/>
      <c r="M2904" s="17"/>
      <c r="N2904" s="17"/>
      <c r="O2904" s="17"/>
    </row>
    <row r="2905" spans="1:15" ht="12.75" x14ac:dyDescent="0.2">
      <c r="A2905" s="15"/>
      <c r="B2905" s="15"/>
      <c r="C2905" s="15"/>
      <c r="D2905" s="16"/>
      <c r="E2905" s="16"/>
      <c r="F2905" s="16"/>
      <c r="G2905" s="16"/>
      <c r="H2905" s="16"/>
      <c r="I2905" s="16"/>
      <c r="J2905" s="16"/>
      <c r="K2905" s="17"/>
      <c r="L2905" s="16"/>
      <c r="M2905" s="17"/>
      <c r="N2905" s="17"/>
      <c r="O2905" s="17"/>
    </row>
    <row r="2906" spans="1:15" ht="12.75" x14ac:dyDescent="0.2">
      <c r="A2906" s="15"/>
      <c r="B2906" s="15"/>
      <c r="C2906" s="15"/>
      <c r="D2906" s="16"/>
      <c r="E2906" s="16"/>
      <c r="F2906" s="16"/>
      <c r="G2906" s="16"/>
      <c r="H2906" s="16"/>
      <c r="I2906" s="16"/>
      <c r="J2906" s="16"/>
      <c r="K2906" s="17"/>
      <c r="L2906" s="16"/>
      <c r="M2906" s="17"/>
      <c r="N2906" s="17"/>
      <c r="O2906" s="17"/>
    </row>
    <row r="2907" spans="1:15" ht="12.75" x14ac:dyDescent="0.2">
      <c r="A2907" s="15"/>
      <c r="B2907" s="15"/>
      <c r="C2907" s="15"/>
      <c r="D2907" s="16"/>
      <c r="E2907" s="16"/>
      <c r="F2907" s="16"/>
      <c r="G2907" s="16"/>
      <c r="H2907" s="16"/>
      <c r="I2907" s="16"/>
      <c r="J2907" s="16"/>
      <c r="K2907" s="17"/>
      <c r="L2907" s="16"/>
      <c r="M2907" s="17"/>
      <c r="N2907" s="17"/>
      <c r="O2907" s="17"/>
    </row>
    <row r="2908" spans="1:15" ht="12.75" x14ac:dyDescent="0.2">
      <c r="A2908" s="15"/>
      <c r="B2908" s="15"/>
      <c r="C2908" s="15"/>
      <c r="D2908" s="16"/>
      <c r="E2908" s="16"/>
      <c r="F2908" s="16"/>
      <c r="G2908" s="16"/>
      <c r="H2908" s="16"/>
      <c r="I2908" s="16"/>
      <c r="J2908" s="16"/>
      <c r="K2908" s="17"/>
      <c r="L2908" s="16"/>
      <c r="M2908" s="17"/>
      <c r="N2908" s="17"/>
      <c r="O2908" s="17"/>
    </row>
    <row r="2909" spans="1:15" ht="12.75" x14ac:dyDescent="0.2">
      <c r="A2909" s="15"/>
      <c r="B2909" s="15"/>
      <c r="C2909" s="15"/>
      <c r="D2909" s="16"/>
      <c r="E2909" s="16"/>
      <c r="F2909" s="16"/>
      <c r="G2909" s="16"/>
      <c r="H2909" s="16"/>
      <c r="I2909" s="16"/>
      <c r="J2909" s="16"/>
      <c r="K2909" s="17"/>
      <c r="L2909" s="16"/>
      <c r="M2909" s="17"/>
      <c r="N2909" s="17"/>
      <c r="O2909" s="17"/>
    </row>
    <row r="2910" spans="1:15" ht="12.75" x14ac:dyDescent="0.2">
      <c r="A2910" s="15"/>
      <c r="B2910" s="15"/>
      <c r="C2910" s="15"/>
      <c r="D2910" s="16"/>
      <c r="E2910" s="16"/>
      <c r="F2910" s="16"/>
      <c r="G2910" s="16"/>
      <c r="H2910" s="16"/>
      <c r="I2910" s="16"/>
      <c r="J2910" s="16"/>
      <c r="K2910" s="17"/>
      <c r="L2910" s="16"/>
      <c r="M2910" s="17"/>
      <c r="N2910" s="17"/>
      <c r="O2910" s="17"/>
    </row>
    <row r="2911" spans="1:15" ht="12.75" x14ac:dyDescent="0.2">
      <c r="A2911" s="15"/>
      <c r="B2911" s="15"/>
      <c r="C2911" s="15"/>
      <c r="D2911" s="16"/>
      <c r="E2911" s="16"/>
      <c r="F2911" s="16"/>
      <c r="G2911" s="16"/>
      <c r="H2911" s="16"/>
      <c r="I2911" s="16"/>
      <c r="J2911" s="16"/>
      <c r="K2911" s="17"/>
      <c r="L2911" s="16"/>
      <c r="M2911" s="17"/>
      <c r="N2911" s="17"/>
      <c r="O2911" s="17"/>
    </row>
    <row r="2912" spans="1:15" ht="12.75" x14ac:dyDescent="0.2">
      <c r="A2912" s="15"/>
      <c r="B2912" s="15"/>
      <c r="C2912" s="15"/>
      <c r="D2912" s="16"/>
      <c r="E2912" s="16"/>
      <c r="F2912" s="16"/>
      <c r="G2912" s="16"/>
      <c r="H2912" s="16"/>
      <c r="I2912" s="16"/>
      <c r="J2912" s="16"/>
      <c r="K2912" s="17"/>
      <c r="L2912" s="16"/>
      <c r="M2912" s="17"/>
      <c r="N2912" s="17"/>
      <c r="O2912" s="17"/>
    </row>
    <row r="2913" spans="1:15" ht="12.75" x14ac:dyDescent="0.2">
      <c r="A2913" s="15"/>
      <c r="B2913" s="15"/>
      <c r="C2913" s="15"/>
      <c r="D2913" s="16"/>
      <c r="E2913" s="16"/>
      <c r="F2913" s="16"/>
      <c r="G2913" s="16"/>
      <c r="H2913" s="16"/>
      <c r="I2913" s="16"/>
      <c r="J2913" s="16"/>
      <c r="K2913" s="17"/>
      <c r="L2913" s="16"/>
      <c r="M2913" s="17"/>
      <c r="N2913" s="17"/>
      <c r="O2913" s="17"/>
    </row>
    <row r="2914" spans="1:15" ht="12.75" x14ac:dyDescent="0.2">
      <c r="A2914" s="15"/>
      <c r="B2914" s="15"/>
      <c r="C2914" s="15"/>
      <c r="D2914" s="16"/>
      <c r="E2914" s="16"/>
      <c r="F2914" s="16"/>
      <c r="G2914" s="16"/>
      <c r="H2914" s="16"/>
      <c r="I2914" s="16"/>
      <c r="J2914" s="16"/>
      <c r="K2914" s="17"/>
      <c r="L2914" s="16"/>
      <c r="M2914" s="17"/>
      <c r="N2914" s="17"/>
      <c r="O2914" s="17"/>
    </row>
    <row r="2915" spans="1:15" ht="12.75" x14ac:dyDescent="0.2">
      <c r="A2915" s="15"/>
      <c r="B2915" s="15"/>
      <c r="C2915" s="15"/>
      <c r="D2915" s="16"/>
      <c r="E2915" s="16"/>
      <c r="F2915" s="16"/>
      <c r="G2915" s="16"/>
      <c r="H2915" s="16"/>
      <c r="I2915" s="16"/>
      <c r="J2915" s="16"/>
      <c r="K2915" s="17"/>
      <c r="L2915" s="16"/>
      <c r="M2915" s="17"/>
      <c r="N2915" s="17"/>
      <c r="O2915" s="17"/>
    </row>
    <row r="2916" spans="1:15" ht="12.75" x14ac:dyDescent="0.2">
      <c r="A2916" s="15"/>
      <c r="B2916" s="15"/>
      <c r="C2916" s="15"/>
      <c r="D2916" s="16"/>
      <c r="E2916" s="16"/>
      <c r="F2916" s="16"/>
      <c r="G2916" s="16"/>
      <c r="H2916" s="16"/>
      <c r="I2916" s="16"/>
      <c r="J2916" s="16"/>
      <c r="K2916" s="17"/>
      <c r="L2916" s="16"/>
      <c r="M2916" s="17"/>
      <c r="N2916" s="17"/>
      <c r="O2916" s="17"/>
    </row>
    <row r="2917" spans="1:15" ht="12.75" x14ac:dyDescent="0.2">
      <c r="A2917" s="15"/>
      <c r="B2917" s="15"/>
      <c r="C2917" s="15"/>
      <c r="D2917" s="16"/>
      <c r="E2917" s="16"/>
      <c r="F2917" s="16"/>
      <c r="G2917" s="16"/>
      <c r="H2917" s="16"/>
      <c r="I2917" s="16"/>
      <c r="J2917" s="16"/>
      <c r="K2917" s="17"/>
      <c r="L2917" s="16"/>
      <c r="M2917" s="17"/>
      <c r="N2917" s="17"/>
      <c r="O2917" s="17"/>
    </row>
    <row r="2918" spans="1:15" ht="12.75" x14ac:dyDescent="0.2">
      <c r="A2918" s="15"/>
      <c r="B2918" s="15"/>
      <c r="C2918" s="15"/>
      <c r="D2918" s="16"/>
      <c r="E2918" s="16"/>
      <c r="F2918" s="16"/>
      <c r="G2918" s="16"/>
      <c r="H2918" s="16"/>
      <c r="I2918" s="16"/>
      <c r="J2918" s="16"/>
      <c r="K2918" s="17"/>
      <c r="L2918" s="16"/>
      <c r="M2918" s="17"/>
      <c r="N2918" s="17"/>
      <c r="O2918" s="17"/>
    </row>
    <row r="2919" spans="1:15" ht="12.75" x14ac:dyDescent="0.2">
      <c r="A2919" s="15"/>
      <c r="B2919" s="15"/>
      <c r="C2919" s="15"/>
      <c r="D2919" s="16"/>
      <c r="E2919" s="16"/>
      <c r="F2919" s="16"/>
      <c r="G2919" s="16"/>
      <c r="H2919" s="16"/>
      <c r="I2919" s="16"/>
      <c r="J2919" s="16"/>
      <c r="K2919" s="17"/>
      <c r="L2919" s="16"/>
      <c r="M2919" s="17"/>
      <c r="N2919" s="17"/>
      <c r="O2919" s="17"/>
    </row>
    <row r="2920" spans="1:15" ht="12.75" x14ac:dyDescent="0.2">
      <c r="A2920" s="15"/>
      <c r="B2920" s="15"/>
      <c r="C2920" s="15"/>
      <c r="D2920" s="16"/>
      <c r="E2920" s="16"/>
      <c r="F2920" s="16"/>
      <c r="G2920" s="16"/>
      <c r="H2920" s="16"/>
      <c r="I2920" s="16"/>
      <c r="J2920" s="16"/>
      <c r="K2920" s="17"/>
      <c r="L2920" s="16"/>
      <c r="M2920" s="17"/>
      <c r="N2920" s="17"/>
      <c r="O2920" s="17"/>
    </row>
    <row r="2921" spans="1:15" ht="12.75" x14ac:dyDescent="0.2">
      <c r="A2921" s="15"/>
      <c r="B2921" s="15"/>
      <c r="C2921" s="15"/>
      <c r="D2921" s="16"/>
      <c r="E2921" s="16"/>
      <c r="F2921" s="16"/>
      <c r="G2921" s="16"/>
      <c r="H2921" s="16"/>
      <c r="I2921" s="16"/>
      <c r="J2921" s="16"/>
      <c r="K2921" s="17"/>
      <c r="L2921" s="16"/>
      <c r="M2921" s="17"/>
      <c r="N2921" s="17"/>
      <c r="O2921" s="17"/>
    </row>
    <row r="2922" spans="1:15" ht="12.75" x14ac:dyDescent="0.2">
      <c r="A2922" s="15"/>
      <c r="B2922" s="15"/>
      <c r="C2922" s="15"/>
      <c r="D2922" s="16"/>
      <c r="E2922" s="16"/>
      <c r="F2922" s="16"/>
      <c r="G2922" s="16"/>
      <c r="H2922" s="16"/>
      <c r="I2922" s="16"/>
      <c r="J2922" s="16"/>
      <c r="K2922" s="17"/>
      <c r="L2922" s="16"/>
      <c r="M2922" s="17"/>
      <c r="N2922" s="17"/>
      <c r="O2922" s="17"/>
    </row>
    <row r="2923" spans="1:15" ht="12.75" x14ac:dyDescent="0.2">
      <c r="A2923" s="15"/>
      <c r="B2923" s="15"/>
      <c r="C2923" s="15"/>
      <c r="D2923" s="16"/>
      <c r="E2923" s="16"/>
      <c r="F2923" s="16"/>
      <c r="G2923" s="16"/>
      <c r="H2923" s="16"/>
      <c r="I2923" s="16"/>
      <c r="J2923" s="16"/>
      <c r="K2923" s="17"/>
      <c r="L2923" s="16"/>
      <c r="M2923" s="17"/>
      <c r="N2923" s="17"/>
      <c r="O2923" s="17"/>
    </row>
    <row r="2924" spans="1:15" ht="12.75" x14ac:dyDescent="0.2">
      <c r="A2924" s="15"/>
      <c r="B2924" s="15"/>
      <c r="C2924" s="15"/>
      <c r="D2924" s="16"/>
      <c r="E2924" s="16"/>
      <c r="F2924" s="16"/>
      <c r="G2924" s="16"/>
      <c r="H2924" s="16"/>
      <c r="I2924" s="16"/>
      <c r="J2924" s="16"/>
      <c r="K2924" s="17"/>
      <c r="L2924" s="16"/>
      <c r="M2924" s="17"/>
      <c r="N2924" s="17"/>
      <c r="O2924" s="17"/>
    </row>
    <row r="2925" spans="1:15" ht="12.75" x14ac:dyDescent="0.2">
      <c r="A2925" s="15"/>
      <c r="B2925" s="15"/>
      <c r="C2925" s="15"/>
      <c r="D2925" s="16"/>
      <c r="E2925" s="16"/>
      <c r="F2925" s="16"/>
      <c r="G2925" s="16"/>
      <c r="H2925" s="16"/>
      <c r="I2925" s="16"/>
      <c r="J2925" s="16"/>
      <c r="K2925" s="17"/>
      <c r="L2925" s="16"/>
      <c r="M2925" s="17"/>
      <c r="N2925" s="17"/>
      <c r="O2925" s="17"/>
    </row>
    <row r="2926" spans="1:15" ht="12.75" x14ac:dyDescent="0.2">
      <c r="A2926" s="15"/>
      <c r="B2926" s="15"/>
      <c r="C2926" s="15"/>
      <c r="D2926" s="16"/>
      <c r="E2926" s="16"/>
      <c r="F2926" s="16"/>
      <c r="G2926" s="16"/>
      <c r="H2926" s="16"/>
      <c r="I2926" s="16"/>
      <c r="J2926" s="16"/>
      <c r="K2926" s="17"/>
      <c r="L2926" s="16"/>
      <c r="M2926" s="17"/>
      <c r="N2926" s="17"/>
      <c r="O2926" s="17"/>
    </row>
    <row r="2927" spans="1:15" ht="12.75" x14ac:dyDescent="0.2">
      <c r="A2927" s="15"/>
      <c r="B2927" s="15"/>
      <c r="C2927" s="15"/>
      <c r="D2927" s="16"/>
      <c r="E2927" s="16"/>
      <c r="F2927" s="16"/>
      <c r="G2927" s="16"/>
      <c r="H2927" s="16"/>
      <c r="I2927" s="16"/>
      <c r="J2927" s="16"/>
      <c r="K2927" s="17"/>
      <c r="L2927" s="16"/>
      <c r="M2927" s="17"/>
      <c r="N2927" s="17"/>
      <c r="O2927" s="17"/>
    </row>
    <row r="2928" spans="1:15" ht="12.75" x14ac:dyDescent="0.2">
      <c r="A2928" s="15"/>
      <c r="B2928" s="15"/>
      <c r="C2928" s="15"/>
      <c r="D2928" s="16"/>
      <c r="E2928" s="16"/>
      <c r="F2928" s="16"/>
      <c r="G2928" s="16"/>
      <c r="H2928" s="16"/>
      <c r="I2928" s="16"/>
      <c r="J2928" s="16"/>
      <c r="K2928" s="17"/>
      <c r="L2928" s="16"/>
      <c r="M2928" s="17"/>
      <c r="N2928" s="17"/>
      <c r="O2928" s="17"/>
    </row>
    <row r="2929" spans="1:15" ht="12.75" x14ac:dyDescent="0.2">
      <c r="A2929" s="15"/>
      <c r="B2929" s="15"/>
      <c r="C2929" s="15"/>
      <c r="D2929" s="16"/>
      <c r="E2929" s="16"/>
      <c r="F2929" s="16"/>
      <c r="G2929" s="16"/>
      <c r="H2929" s="16"/>
      <c r="I2929" s="16"/>
      <c r="J2929" s="16"/>
      <c r="K2929" s="17"/>
      <c r="L2929" s="16"/>
      <c r="M2929" s="17"/>
      <c r="N2929" s="17"/>
      <c r="O2929" s="17"/>
    </row>
    <row r="2930" spans="1:15" ht="12.75" x14ac:dyDescent="0.2">
      <c r="A2930" s="15"/>
      <c r="B2930" s="15"/>
      <c r="C2930" s="15"/>
      <c r="D2930" s="16"/>
      <c r="E2930" s="16"/>
      <c r="F2930" s="16"/>
      <c r="G2930" s="16"/>
      <c r="H2930" s="16"/>
      <c r="I2930" s="16"/>
      <c r="J2930" s="16"/>
      <c r="K2930" s="17"/>
      <c r="L2930" s="16"/>
      <c r="M2930" s="17"/>
      <c r="N2930" s="17"/>
      <c r="O2930" s="17"/>
    </row>
    <row r="2931" spans="1:15" ht="12.75" x14ac:dyDescent="0.2">
      <c r="A2931" s="15"/>
      <c r="B2931" s="15"/>
      <c r="C2931" s="15"/>
      <c r="D2931" s="16"/>
      <c r="E2931" s="16"/>
      <c r="F2931" s="16"/>
      <c r="G2931" s="16"/>
      <c r="H2931" s="16"/>
      <c r="I2931" s="16"/>
      <c r="J2931" s="16"/>
      <c r="K2931" s="17"/>
      <c r="L2931" s="16"/>
      <c r="M2931" s="17"/>
      <c r="N2931" s="17"/>
      <c r="O2931" s="17"/>
    </row>
    <row r="2932" spans="1:15" ht="12.75" x14ac:dyDescent="0.2">
      <c r="A2932" s="15"/>
      <c r="B2932" s="15"/>
      <c r="C2932" s="15"/>
      <c r="D2932" s="16"/>
      <c r="E2932" s="16"/>
      <c r="F2932" s="16"/>
      <c r="G2932" s="16"/>
      <c r="H2932" s="16"/>
      <c r="I2932" s="16"/>
      <c r="J2932" s="16"/>
      <c r="K2932" s="17"/>
      <c r="L2932" s="16"/>
      <c r="M2932" s="17"/>
      <c r="N2932" s="17"/>
      <c r="O2932" s="17"/>
    </row>
    <row r="2933" spans="1:15" ht="12.75" x14ac:dyDescent="0.2">
      <c r="A2933" s="15"/>
      <c r="B2933" s="15"/>
      <c r="C2933" s="15"/>
      <c r="D2933" s="16"/>
      <c r="E2933" s="16"/>
      <c r="F2933" s="16"/>
      <c r="G2933" s="16"/>
      <c r="H2933" s="16"/>
      <c r="I2933" s="16"/>
      <c r="J2933" s="16"/>
      <c r="K2933" s="17"/>
      <c r="L2933" s="16"/>
      <c r="M2933" s="17"/>
      <c r="N2933" s="17"/>
      <c r="O2933" s="17"/>
    </row>
    <row r="2934" spans="1:15" ht="12.75" x14ac:dyDescent="0.2">
      <c r="A2934" s="15"/>
      <c r="B2934" s="15"/>
      <c r="C2934" s="15"/>
      <c r="D2934" s="16"/>
      <c r="E2934" s="16"/>
      <c r="F2934" s="16"/>
      <c r="G2934" s="16"/>
      <c r="H2934" s="16"/>
      <c r="I2934" s="16"/>
      <c r="J2934" s="16"/>
      <c r="K2934" s="17"/>
      <c r="L2934" s="16"/>
      <c r="M2934" s="17"/>
      <c r="N2934" s="17"/>
      <c r="O2934" s="17"/>
    </row>
    <row r="2935" spans="1:15" ht="12.75" x14ac:dyDescent="0.2">
      <c r="A2935" s="15"/>
      <c r="B2935" s="15"/>
      <c r="C2935" s="15"/>
      <c r="D2935" s="16"/>
      <c r="E2935" s="16"/>
      <c r="F2935" s="16"/>
      <c r="G2935" s="16"/>
      <c r="H2935" s="16"/>
      <c r="I2935" s="16"/>
      <c r="J2935" s="16"/>
      <c r="K2935" s="17"/>
      <c r="L2935" s="16"/>
      <c r="M2935" s="17"/>
      <c r="N2935" s="17"/>
      <c r="O2935" s="17"/>
    </row>
    <row r="2936" spans="1:15" ht="12.75" x14ac:dyDescent="0.2">
      <c r="A2936" s="15"/>
      <c r="B2936" s="15"/>
      <c r="C2936" s="15"/>
      <c r="D2936" s="16"/>
      <c r="E2936" s="16"/>
      <c r="F2936" s="16"/>
      <c r="G2936" s="16"/>
      <c r="H2936" s="16"/>
      <c r="I2936" s="16"/>
      <c r="J2936" s="16"/>
      <c r="K2936" s="17"/>
      <c r="L2936" s="16"/>
      <c r="M2936" s="17"/>
      <c r="N2936" s="17"/>
      <c r="O2936" s="17"/>
    </row>
    <row r="2937" spans="1:15" ht="12.75" x14ac:dyDescent="0.2">
      <c r="A2937" s="15"/>
      <c r="B2937" s="15"/>
      <c r="C2937" s="15"/>
      <c r="D2937" s="16"/>
      <c r="E2937" s="16"/>
      <c r="F2937" s="16"/>
      <c r="G2937" s="16"/>
      <c r="H2937" s="16"/>
      <c r="I2937" s="16"/>
      <c r="J2937" s="16"/>
      <c r="K2937" s="17"/>
      <c r="L2937" s="16"/>
      <c r="M2937" s="17"/>
      <c r="N2937" s="17"/>
      <c r="O2937" s="17"/>
    </row>
    <row r="2938" spans="1:15" ht="12.75" x14ac:dyDescent="0.2">
      <c r="A2938" s="15"/>
      <c r="B2938" s="15"/>
      <c r="C2938" s="15"/>
      <c r="D2938" s="16"/>
      <c r="E2938" s="16"/>
      <c r="F2938" s="16"/>
      <c r="G2938" s="16"/>
      <c r="H2938" s="16"/>
      <c r="I2938" s="16"/>
      <c r="J2938" s="16"/>
      <c r="K2938" s="17"/>
      <c r="L2938" s="16"/>
      <c r="M2938" s="17"/>
      <c r="N2938" s="17"/>
      <c r="O2938" s="17"/>
    </row>
    <row r="2939" spans="1:15" ht="12.75" x14ac:dyDescent="0.2">
      <c r="A2939" s="15"/>
      <c r="B2939" s="15"/>
      <c r="C2939" s="15"/>
      <c r="D2939" s="16"/>
      <c r="E2939" s="16"/>
      <c r="F2939" s="16"/>
      <c r="G2939" s="16"/>
      <c r="H2939" s="16"/>
      <c r="I2939" s="16"/>
      <c r="J2939" s="16"/>
      <c r="K2939" s="17"/>
      <c r="L2939" s="16"/>
      <c r="M2939" s="17"/>
      <c r="N2939" s="17"/>
      <c r="O2939" s="17"/>
    </row>
    <row r="2940" spans="1:15" ht="12.75" x14ac:dyDescent="0.2">
      <c r="A2940" s="15"/>
      <c r="B2940" s="15"/>
      <c r="C2940" s="15"/>
      <c r="D2940" s="16"/>
      <c r="E2940" s="16"/>
      <c r="F2940" s="16"/>
      <c r="G2940" s="16"/>
      <c r="H2940" s="16"/>
      <c r="I2940" s="16"/>
      <c r="J2940" s="16"/>
      <c r="K2940" s="17"/>
      <c r="L2940" s="16"/>
      <c r="M2940" s="17"/>
      <c r="N2940" s="17"/>
      <c r="O2940" s="17"/>
    </row>
    <row r="2941" spans="1:15" ht="12.75" x14ac:dyDescent="0.2">
      <c r="A2941" s="15"/>
      <c r="B2941" s="15"/>
      <c r="C2941" s="15"/>
      <c r="D2941" s="16"/>
      <c r="E2941" s="16"/>
      <c r="F2941" s="16"/>
      <c r="G2941" s="16"/>
      <c r="H2941" s="16"/>
      <c r="I2941" s="16"/>
      <c r="J2941" s="16"/>
      <c r="K2941" s="17"/>
      <c r="L2941" s="16"/>
      <c r="M2941" s="17"/>
      <c r="N2941" s="17"/>
      <c r="O2941" s="17"/>
    </row>
    <row r="2942" spans="1:15" ht="12.75" x14ac:dyDescent="0.2">
      <c r="A2942" s="15"/>
      <c r="B2942" s="15"/>
      <c r="C2942" s="15"/>
      <c r="D2942" s="16"/>
      <c r="E2942" s="16"/>
      <c r="F2942" s="16"/>
      <c r="G2942" s="16"/>
      <c r="H2942" s="16"/>
      <c r="I2942" s="16"/>
      <c r="J2942" s="16"/>
      <c r="K2942" s="17"/>
      <c r="L2942" s="16"/>
      <c r="M2942" s="17"/>
      <c r="N2942" s="17"/>
      <c r="O2942" s="17"/>
    </row>
    <row r="2943" spans="1:15" ht="12.75" x14ac:dyDescent="0.2">
      <c r="A2943" s="15"/>
      <c r="B2943" s="15"/>
      <c r="C2943" s="15"/>
      <c r="D2943" s="16"/>
      <c r="E2943" s="16"/>
      <c r="F2943" s="16"/>
      <c r="G2943" s="16"/>
      <c r="H2943" s="16"/>
      <c r="I2943" s="16"/>
      <c r="J2943" s="16"/>
      <c r="K2943" s="17"/>
      <c r="L2943" s="16"/>
      <c r="M2943" s="17"/>
      <c r="N2943" s="17"/>
      <c r="O2943" s="17"/>
    </row>
    <row r="2944" spans="1:15" ht="12.75" x14ac:dyDescent="0.2">
      <c r="A2944" s="15"/>
      <c r="B2944" s="15"/>
      <c r="C2944" s="15"/>
      <c r="D2944" s="16"/>
      <c r="E2944" s="16"/>
      <c r="F2944" s="16"/>
      <c r="G2944" s="16"/>
      <c r="H2944" s="16"/>
      <c r="I2944" s="16"/>
      <c r="J2944" s="16"/>
      <c r="K2944" s="17"/>
      <c r="L2944" s="16"/>
      <c r="M2944" s="17"/>
      <c r="N2944" s="17"/>
      <c r="O2944" s="17"/>
    </row>
    <row r="2945" spans="1:15" ht="12.75" x14ac:dyDescent="0.2">
      <c r="A2945" s="15"/>
      <c r="B2945" s="15"/>
      <c r="C2945" s="15"/>
      <c r="D2945" s="16"/>
      <c r="E2945" s="16"/>
      <c r="F2945" s="16"/>
      <c r="G2945" s="16"/>
      <c r="H2945" s="16"/>
      <c r="I2945" s="16"/>
      <c r="J2945" s="16"/>
      <c r="K2945" s="17"/>
      <c r="L2945" s="16"/>
      <c r="M2945" s="17"/>
      <c r="N2945" s="17"/>
      <c r="O2945" s="17"/>
    </row>
    <row r="2946" spans="1:15" ht="12.75" x14ac:dyDescent="0.2">
      <c r="A2946" s="15"/>
      <c r="B2946" s="15"/>
      <c r="C2946" s="15"/>
      <c r="D2946" s="16"/>
      <c r="E2946" s="16"/>
      <c r="F2946" s="16"/>
      <c r="G2946" s="16"/>
      <c r="H2946" s="16"/>
      <c r="I2946" s="16"/>
      <c r="J2946" s="16"/>
      <c r="K2946" s="17"/>
      <c r="L2946" s="16"/>
      <c r="M2946" s="17"/>
      <c r="N2946" s="17"/>
      <c r="O2946" s="17"/>
    </row>
    <row r="2947" spans="1:15" ht="12.75" x14ac:dyDescent="0.2">
      <c r="A2947" s="15"/>
      <c r="B2947" s="15"/>
      <c r="C2947" s="15"/>
      <c r="D2947" s="16"/>
      <c r="E2947" s="16"/>
      <c r="F2947" s="16"/>
      <c r="G2947" s="16"/>
      <c r="H2947" s="16"/>
      <c r="I2947" s="16"/>
      <c r="J2947" s="16"/>
      <c r="K2947" s="17"/>
      <c r="L2947" s="16"/>
      <c r="M2947" s="17"/>
      <c r="N2947" s="17"/>
      <c r="O2947" s="17"/>
    </row>
    <row r="2948" spans="1:15" ht="12.75" x14ac:dyDescent="0.2">
      <c r="A2948" s="15"/>
      <c r="B2948" s="15"/>
      <c r="C2948" s="15"/>
      <c r="D2948" s="16"/>
      <c r="E2948" s="16"/>
      <c r="F2948" s="16"/>
      <c r="G2948" s="16"/>
      <c r="H2948" s="16"/>
      <c r="I2948" s="16"/>
      <c r="J2948" s="16"/>
      <c r="K2948" s="17"/>
      <c r="L2948" s="16"/>
      <c r="M2948" s="17"/>
      <c r="N2948" s="17"/>
      <c r="O2948" s="17"/>
    </row>
    <row r="2949" spans="1:15" ht="12.75" x14ac:dyDescent="0.2">
      <c r="A2949" s="15"/>
      <c r="B2949" s="15"/>
      <c r="C2949" s="15"/>
      <c r="D2949" s="16"/>
      <c r="E2949" s="16"/>
      <c r="F2949" s="16"/>
      <c r="G2949" s="16"/>
      <c r="H2949" s="16"/>
      <c r="I2949" s="16"/>
      <c r="J2949" s="16"/>
      <c r="K2949" s="17"/>
      <c r="L2949" s="16"/>
      <c r="M2949" s="17"/>
      <c r="N2949" s="17"/>
      <c r="O2949" s="17"/>
    </row>
    <row r="2950" spans="1:15" ht="12.75" x14ac:dyDescent="0.2">
      <c r="A2950" s="15"/>
      <c r="B2950" s="15"/>
      <c r="C2950" s="15"/>
      <c r="D2950" s="16"/>
      <c r="E2950" s="16"/>
      <c r="F2950" s="16"/>
      <c r="G2950" s="16"/>
      <c r="H2950" s="16"/>
      <c r="I2950" s="16"/>
      <c r="J2950" s="16"/>
      <c r="K2950" s="17"/>
      <c r="L2950" s="16"/>
      <c r="M2950" s="17"/>
      <c r="N2950" s="17"/>
      <c r="O2950" s="17"/>
    </row>
    <row r="2951" spans="1:15" ht="12.75" x14ac:dyDescent="0.2">
      <c r="A2951" s="15"/>
      <c r="B2951" s="15"/>
      <c r="C2951" s="15"/>
      <c r="D2951" s="16"/>
      <c r="E2951" s="16"/>
      <c r="F2951" s="16"/>
      <c r="G2951" s="16"/>
      <c r="H2951" s="16"/>
      <c r="I2951" s="16"/>
      <c r="J2951" s="16"/>
      <c r="K2951" s="17"/>
      <c r="L2951" s="16"/>
      <c r="M2951" s="17"/>
      <c r="N2951" s="17"/>
      <c r="O2951" s="17"/>
    </row>
    <row r="2952" spans="1:15" ht="12.75" x14ac:dyDescent="0.2">
      <c r="A2952" s="15"/>
      <c r="B2952" s="15"/>
      <c r="C2952" s="15"/>
      <c r="D2952" s="16"/>
      <c r="E2952" s="16"/>
      <c r="F2952" s="16"/>
      <c r="G2952" s="16"/>
      <c r="H2952" s="16"/>
      <c r="I2952" s="16"/>
      <c r="J2952" s="16"/>
      <c r="K2952" s="17"/>
      <c r="L2952" s="16"/>
      <c r="M2952" s="17"/>
      <c r="N2952" s="17"/>
      <c r="O2952" s="17"/>
    </row>
    <row r="2953" spans="1:15" ht="12.75" x14ac:dyDescent="0.2">
      <c r="A2953" s="15"/>
      <c r="B2953" s="15"/>
      <c r="C2953" s="15"/>
      <c r="D2953" s="16"/>
      <c r="E2953" s="16"/>
      <c r="F2953" s="16"/>
      <c r="G2953" s="16"/>
      <c r="H2953" s="16"/>
      <c r="I2953" s="16"/>
      <c r="J2953" s="16"/>
      <c r="K2953" s="17"/>
      <c r="L2953" s="16"/>
      <c r="M2953" s="17"/>
      <c r="N2953" s="17"/>
      <c r="O2953" s="17"/>
    </row>
    <row r="2954" spans="1:15" ht="12.75" x14ac:dyDescent="0.2">
      <c r="A2954" s="15"/>
      <c r="B2954" s="15"/>
      <c r="C2954" s="15"/>
      <c r="D2954" s="16"/>
      <c r="E2954" s="16"/>
      <c r="F2954" s="16"/>
      <c r="G2954" s="16"/>
      <c r="H2954" s="16"/>
      <c r="I2954" s="16"/>
      <c r="J2954" s="16"/>
      <c r="K2954" s="17"/>
      <c r="L2954" s="16"/>
      <c r="M2954" s="17"/>
      <c r="N2954" s="17"/>
      <c r="O2954" s="17"/>
    </row>
    <row r="2955" spans="1:15" ht="12.75" x14ac:dyDescent="0.2">
      <c r="A2955" s="15"/>
      <c r="B2955" s="15"/>
      <c r="C2955" s="15"/>
      <c r="D2955" s="16"/>
      <c r="E2955" s="16"/>
      <c r="F2955" s="16"/>
      <c r="G2955" s="16"/>
      <c r="H2955" s="16"/>
      <c r="I2955" s="16"/>
      <c r="J2955" s="16"/>
      <c r="K2955" s="17"/>
      <c r="L2955" s="16"/>
      <c r="M2955" s="17"/>
      <c r="N2955" s="17"/>
      <c r="O2955" s="17"/>
    </row>
    <row r="2956" spans="1:15" ht="12.75" x14ac:dyDescent="0.2">
      <c r="A2956" s="15"/>
      <c r="B2956" s="15"/>
      <c r="C2956" s="15"/>
      <c r="D2956" s="16"/>
      <c r="E2956" s="16"/>
      <c r="F2956" s="16"/>
      <c r="G2956" s="16"/>
      <c r="H2956" s="16"/>
      <c r="I2956" s="16"/>
      <c r="J2956" s="16"/>
      <c r="K2956" s="17"/>
      <c r="L2956" s="16"/>
      <c r="M2956" s="17"/>
      <c r="N2956" s="17"/>
      <c r="O2956" s="17"/>
    </row>
    <row r="2957" spans="1:15" ht="12.75" x14ac:dyDescent="0.2">
      <c r="A2957" s="15"/>
      <c r="B2957" s="15"/>
      <c r="C2957" s="15"/>
      <c r="D2957" s="16"/>
      <c r="E2957" s="16"/>
      <c r="F2957" s="16"/>
      <c r="G2957" s="16"/>
      <c r="H2957" s="16"/>
      <c r="I2957" s="16"/>
      <c r="J2957" s="16"/>
      <c r="K2957" s="17"/>
      <c r="L2957" s="16"/>
      <c r="M2957" s="17"/>
      <c r="N2957" s="17"/>
      <c r="O2957" s="17"/>
    </row>
    <row r="2958" spans="1:15" ht="12.75" x14ac:dyDescent="0.2">
      <c r="A2958" s="15"/>
      <c r="B2958" s="15"/>
      <c r="C2958" s="15"/>
      <c r="D2958" s="16"/>
      <c r="E2958" s="16"/>
      <c r="F2958" s="16"/>
      <c r="G2958" s="16"/>
      <c r="H2958" s="16"/>
      <c r="I2958" s="16"/>
      <c r="J2958" s="16"/>
      <c r="K2958" s="17"/>
      <c r="L2958" s="16"/>
      <c r="M2958" s="17"/>
      <c r="N2958" s="17"/>
      <c r="O2958" s="17"/>
    </row>
    <row r="2959" spans="1:15" ht="12.75" x14ac:dyDescent="0.2">
      <c r="A2959" s="15"/>
      <c r="B2959" s="15"/>
      <c r="C2959" s="15"/>
      <c r="D2959" s="16"/>
      <c r="E2959" s="16"/>
      <c r="F2959" s="16"/>
      <c r="G2959" s="16"/>
      <c r="H2959" s="16"/>
      <c r="I2959" s="16"/>
      <c r="J2959" s="16"/>
      <c r="K2959" s="17"/>
      <c r="L2959" s="16"/>
      <c r="M2959" s="17"/>
      <c r="N2959" s="17"/>
      <c r="O2959" s="17"/>
    </row>
    <row r="2960" spans="1:15" ht="12.75" x14ac:dyDescent="0.2">
      <c r="A2960" s="15"/>
      <c r="B2960" s="15"/>
      <c r="C2960" s="15"/>
      <c r="D2960" s="16"/>
      <c r="E2960" s="16"/>
      <c r="F2960" s="16"/>
      <c r="G2960" s="16"/>
      <c r="H2960" s="16"/>
      <c r="I2960" s="16"/>
      <c r="J2960" s="16"/>
      <c r="K2960" s="17"/>
      <c r="L2960" s="16"/>
      <c r="M2960" s="17"/>
      <c r="N2960" s="17"/>
      <c r="O2960" s="17"/>
    </row>
    <row r="2961" spans="1:15" ht="12.75" x14ac:dyDescent="0.2">
      <c r="A2961" s="15"/>
      <c r="B2961" s="15"/>
      <c r="C2961" s="15"/>
      <c r="D2961" s="16"/>
      <c r="E2961" s="16"/>
      <c r="F2961" s="16"/>
      <c r="G2961" s="16"/>
      <c r="H2961" s="16"/>
      <c r="I2961" s="16"/>
      <c r="J2961" s="16"/>
      <c r="K2961" s="17"/>
      <c r="L2961" s="16"/>
      <c r="M2961" s="17"/>
      <c r="N2961" s="17"/>
      <c r="O2961" s="17"/>
    </row>
    <row r="2962" spans="1:15" ht="12.75" x14ac:dyDescent="0.2">
      <c r="A2962" s="15"/>
      <c r="B2962" s="15"/>
      <c r="C2962" s="15"/>
      <c r="D2962" s="16"/>
      <c r="E2962" s="16"/>
      <c r="F2962" s="16"/>
      <c r="G2962" s="16"/>
      <c r="H2962" s="16"/>
      <c r="I2962" s="16"/>
      <c r="J2962" s="16"/>
      <c r="K2962" s="17"/>
      <c r="L2962" s="16"/>
      <c r="M2962" s="17"/>
      <c r="N2962" s="17"/>
      <c r="O2962" s="17"/>
    </row>
    <row r="2963" spans="1:15" ht="12.75" x14ac:dyDescent="0.2">
      <c r="A2963" s="15"/>
      <c r="B2963" s="15"/>
      <c r="C2963" s="15"/>
      <c r="D2963" s="16"/>
      <c r="E2963" s="16"/>
      <c r="F2963" s="16"/>
      <c r="G2963" s="16"/>
      <c r="H2963" s="16"/>
      <c r="I2963" s="16"/>
      <c r="J2963" s="16"/>
      <c r="K2963" s="17"/>
      <c r="L2963" s="16"/>
      <c r="M2963" s="17"/>
      <c r="N2963" s="17"/>
      <c r="O2963" s="17"/>
    </row>
    <row r="2964" spans="1:15" ht="12.75" x14ac:dyDescent="0.2">
      <c r="A2964" s="15"/>
      <c r="B2964" s="15"/>
      <c r="C2964" s="15"/>
      <c r="D2964" s="16"/>
      <c r="E2964" s="16"/>
      <c r="F2964" s="16"/>
      <c r="G2964" s="16"/>
      <c r="H2964" s="16"/>
      <c r="I2964" s="16"/>
      <c r="J2964" s="16"/>
      <c r="K2964" s="17"/>
      <c r="L2964" s="16"/>
      <c r="M2964" s="17"/>
      <c r="N2964" s="17"/>
      <c r="O2964" s="17"/>
    </row>
    <row r="2965" spans="1:15" ht="12.75" x14ac:dyDescent="0.2">
      <c r="A2965" s="15"/>
      <c r="B2965" s="15"/>
      <c r="C2965" s="15"/>
      <c r="D2965" s="16"/>
      <c r="E2965" s="16"/>
      <c r="F2965" s="16"/>
      <c r="G2965" s="16"/>
      <c r="H2965" s="16"/>
      <c r="I2965" s="16"/>
      <c r="J2965" s="16"/>
      <c r="K2965" s="17"/>
      <c r="L2965" s="16"/>
      <c r="M2965" s="17"/>
      <c r="N2965" s="17"/>
      <c r="O2965" s="17"/>
    </row>
    <row r="2966" spans="1:15" ht="12.75" x14ac:dyDescent="0.2">
      <c r="A2966" s="15"/>
      <c r="B2966" s="15"/>
      <c r="C2966" s="15"/>
      <c r="D2966" s="16"/>
      <c r="E2966" s="16"/>
      <c r="F2966" s="16"/>
      <c r="G2966" s="16"/>
      <c r="H2966" s="16"/>
      <c r="I2966" s="16"/>
      <c r="J2966" s="16"/>
      <c r="K2966" s="17"/>
      <c r="L2966" s="16"/>
      <c r="M2966" s="17"/>
      <c r="N2966" s="17"/>
      <c r="O2966" s="17"/>
    </row>
    <row r="2967" spans="1:15" ht="12.75" x14ac:dyDescent="0.2">
      <c r="A2967" s="15"/>
      <c r="B2967" s="15"/>
      <c r="C2967" s="15"/>
      <c r="D2967" s="16"/>
      <c r="E2967" s="16"/>
      <c r="F2967" s="16"/>
      <c r="G2967" s="16"/>
      <c r="H2967" s="16"/>
      <c r="I2967" s="16"/>
      <c r="J2967" s="16"/>
      <c r="K2967" s="17"/>
      <c r="L2967" s="16"/>
      <c r="M2967" s="17"/>
      <c r="N2967" s="17"/>
      <c r="O2967" s="17"/>
    </row>
    <row r="2968" spans="1:15" ht="12.75" x14ac:dyDescent="0.2">
      <c r="A2968" s="15"/>
      <c r="B2968" s="15"/>
      <c r="C2968" s="15"/>
      <c r="D2968" s="16"/>
      <c r="E2968" s="16"/>
      <c r="F2968" s="16"/>
      <c r="G2968" s="16"/>
      <c r="H2968" s="16"/>
      <c r="I2968" s="16"/>
      <c r="J2968" s="16"/>
      <c r="K2968" s="17"/>
      <c r="L2968" s="16"/>
      <c r="M2968" s="17"/>
      <c r="N2968" s="17"/>
      <c r="O2968" s="17"/>
    </row>
    <row r="2969" spans="1:15" ht="12.75" x14ac:dyDescent="0.2">
      <c r="A2969" s="15"/>
      <c r="B2969" s="15"/>
      <c r="C2969" s="15"/>
      <c r="D2969" s="16"/>
      <c r="E2969" s="16"/>
      <c r="F2969" s="16"/>
      <c r="G2969" s="16"/>
      <c r="H2969" s="16"/>
      <c r="I2969" s="16"/>
      <c r="J2969" s="16"/>
      <c r="K2969" s="17"/>
      <c r="L2969" s="16"/>
      <c r="M2969" s="17"/>
      <c r="N2969" s="17"/>
      <c r="O2969" s="17"/>
    </row>
    <row r="2970" spans="1:15" ht="12.75" x14ac:dyDescent="0.2">
      <c r="A2970" s="15"/>
      <c r="B2970" s="15"/>
      <c r="C2970" s="15"/>
      <c r="D2970" s="16"/>
      <c r="E2970" s="16"/>
      <c r="F2970" s="16"/>
      <c r="G2970" s="16"/>
      <c r="H2970" s="16"/>
      <c r="I2970" s="16"/>
      <c r="J2970" s="16"/>
      <c r="K2970" s="17"/>
      <c r="L2970" s="16"/>
      <c r="M2970" s="17"/>
      <c r="N2970" s="17"/>
      <c r="O2970" s="17"/>
    </row>
    <row r="2971" spans="1:15" ht="12.75" x14ac:dyDescent="0.2">
      <c r="A2971" s="15"/>
      <c r="B2971" s="15"/>
      <c r="C2971" s="15"/>
      <c r="D2971" s="16"/>
      <c r="E2971" s="16"/>
      <c r="F2971" s="16"/>
      <c r="G2971" s="16"/>
      <c r="H2971" s="16"/>
      <c r="I2971" s="16"/>
      <c r="J2971" s="16"/>
      <c r="K2971" s="17"/>
      <c r="L2971" s="16"/>
      <c r="M2971" s="17"/>
      <c r="N2971" s="17"/>
      <c r="O2971" s="17"/>
    </row>
    <row r="2972" spans="1:15" ht="12.75" x14ac:dyDescent="0.2">
      <c r="A2972" s="15"/>
      <c r="B2972" s="15"/>
      <c r="C2972" s="15"/>
      <c r="D2972" s="16"/>
      <c r="E2972" s="16"/>
      <c r="F2972" s="16"/>
      <c r="G2972" s="16"/>
      <c r="H2972" s="16"/>
      <c r="I2972" s="16"/>
      <c r="J2972" s="16"/>
      <c r="K2972" s="17"/>
      <c r="L2972" s="16"/>
      <c r="M2972" s="17"/>
      <c r="N2972" s="17"/>
      <c r="O2972" s="17"/>
    </row>
    <row r="2973" spans="1:15" ht="12.75" x14ac:dyDescent="0.2">
      <c r="A2973" s="15"/>
      <c r="B2973" s="15"/>
      <c r="C2973" s="15"/>
      <c r="D2973" s="16"/>
      <c r="E2973" s="16"/>
      <c r="F2973" s="16"/>
      <c r="G2973" s="16"/>
      <c r="H2973" s="16"/>
      <c r="I2973" s="16"/>
      <c r="J2973" s="16"/>
      <c r="K2973" s="17"/>
      <c r="L2973" s="16"/>
      <c r="M2973" s="17"/>
      <c r="N2973" s="17"/>
      <c r="O2973" s="17"/>
    </row>
    <row r="2974" spans="1:15" ht="12.75" x14ac:dyDescent="0.2">
      <c r="A2974" s="15"/>
      <c r="B2974" s="15"/>
      <c r="C2974" s="15"/>
      <c r="D2974" s="16"/>
      <c r="E2974" s="16"/>
      <c r="F2974" s="16"/>
      <c r="G2974" s="16"/>
      <c r="H2974" s="16"/>
      <c r="I2974" s="16"/>
      <c r="J2974" s="16"/>
      <c r="K2974" s="17"/>
      <c r="L2974" s="16"/>
      <c r="M2974" s="17"/>
      <c r="N2974" s="17"/>
      <c r="O2974" s="17"/>
    </row>
    <row r="2975" spans="1:15" ht="12.75" x14ac:dyDescent="0.2">
      <c r="A2975" s="15"/>
      <c r="B2975" s="15"/>
      <c r="C2975" s="15"/>
      <c r="D2975" s="16"/>
      <c r="E2975" s="16"/>
      <c r="F2975" s="16"/>
      <c r="G2975" s="16"/>
      <c r="H2975" s="16"/>
      <c r="I2975" s="16"/>
      <c r="J2975" s="16"/>
      <c r="K2975" s="17"/>
      <c r="L2975" s="16"/>
      <c r="M2975" s="17"/>
      <c r="N2975" s="17"/>
      <c r="O2975" s="17"/>
    </row>
    <row r="2976" spans="1:15" ht="12.75" x14ac:dyDescent="0.2">
      <c r="A2976" s="15"/>
      <c r="B2976" s="15"/>
      <c r="C2976" s="15"/>
      <c r="D2976" s="16"/>
      <c r="E2976" s="16"/>
      <c r="F2976" s="16"/>
      <c r="G2976" s="16"/>
      <c r="H2976" s="16"/>
      <c r="I2976" s="16"/>
      <c r="J2976" s="16"/>
      <c r="K2976" s="17"/>
      <c r="L2976" s="16"/>
      <c r="M2976" s="17"/>
      <c r="N2976" s="17"/>
      <c r="O2976" s="17"/>
    </row>
    <row r="2977" spans="1:15" ht="12.75" x14ac:dyDescent="0.2">
      <c r="A2977" s="15"/>
      <c r="B2977" s="15"/>
      <c r="C2977" s="15"/>
      <c r="D2977" s="16"/>
      <c r="E2977" s="16"/>
      <c r="F2977" s="16"/>
      <c r="G2977" s="16"/>
      <c r="H2977" s="16"/>
      <c r="I2977" s="16"/>
      <c r="J2977" s="16"/>
      <c r="K2977" s="17"/>
      <c r="L2977" s="16"/>
      <c r="M2977" s="17"/>
      <c r="N2977" s="17"/>
      <c r="O2977" s="17"/>
    </row>
    <row r="2978" spans="1:15" ht="12.75" x14ac:dyDescent="0.2">
      <c r="A2978" s="15"/>
      <c r="B2978" s="15"/>
      <c r="C2978" s="15"/>
      <c r="D2978" s="16"/>
      <c r="E2978" s="16"/>
      <c r="F2978" s="16"/>
      <c r="G2978" s="16"/>
      <c r="H2978" s="16"/>
      <c r="I2978" s="16"/>
      <c r="J2978" s="16"/>
      <c r="K2978" s="17"/>
      <c r="L2978" s="16"/>
      <c r="M2978" s="17"/>
      <c r="N2978" s="17"/>
      <c r="O2978" s="17"/>
    </row>
    <row r="2979" spans="1:15" ht="12.75" x14ac:dyDescent="0.2">
      <c r="A2979" s="15"/>
      <c r="B2979" s="15"/>
      <c r="C2979" s="15"/>
      <c r="D2979" s="16"/>
      <c r="E2979" s="16"/>
      <c r="F2979" s="16"/>
      <c r="G2979" s="16"/>
      <c r="H2979" s="16"/>
      <c r="I2979" s="16"/>
      <c r="J2979" s="16"/>
      <c r="K2979" s="17"/>
      <c r="L2979" s="16"/>
      <c r="M2979" s="17"/>
      <c r="N2979" s="17"/>
      <c r="O2979" s="17"/>
    </row>
    <row r="2980" spans="1:15" ht="12.75" x14ac:dyDescent="0.2">
      <c r="A2980" s="15"/>
      <c r="B2980" s="15"/>
      <c r="C2980" s="15"/>
      <c r="D2980" s="16"/>
      <c r="E2980" s="16"/>
      <c r="F2980" s="16"/>
      <c r="G2980" s="16"/>
      <c r="H2980" s="16"/>
      <c r="I2980" s="16"/>
      <c r="J2980" s="16"/>
      <c r="K2980" s="17"/>
      <c r="L2980" s="16"/>
      <c r="M2980" s="17"/>
      <c r="N2980" s="17"/>
      <c r="O2980" s="17"/>
    </row>
    <row r="2981" spans="1:15" ht="12.75" x14ac:dyDescent="0.2">
      <c r="A2981" s="15"/>
      <c r="B2981" s="15"/>
      <c r="C2981" s="15"/>
      <c r="D2981" s="16"/>
      <c r="E2981" s="16"/>
      <c r="F2981" s="16"/>
      <c r="G2981" s="16"/>
      <c r="H2981" s="16"/>
      <c r="I2981" s="16"/>
      <c r="J2981" s="16"/>
      <c r="K2981" s="17"/>
      <c r="L2981" s="16"/>
      <c r="M2981" s="17"/>
      <c r="N2981" s="17"/>
      <c r="O2981" s="17"/>
    </row>
    <row r="2982" spans="1:15" ht="12.75" x14ac:dyDescent="0.2">
      <c r="A2982" s="15"/>
      <c r="B2982" s="15"/>
      <c r="C2982" s="15"/>
      <c r="D2982" s="16"/>
      <c r="E2982" s="16"/>
      <c r="F2982" s="16"/>
      <c r="G2982" s="16"/>
      <c r="H2982" s="16"/>
      <c r="I2982" s="16"/>
      <c r="J2982" s="16"/>
      <c r="K2982" s="17"/>
      <c r="L2982" s="16"/>
      <c r="M2982" s="17"/>
      <c r="N2982" s="17"/>
      <c r="O2982" s="17"/>
    </row>
    <row r="2983" spans="1:15" ht="12.75" x14ac:dyDescent="0.2">
      <c r="A2983" s="15"/>
      <c r="B2983" s="15"/>
      <c r="C2983" s="15"/>
      <c r="D2983" s="16"/>
      <c r="E2983" s="16"/>
      <c r="F2983" s="16"/>
      <c r="G2983" s="16"/>
      <c r="H2983" s="16"/>
      <c r="I2983" s="16"/>
      <c r="J2983" s="16"/>
      <c r="K2983" s="17"/>
      <c r="L2983" s="16"/>
      <c r="M2983" s="17"/>
      <c r="N2983" s="17"/>
      <c r="O2983" s="17"/>
    </row>
    <row r="2984" spans="1:15" ht="12.75" x14ac:dyDescent="0.2">
      <c r="A2984" s="15"/>
      <c r="B2984" s="15"/>
      <c r="C2984" s="15"/>
      <c r="D2984" s="16"/>
      <c r="E2984" s="16"/>
      <c r="F2984" s="16"/>
      <c r="G2984" s="16"/>
      <c r="H2984" s="16"/>
      <c r="I2984" s="16"/>
      <c r="J2984" s="16"/>
      <c r="K2984" s="17"/>
      <c r="L2984" s="16"/>
      <c r="M2984" s="17"/>
      <c r="N2984" s="17"/>
      <c r="O2984" s="17"/>
    </row>
    <row r="2985" spans="1:15" ht="12.75" x14ac:dyDescent="0.2">
      <c r="A2985" s="15"/>
      <c r="B2985" s="15"/>
      <c r="C2985" s="15"/>
      <c r="D2985" s="16"/>
      <c r="E2985" s="16"/>
      <c r="F2985" s="16"/>
      <c r="G2985" s="16"/>
      <c r="H2985" s="16"/>
      <c r="I2985" s="16"/>
      <c r="J2985" s="16"/>
      <c r="K2985" s="17"/>
      <c r="L2985" s="16"/>
      <c r="M2985" s="17"/>
      <c r="N2985" s="17"/>
      <c r="O2985" s="17"/>
    </row>
    <row r="2986" spans="1:15" ht="12.75" x14ac:dyDescent="0.2">
      <c r="A2986" s="15"/>
      <c r="B2986" s="15"/>
      <c r="C2986" s="15"/>
      <c r="D2986" s="16"/>
      <c r="E2986" s="16"/>
      <c r="F2986" s="16"/>
      <c r="G2986" s="16"/>
      <c r="H2986" s="16"/>
      <c r="I2986" s="16"/>
      <c r="J2986" s="16"/>
      <c r="K2986" s="17"/>
      <c r="L2986" s="16"/>
      <c r="M2986" s="17"/>
      <c r="N2986" s="17"/>
      <c r="O2986" s="17"/>
    </row>
    <row r="2987" spans="1:15" ht="12.75" x14ac:dyDescent="0.2">
      <c r="A2987" s="15"/>
      <c r="B2987" s="15"/>
      <c r="C2987" s="15"/>
      <c r="D2987" s="16"/>
      <c r="E2987" s="16"/>
      <c r="F2987" s="16"/>
      <c r="G2987" s="16"/>
      <c r="H2987" s="16"/>
      <c r="I2987" s="16"/>
      <c r="J2987" s="16"/>
      <c r="K2987" s="17"/>
      <c r="L2987" s="16"/>
      <c r="M2987" s="17"/>
      <c r="N2987" s="17"/>
      <c r="O2987" s="17"/>
    </row>
    <row r="2988" spans="1:15" ht="12.75" x14ac:dyDescent="0.2">
      <c r="A2988" s="15"/>
      <c r="B2988" s="15"/>
      <c r="C2988" s="15"/>
      <c r="D2988" s="16"/>
      <c r="E2988" s="16"/>
      <c r="F2988" s="16"/>
      <c r="G2988" s="16"/>
      <c r="H2988" s="16"/>
      <c r="I2988" s="16"/>
      <c r="J2988" s="16"/>
      <c r="K2988" s="17"/>
      <c r="L2988" s="16"/>
      <c r="M2988" s="17"/>
      <c r="N2988" s="17"/>
      <c r="O2988" s="17"/>
    </row>
    <row r="2989" spans="1:15" ht="12.75" x14ac:dyDescent="0.2">
      <c r="A2989" s="15"/>
      <c r="B2989" s="15"/>
      <c r="C2989" s="15"/>
      <c r="D2989" s="16"/>
      <c r="E2989" s="16"/>
      <c r="F2989" s="16"/>
      <c r="G2989" s="16"/>
      <c r="H2989" s="16"/>
      <c r="I2989" s="16"/>
      <c r="J2989" s="16"/>
      <c r="K2989" s="17"/>
      <c r="L2989" s="16"/>
      <c r="M2989" s="17"/>
      <c r="N2989" s="17"/>
      <c r="O2989" s="17"/>
    </row>
    <row r="2990" spans="1:15" ht="12.75" x14ac:dyDescent="0.2">
      <c r="A2990" s="15"/>
      <c r="B2990" s="15"/>
      <c r="C2990" s="15"/>
      <c r="D2990" s="16"/>
      <c r="E2990" s="16"/>
      <c r="F2990" s="16"/>
      <c r="G2990" s="16"/>
      <c r="H2990" s="16"/>
      <c r="I2990" s="16"/>
      <c r="J2990" s="16"/>
      <c r="K2990" s="17"/>
      <c r="L2990" s="16"/>
      <c r="M2990" s="17"/>
      <c r="N2990" s="17"/>
      <c r="O2990" s="17"/>
    </row>
    <row r="2991" spans="1:15" ht="12.75" x14ac:dyDescent="0.2">
      <c r="A2991" s="15"/>
      <c r="B2991" s="15"/>
      <c r="C2991" s="15"/>
      <c r="D2991" s="16"/>
      <c r="E2991" s="16"/>
      <c r="F2991" s="16"/>
      <c r="G2991" s="16"/>
      <c r="H2991" s="16"/>
      <c r="I2991" s="16"/>
      <c r="J2991" s="16"/>
      <c r="K2991" s="17"/>
      <c r="L2991" s="16"/>
      <c r="M2991" s="17"/>
      <c r="N2991" s="17"/>
      <c r="O2991" s="17"/>
    </row>
    <row r="2992" spans="1:15" ht="12.75" x14ac:dyDescent="0.2">
      <c r="A2992" s="15"/>
      <c r="B2992" s="15"/>
      <c r="C2992" s="15"/>
      <c r="D2992" s="16"/>
      <c r="E2992" s="16"/>
      <c r="F2992" s="16"/>
      <c r="G2992" s="16"/>
      <c r="H2992" s="16"/>
      <c r="I2992" s="16"/>
      <c r="J2992" s="16"/>
      <c r="K2992" s="17"/>
      <c r="L2992" s="16"/>
      <c r="M2992" s="17"/>
      <c r="N2992" s="17"/>
      <c r="O2992" s="17"/>
    </row>
    <row r="2993" spans="1:15" ht="12.75" x14ac:dyDescent="0.2">
      <c r="A2993" s="15"/>
      <c r="B2993" s="15"/>
      <c r="C2993" s="15"/>
      <c r="D2993" s="16"/>
      <c r="E2993" s="16"/>
      <c r="F2993" s="16"/>
      <c r="G2993" s="16"/>
      <c r="H2993" s="16"/>
      <c r="I2993" s="16"/>
      <c r="J2993" s="16"/>
      <c r="K2993" s="17"/>
      <c r="L2993" s="16"/>
      <c r="M2993" s="17"/>
      <c r="N2993" s="17"/>
      <c r="O2993" s="17"/>
    </row>
    <row r="2994" spans="1:15" ht="12.75" x14ac:dyDescent="0.2">
      <c r="A2994" s="15"/>
      <c r="B2994" s="15"/>
      <c r="C2994" s="15"/>
      <c r="D2994" s="16"/>
      <c r="E2994" s="16"/>
      <c r="F2994" s="16"/>
      <c r="G2994" s="16"/>
      <c r="H2994" s="16"/>
      <c r="I2994" s="16"/>
      <c r="J2994" s="16"/>
      <c r="K2994" s="17"/>
      <c r="L2994" s="16"/>
      <c r="M2994" s="17"/>
      <c r="N2994" s="17"/>
      <c r="O2994" s="17"/>
    </row>
    <row r="2995" spans="1:15" ht="12.75" x14ac:dyDescent="0.2">
      <c r="A2995" s="15"/>
      <c r="B2995" s="15"/>
      <c r="C2995" s="15"/>
      <c r="D2995" s="16"/>
      <c r="E2995" s="16"/>
      <c r="F2995" s="16"/>
      <c r="G2995" s="16"/>
      <c r="H2995" s="16"/>
      <c r="I2995" s="16"/>
      <c r="J2995" s="16"/>
      <c r="K2995" s="17"/>
      <c r="L2995" s="16"/>
      <c r="M2995" s="17"/>
      <c r="N2995" s="17"/>
      <c r="O2995" s="17"/>
    </row>
    <row r="2996" spans="1:15" ht="12.75" x14ac:dyDescent="0.2">
      <c r="A2996" s="15"/>
      <c r="B2996" s="15"/>
      <c r="C2996" s="15"/>
      <c r="D2996" s="16"/>
      <c r="E2996" s="16"/>
      <c r="F2996" s="16"/>
      <c r="G2996" s="16"/>
      <c r="H2996" s="16"/>
      <c r="I2996" s="16"/>
      <c r="J2996" s="16"/>
      <c r="K2996" s="17"/>
      <c r="L2996" s="16"/>
      <c r="M2996" s="17"/>
      <c r="N2996" s="17"/>
      <c r="O2996" s="17"/>
    </row>
    <row r="2997" spans="1:15" ht="12.75" x14ac:dyDescent="0.2">
      <c r="A2997" s="15"/>
      <c r="B2997" s="15"/>
      <c r="C2997" s="15"/>
      <c r="D2997" s="16"/>
      <c r="E2997" s="16"/>
      <c r="F2997" s="16"/>
      <c r="G2997" s="16"/>
      <c r="H2997" s="16"/>
      <c r="I2997" s="16"/>
      <c r="J2997" s="16"/>
      <c r="K2997" s="17"/>
      <c r="L2997" s="16"/>
      <c r="M2997" s="17"/>
      <c r="N2997" s="17"/>
      <c r="O2997" s="17"/>
    </row>
    <row r="2998" spans="1:15" ht="12.75" x14ac:dyDescent="0.2">
      <c r="A2998" s="15"/>
      <c r="B2998" s="15"/>
      <c r="C2998" s="15"/>
      <c r="D2998" s="16"/>
      <c r="E2998" s="16"/>
      <c r="F2998" s="16"/>
      <c r="G2998" s="16"/>
      <c r="H2998" s="16"/>
      <c r="I2998" s="16"/>
      <c r="J2998" s="16"/>
      <c r="K2998" s="17"/>
      <c r="L2998" s="16"/>
      <c r="M2998" s="17"/>
      <c r="N2998" s="17"/>
      <c r="O2998" s="17"/>
    </row>
    <row r="2999" spans="1:15" ht="12.75" x14ac:dyDescent="0.2">
      <c r="A2999" s="15"/>
      <c r="B2999" s="15"/>
      <c r="C2999" s="15"/>
      <c r="D2999" s="16"/>
      <c r="E2999" s="16"/>
      <c r="F2999" s="16"/>
      <c r="G2999" s="16"/>
      <c r="H2999" s="16"/>
      <c r="I2999" s="16"/>
      <c r="J2999" s="16"/>
      <c r="K2999" s="17"/>
      <c r="L2999" s="16"/>
      <c r="M2999" s="17"/>
      <c r="N2999" s="17"/>
      <c r="O2999" s="17"/>
    </row>
    <row r="3000" spans="1:15" ht="12.75" x14ac:dyDescent="0.2">
      <c r="A3000" s="15"/>
      <c r="B3000" s="15"/>
      <c r="C3000" s="15"/>
      <c r="D3000" s="16"/>
      <c r="E3000" s="16"/>
      <c r="F3000" s="16"/>
      <c r="G3000" s="16"/>
      <c r="H3000" s="16"/>
      <c r="I3000" s="16"/>
      <c r="J3000" s="16"/>
      <c r="K3000" s="17"/>
      <c r="L3000" s="16"/>
      <c r="M3000" s="17"/>
      <c r="N3000" s="17"/>
      <c r="O3000" s="17"/>
    </row>
    <row r="3001" spans="1:15" ht="12.75" x14ac:dyDescent="0.2">
      <c r="A3001" s="15"/>
      <c r="B3001" s="15"/>
      <c r="C3001" s="15"/>
      <c r="D3001" s="16"/>
      <c r="E3001" s="16"/>
      <c r="F3001" s="16"/>
      <c r="G3001" s="16"/>
      <c r="H3001" s="16"/>
      <c r="I3001" s="16"/>
      <c r="J3001" s="16"/>
      <c r="K3001" s="17"/>
      <c r="L3001" s="16"/>
      <c r="M3001" s="17"/>
      <c r="N3001" s="17"/>
      <c r="O3001" s="17"/>
    </row>
    <row r="3002" spans="1:15" ht="12.75" x14ac:dyDescent="0.2">
      <c r="A3002" s="15"/>
      <c r="B3002" s="15"/>
      <c r="C3002" s="15"/>
      <c r="D3002" s="16"/>
      <c r="E3002" s="16"/>
      <c r="F3002" s="16"/>
      <c r="G3002" s="16"/>
      <c r="H3002" s="16"/>
      <c r="I3002" s="16"/>
      <c r="J3002" s="16"/>
      <c r="K3002" s="17"/>
      <c r="L3002" s="16"/>
      <c r="M3002" s="17"/>
      <c r="N3002" s="17"/>
      <c r="O3002" s="17"/>
    </row>
    <row r="3003" spans="1:15" ht="12.75" x14ac:dyDescent="0.2">
      <c r="A3003" s="15"/>
      <c r="B3003" s="15"/>
      <c r="C3003" s="15"/>
      <c r="D3003" s="16"/>
      <c r="E3003" s="16"/>
      <c r="F3003" s="16"/>
      <c r="G3003" s="16"/>
      <c r="H3003" s="16"/>
      <c r="I3003" s="16"/>
      <c r="J3003" s="16"/>
      <c r="K3003" s="17"/>
      <c r="L3003" s="16"/>
      <c r="M3003" s="17"/>
      <c r="N3003" s="17"/>
      <c r="O3003" s="17"/>
    </row>
    <row r="3004" spans="1:15" ht="12.75" x14ac:dyDescent="0.2">
      <c r="A3004" s="15"/>
      <c r="B3004" s="15"/>
      <c r="C3004" s="15"/>
      <c r="D3004" s="16"/>
      <c r="E3004" s="16"/>
      <c r="F3004" s="16"/>
      <c r="G3004" s="16"/>
      <c r="H3004" s="16"/>
      <c r="I3004" s="16"/>
      <c r="J3004" s="16"/>
      <c r="K3004" s="17"/>
      <c r="L3004" s="16"/>
      <c r="M3004" s="17"/>
      <c r="N3004" s="17"/>
      <c r="O3004" s="17"/>
    </row>
    <row r="3005" spans="1:15" ht="12.75" x14ac:dyDescent="0.2">
      <c r="A3005" s="15"/>
      <c r="B3005" s="15"/>
      <c r="C3005" s="15"/>
      <c r="D3005" s="16"/>
      <c r="E3005" s="16"/>
      <c r="F3005" s="16"/>
      <c r="G3005" s="16"/>
      <c r="H3005" s="16"/>
      <c r="I3005" s="16"/>
      <c r="J3005" s="16"/>
      <c r="K3005" s="17"/>
      <c r="L3005" s="16"/>
      <c r="M3005" s="17"/>
      <c r="N3005" s="17"/>
      <c r="O3005" s="17"/>
    </row>
    <row r="3006" spans="1:15" ht="12.75" x14ac:dyDescent="0.2">
      <c r="A3006" s="15"/>
      <c r="B3006" s="15"/>
      <c r="C3006" s="15"/>
      <c r="D3006" s="16"/>
      <c r="E3006" s="16"/>
      <c r="F3006" s="16"/>
      <c r="G3006" s="16"/>
      <c r="H3006" s="16"/>
      <c r="I3006" s="16"/>
      <c r="J3006" s="16"/>
      <c r="K3006" s="17"/>
      <c r="L3006" s="16"/>
      <c r="M3006" s="17"/>
      <c r="N3006" s="17"/>
      <c r="O3006" s="17"/>
    </row>
    <row r="3007" spans="1:15" ht="12.75" x14ac:dyDescent="0.2">
      <c r="A3007" s="15"/>
      <c r="B3007" s="15"/>
      <c r="C3007" s="15"/>
      <c r="D3007" s="16"/>
      <c r="E3007" s="16"/>
      <c r="F3007" s="16"/>
      <c r="G3007" s="16"/>
      <c r="H3007" s="16"/>
      <c r="I3007" s="16"/>
      <c r="J3007" s="16"/>
      <c r="K3007" s="17"/>
      <c r="L3007" s="16"/>
      <c r="M3007" s="17"/>
      <c r="N3007" s="17"/>
      <c r="O3007" s="17"/>
    </row>
    <row r="3008" spans="1:15" ht="12.75" x14ac:dyDescent="0.2">
      <c r="A3008" s="15"/>
      <c r="B3008" s="15"/>
      <c r="C3008" s="15"/>
      <c r="D3008" s="16"/>
      <c r="E3008" s="16"/>
      <c r="F3008" s="16"/>
      <c r="G3008" s="16"/>
      <c r="H3008" s="16"/>
      <c r="I3008" s="16"/>
      <c r="J3008" s="16"/>
      <c r="K3008" s="17"/>
      <c r="L3008" s="16"/>
      <c r="M3008" s="17"/>
      <c r="N3008" s="17"/>
      <c r="O3008" s="17"/>
    </row>
    <row r="3009" spans="1:15" ht="12.75" x14ac:dyDescent="0.2">
      <c r="A3009" s="15"/>
      <c r="B3009" s="15"/>
      <c r="C3009" s="15"/>
      <c r="D3009" s="16"/>
      <c r="E3009" s="16"/>
      <c r="F3009" s="16"/>
      <c r="G3009" s="16"/>
      <c r="H3009" s="16"/>
      <c r="I3009" s="16"/>
      <c r="J3009" s="16"/>
      <c r="K3009" s="17"/>
      <c r="L3009" s="16"/>
      <c r="M3009" s="17"/>
      <c r="N3009" s="17"/>
      <c r="O3009" s="17"/>
    </row>
    <row r="3010" spans="1:15" ht="12.75" x14ac:dyDescent="0.2">
      <c r="A3010" s="15"/>
      <c r="B3010" s="15"/>
      <c r="C3010" s="15"/>
      <c r="D3010" s="16"/>
      <c r="E3010" s="16"/>
      <c r="F3010" s="16"/>
      <c r="G3010" s="16"/>
      <c r="H3010" s="16"/>
      <c r="I3010" s="16"/>
      <c r="J3010" s="16"/>
      <c r="K3010" s="17"/>
      <c r="L3010" s="16"/>
      <c r="M3010" s="17"/>
      <c r="N3010" s="17"/>
      <c r="O3010" s="17"/>
    </row>
    <row r="3011" spans="1:15" ht="12.75" x14ac:dyDescent="0.2">
      <c r="A3011" s="15"/>
      <c r="B3011" s="15"/>
      <c r="C3011" s="15"/>
      <c r="D3011" s="16"/>
      <c r="E3011" s="16"/>
      <c r="F3011" s="16"/>
      <c r="G3011" s="16"/>
      <c r="H3011" s="16"/>
      <c r="I3011" s="16"/>
      <c r="J3011" s="16"/>
      <c r="K3011" s="17"/>
      <c r="L3011" s="16"/>
      <c r="M3011" s="17"/>
      <c r="N3011" s="17"/>
      <c r="O3011" s="17"/>
    </row>
    <row r="3012" spans="1:15" ht="12.75" x14ac:dyDescent="0.2">
      <c r="A3012" s="15"/>
      <c r="B3012" s="15"/>
      <c r="C3012" s="15"/>
      <c r="D3012" s="16"/>
      <c r="E3012" s="16"/>
      <c r="F3012" s="16"/>
      <c r="G3012" s="16"/>
      <c r="H3012" s="16"/>
      <c r="I3012" s="16"/>
      <c r="J3012" s="16"/>
      <c r="K3012" s="17"/>
      <c r="L3012" s="16"/>
      <c r="M3012" s="17"/>
      <c r="N3012" s="17"/>
      <c r="O3012" s="17"/>
    </row>
    <row r="3013" spans="1:15" ht="12.75" x14ac:dyDescent="0.2">
      <c r="A3013" s="15"/>
      <c r="B3013" s="15"/>
      <c r="C3013" s="15"/>
      <c r="D3013" s="16"/>
      <c r="E3013" s="16"/>
      <c r="F3013" s="16"/>
      <c r="G3013" s="16"/>
      <c r="H3013" s="16"/>
      <c r="I3013" s="16"/>
      <c r="J3013" s="16"/>
      <c r="K3013" s="17"/>
      <c r="L3013" s="16"/>
      <c r="M3013" s="17"/>
      <c r="N3013" s="17"/>
      <c r="O3013" s="17"/>
    </row>
    <row r="3014" spans="1:15" ht="12.75" x14ac:dyDescent="0.2">
      <c r="A3014" s="15"/>
      <c r="B3014" s="15"/>
      <c r="C3014" s="15"/>
      <c r="D3014" s="16"/>
      <c r="E3014" s="16"/>
      <c r="F3014" s="16"/>
      <c r="G3014" s="16"/>
      <c r="H3014" s="16"/>
      <c r="I3014" s="16"/>
      <c r="J3014" s="16"/>
      <c r="K3014" s="17"/>
      <c r="L3014" s="16"/>
      <c r="M3014" s="17"/>
      <c r="N3014" s="17"/>
      <c r="O3014" s="17"/>
    </row>
    <row r="3015" spans="1:15" ht="12.75" x14ac:dyDescent="0.2">
      <c r="A3015" s="15"/>
      <c r="B3015" s="15"/>
      <c r="C3015" s="15"/>
      <c r="D3015" s="16"/>
      <c r="E3015" s="16"/>
      <c r="F3015" s="16"/>
      <c r="G3015" s="16"/>
      <c r="H3015" s="16"/>
      <c r="I3015" s="16"/>
      <c r="J3015" s="16"/>
      <c r="K3015" s="17"/>
      <c r="L3015" s="16"/>
      <c r="M3015" s="17"/>
      <c r="N3015" s="17"/>
      <c r="O3015" s="17"/>
    </row>
    <row r="3016" spans="1:15" ht="12.75" x14ac:dyDescent="0.2">
      <c r="A3016" s="15"/>
      <c r="B3016" s="15"/>
      <c r="C3016" s="15"/>
      <c r="D3016" s="16"/>
      <c r="E3016" s="16"/>
      <c r="F3016" s="16"/>
      <c r="G3016" s="16"/>
      <c r="H3016" s="16"/>
      <c r="I3016" s="16"/>
      <c r="J3016" s="16"/>
      <c r="K3016" s="17"/>
      <c r="L3016" s="16"/>
      <c r="M3016" s="17"/>
      <c r="N3016" s="17"/>
      <c r="O3016" s="17"/>
    </row>
    <row r="3017" spans="1:15" ht="12.75" x14ac:dyDescent="0.2">
      <c r="A3017" s="15"/>
      <c r="B3017" s="15"/>
      <c r="C3017" s="15"/>
      <c r="D3017" s="16"/>
      <c r="E3017" s="16"/>
      <c r="F3017" s="16"/>
      <c r="G3017" s="16"/>
      <c r="H3017" s="16"/>
      <c r="I3017" s="16"/>
      <c r="J3017" s="16"/>
      <c r="K3017" s="17"/>
      <c r="L3017" s="16"/>
      <c r="M3017" s="17"/>
      <c r="N3017" s="17"/>
      <c r="O3017" s="17"/>
    </row>
    <row r="3018" spans="1:15" ht="12.75" x14ac:dyDescent="0.2">
      <c r="A3018" s="15"/>
      <c r="B3018" s="15"/>
      <c r="C3018" s="15"/>
      <c r="D3018" s="16"/>
      <c r="E3018" s="16"/>
      <c r="F3018" s="16"/>
      <c r="G3018" s="16"/>
      <c r="H3018" s="16"/>
      <c r="I3018" s="16"/>
      <c r="J3018" s="16"/>
      <c r="K3018" s="17"/>
      <c r="L3018" s="16"/>
      <c r="M3018" s="17"/>
      <c r="N3018" s="17"/>
      <c r="O3018" s="17"/>
    </row>
    <row r="3019" spans="1:15" ht="12.75" x14ac:dyDescent="0.2">
      <c r="A3019" s="15"/>
      <c r="B3019" s="15"/>
      <c r="C3019" s="15"/>
      <c r="D3019" s="16"/>
      <c r="E3019" s="16"/>
      <c r="F3019" s="16"/>
      <c r="G3019" s="16"/>
      <c r="H3019" s="16"/>
      <c r="I3019" s="16"/>
      <c r="J3019" s="16"/>
      <c r="K3019" s="17"/>
      <c r="L3019" s="16"/>
      <c r="M3019" s="17"/>
      <c r="N3019" s="17"/>
      <c r="O3019" s="17"/>
    </row>
    <row r="3020" spans="1:15" ht="12.75" x14ac:dyDescent="0.2">
      <c r="A3020" s="15"/>
      <c r="B3020" s="15"/>
      <c r="C3020" s="15"/>
      <c r="D3020" s="16"/>
      <c r="E3020" s="16"/>
      <c r="F3020" s="16"/>
      <c r="G3020" s="16"/>
      <c r="H3020" s="16"/>
      <c r="I3020" s="16"/>
      <c r="J3020" s="16"/>
      <c r="K3020" s="17"/>
      <c r="L3020" s="16"/>
      <c r="M3020" s="17"/>
      <c r="N3020" s="17"/>
      <c r="O3020" s="17"/>
    </row>
    <row r="3021" spans="1:15" ht="12.75" x14ac:dyDescent="0.2">
      <c r="A3021" s="15"/>
      <c r="B3021" s="15"/>
      <c r="C3021" s="15"/>
      <c r="D3021" s="16"/>
      <c r="E3021" s="16"/>
      <c r="F3021" s="16"/>
      <c r="G3021" s="16"/>
      <c r="H3021" s="16"/>
      <c r="I3021" s="16"/>
      <c r="J3021" s="16"/>
      <c r="K3021" s="17"/>
      <c r="L3021" s="16"/>
      <c r="M3021" s="17"/>
      <c r="N3021" s="17"/>
      <c r="O3021" s="17"/>
    </row>
    <row r="3022" spans="1:15" ht="12.75" x14ac:dyDescent="0.2">
      <c r="A3022" s="15"/>
      <c r="B3022" s="15"/>
      <c r="C3022" s="15"/>
      <c r="D3022" s="16"/>
      <c r="E3022" s="16"/>
      <c r="F3022" s="16"/>
      <c r="G3022" s="16"/>
      <c r="H3022" s="16"/>
      <c r="I3022" s="16"/>
      <c r="J3022" s="16"/>
      <c r="K3022" s="17"/>
      <c r="L3022" s="16"/>
      <c r="M3022" s="17"/>
      <c r="N3022" s="17"/>
      <c r="O3022" s="17"/>
    </row>
    <row r="3023" spans="1:15" ht="12.75" x14ac:dyDescent="0.2">
      <c r="A3023" s="15"/>
      <c r="B3023" s="15"/>
      <c r="C3023" s="15"/>
      <c r="D3023" s="16"/>
      <c r="E3023" s="16"/>
      <c r="F3023" s="16"/>
      <c r="G3023" s="16"/>
      <c r="H3023" s="16"/>
      <c r="I3023" s="16"/>
      <c r="J3023" s="16"/>
      <c r="K3023" s="17"/>
      <c r="L3023" s="16"/>
      <c r="M3023" s="17"/>
      <c r="N3023" s="17"/>
      <c r="O3023" s="17"/>
    </row>
    <row r="3024" spans="1:15" ht="12.75" x14ac:dyDescent="0.2">
      <c r="A3024" s="15"/>
      <c r="B3024" s="15"/>
      <c r="C3024" s="15"/>
      <c r="D3024" s="16"/>
      <c r="E3024" s="16"/>
      <c r="F3024" s="16"/>
      <c r="G3024" s="16"/>
      <c r="H3024" s="16"/>
      <c r="I3024" s="16"/>
      <c r="J3024" s="16"/>
      <c r="K3024" s="17"/>
      <c r="L3024" s="16"/>
      <c r="M3024" s="17"/>
      <c r="N3024" s="17"/>
      <c r="O3024" s="17"/>
    </row>
    <row r="3025" spans="1:15" ht="12.75" x14ac:dyDescent="0.2">
      <c r="A3025" s="15"/>
      <c r="B3025" s="15"/>
      <c r="C3025" s="15"/>
      <c r="D3025" s="16"/>
      <c r="E3025" s="16"/>
      <c r="F3025" s="16"/>
      <c r="G3025" s="16"/>
      <c r="H3025" s="16"/>
      <c r="I3025" s="16"/>
      <c r="J3025" s="16"/>
      <c r="K3025" s="17"/>
      <c r="L3025" s="16"/>
      <c r="M3025" s="17"/>
      <c r="N3025" s="17"/>
      <c r="O3025" s="17"/>
    </row>
    <row r="3026" spans="1:15" ht="12.75" x14ac:dyDescent="0.2">
      <c r="A3026" s="15"/>
      <c r="B3026" s="15"/>
      <c r="C3026" s="15"/>
      <c r="D3026" s="16"/>
      <c r="E3026" s="16"/>
      <c r="F3026" s="16"/>
      <c r="G3026" s="16"/>
      <c r="H3026" s="16"/>
      <c r="I3026" s="16"/>
      <c r="J3026" s="16"/>
      <c r="K3026" s="17"/>
      <c r="L3026" s="16"/>
      <c r="M3026" s="17"/>
      <c r="N3026" s="17"/>
      <c r="O3026" s="17"/>
    </row>
    <row r="3027" spans="1:15" ht="12.75" x14ac:dyDescent="0.2">
      <c r="A3027" s="15"/>
      <c r="B3027" s="15"/>
      <c r="C3027" s="15"/>
      <c r="D3027" s="16"/>
      <c r="E3027" s="16"/>
      <c r="F3027" s="16"/>
      <c r="G3027" s="16"/>
      <c r="H3027" s="16"/>
      <c r="I3027" s="16"/>
      <c r="J3027" s="16"/>
      <c r="K3027" s="17"/>
      <c r="L3027" s="16"/>
      <c r="M3027" s="17"/>
      <c r="N3027" s="17"/>
      <c r="O3027" s="17"/>
    </row>
    <row r="3028" spans="1:15" ht="12.75" x14ac:dyDescent="0.2">
      <c r="A3028" s="15"/>
      <c r="B3028" s="15"/>
      <c r="C3028" s="15"/>
      <c r="D3028" s="16"/>
      <c r="E3028" s="16"/>
      <c r="F3028" s="16"/>
      <c r="G3028" s="16"/>
      <c r="H3028" s="16"/>
      <c r="I3028" s="16"/>
      <c r="J3028" s="16"/>
      <c r="K3028" s="17"/>
      <c r="L3028" s="16"/>
      <c r="M3028" s="17"/>
      <c r="N3028" s="17"/>
      <c r="O3028" s="17"/>
    </row>
    <row r="3029" spans="1:15" ht="12.75" x14ac:dyDescent="0.2">
      <c r="A3029" s="15"/>
      <c r="B3029" s="15"/>
      <c r="C3029" s="15"/>
      <c r="D3029" s="16"/>
      <c r="E3029" s="16"/>
      <c r="F3029" s="16"/>
      <c r="G3029" s="16"/>
      <c r="H3029" s="16"/>
      <c r="I3029" s="16"/>
      <c r="J3029" s="16"/>
      <c r="K3029" s="17"/>
      <c r="L3029" s="16"/>
      <c r="M3029" s="17"/>
      <c r="N3029" s="17"/>
      <c r="O3029" s="17"/>
    </row>
    <row r="3030" spans="1:15" ht="12.75" x14ac:dyDescent="0.2">
      <c r="A3030" s="15"/>
      <c r="B3030" s="15"/>
      <c r="C3030" s="15"/>
      <c r="D3030" s="16"/>
      <c r="E3030" s="16"/>
      <c r="F3030" s="16"/>
      <c r="G3030" s="16"/>
      <c r="H3030" s="16"/>
      <c r="I3030" s="16"/>
      <c r="J3030" s="16"/>
      <c r="K3030" s="17"/>
      <c r="L3030" s="16"/>
      <c r="M3030" s="17"/>
      <c r="N3030" s="17"/>
      <c r="O3030" s="17"/>
    </row>
    <row r="3031" spans="1:15" ht="12.75" x14ac:dyDescent="0.2">
      <c r="A3031" s="15"/>
      <c r="B3031" s="15"/>
      <c r="C3031" s="15"/>
      <c r="D3031" s="16"/>
      <c r="E3031" s="16"/>
      <c r="F3031" s="16"/>
      <c r="G3031" s="16"/>
      <c r="H3031" s="16"/>
      <c r="I3031" s="16"/>
      <c r="J3031" s="16"/>
      <c r="K3031" s="17"/>
      <c r="L3031" s="16"/>
      <c r="M3031" s="17"/>
      <c r="N3031" s="17"/>
      <c r="O3031" s="17"/>
    </row>
    <row r="3032" spans="1:15" ht="12.75" x14ac:dyDescent="0.2">
      <c r="A3032" s="15"/>
      <c r="B3032" s="15"/>
      <c r="C3032" s="15"/>
      <c r="D3032" s="16"/>
      <c r="E3032" s="16"/>
      <c r="F3032" s="16"/>
      <c r="G3032" s="16"/>
      <c r="H3032" s="16"/>
      <c r="I3032" s="16"/>
      <c r="J3032" s="16"/>
      <c r="K3032" s="17"/>
      <c r="L3032" s="16"/>
      <c r="M3032" s="17"/>
      <c r="N3032" s="17"/>
      <c r="O3032" s="17"/>
    </row>
    <row r="3033" spans="1:15" ht="12.75" x14ac:dyDescent="0.2">
      <c r="A3033" s="15"/>
      <c r="B3033" s="15"/>
      <c r="C3033" s="15"/>
      <c r="D3033" s="16"/>
      <c r="E3033" s="16"/>
      <c r="F3033" s="16"/>
      <c r="G3033" s="16"/>
      <c r="H3033" s="16"/>
      <c r="I3033" s="16"/>
      <c r="J3033" s="16"/>
      <c r="K3033" s="17"/>
      <c r="L3033" s="16"/>
      <c r="M3033" s="17"/>
      <c r="N3033" s="17"/>
      <c r="O3033" s="17"/>
    </row>
    <row r="3034" spans="1:15" ht="12.75" x14ac:dyDescent="0.2">
      <c r="A3034" s="15"/>
      <c r="B3034" s="15"/>
      <c r="C3034" s="15"/>
      <c r="D3034" s="16"/>
      <c r="E3034" s="16"/>
      <c r="F3034" s="16"/>
      <c r="G3034" s="16"/>
      <c r="H3034" s="16"/>
      <c r="I3034" s="16"/>
      <c r="J3034" s="16"/>
      <c r="K3034" s="17"/>
      <c r="L3034" s="16"/>
      <c r="M3034" s="17"/>
      <c r="N3034" s="17"/>
      <c r="O3034" s="17"/>
    </row>
    <row r="3035" spans="1:15" ht="12.75" x14ac:dyDescent="0.2">
      <c r="A3035" s="15"/>
      <c r="B3035" s="15"/>
      <c r="C3035" s="15"/>
      <c r="D3035" s="16"/>
      <c r="E3035" s="16"/>
      <c r="F3035" s="16"/>
      <c r="G3035" s="16"/>
      <c r="H3035" s="16"/>
      <c r="I3035" s="16"/>
      <c r="J3035" s="16"/>
      <c r="K3035" s="17"/>
      <c r="L3035" s="16"/>
      <c r="M3035" s="17"/>
      <c r="N3035" s="17"/>
      <c r="O3035" s="17"/>
    </row>
    <row r="3036" spans="1:15" ht="12.75" x14ac:dyDescent="0.2">
      <c r="A3036" s="15"/>
      <c r="B3036" s="15"/>
      <c r="C3036" s="15"/>
      <c r="D3036" s="16"/>
      <c r="E3036" s="16"/>
      <c r="F3036" s="16"/>
      <c r="G3036" s="16"/>
      <c r="H3036" s="16"/>
      <c r="I3036" s="16"/>
      <c r="J3036" s="16"/>
      <c r="K3036" s="17"/>
      <c r="L3036" s="16"/>
      <c r="M3036" s="17"/>
      <c r="N3036" s="17"/>
      <c r="O3036" s="17"/>
    </row>
    <row r="3037" spans="1:15" ht="12.75" x14ac:dyDescent="0.2">
      <c r="A3037" s="15"/>
      <c r="B3037" s="15"/>
      <c r="C3037" s="15"/>
      <c r="D3037" s="16"/>
      <c r="E3037" s="16"/>
      <c r="F3037" s="16"/>
      <c r="G3037" s="16"/>
      <c r="H3037" s="16"/>
      <c r="I3037" s="16"/>
      <c r="J3037" s="16"/>
      <c r="K3037" s="17"/>
      <c r="L3037" s="16"/>
      <c r="M3037" s="17"/>
      <c r="N3037" s="17"/>
      <c r="O3037" s="17"/>
    </row>
    <row r="3038" spans="1:15" ht="12.75" x14ac:dyDescent="0.2">
      <c r="A3038" s="15"/>
      <c r="B3038" s="15"/>
      <c r="C3038" s="15"/>
      <c r="D3038" s="16"/>
      <c r="E3038" s="16"/>
      <c r="F3038" s="16"/>
      <c r="G3038" s="16"/>
      <c r="H3038" s="16"/>
      <c r="I3038" s="16"/>
      <c r="J3038" s="16"/>
      <c r="K3038" s="17"/>
      <c r="L3038" s="16"/>
      <c r="M3038" s="17"/>
      <c r="N3038" s="17"/>
      <c r="O3038" s="17"/>
    </row>
    <row r="3039" spans="1:15" ht="12.75" x14ac:dyDescent="0.2">
      <c r="A3039" s="15"/>
      <c r="B3039" s="15"/>
      <c r="C3039" s="15"/>
      <c r="D3039" s="16"/>
      <c r="E3039" s="16"/>
      <c r="F3039" s="16"/>
      <c r="G3039" s="16"/>
      <c r="H3039" s="16"/>
      <c r="I3039" s="16"/>
      <c r="J3039" s="16"/>
      <c r="K3039" s="17"/>
      <c r="L3039" s="16"/>
      <c r="M3039" s="17"/>
      <c r="N3039" s="17"/>
      <c r="O3039" s="17"/>
    </row>
    <row r="3040" spans="1:15" ht="12.75" x14ac:dyDescent="0.2">
      <c r="A3040" s="15"/>
      <c r="B3040" s="15"/>
      <c r="C3040" s="15"/>
      <c r="D3040" s="16"/>
      <c r="E3040" s="16"/>
      <c r="F3040" s="16"/>
      <c r="G3040" s="16"/>
      <c r="H3040" s="16"/>
      <c r="I3040" s="16"/>
      <c r="J3040" s="16"/>
      <c r="K3040" s="17"/>
      <c r="L3040" s="16"/>
      <c r="M3040" s="17"/>
      <c r="N3040" s="17"/>
      <c r="O3040" s="17"/>
    </row>
    <row r="3041" spans="1:15" ht="12.75" x14ac:dyDescent="0.2">
      <c r="A3041" s="15"/>
      <c r="B3041" s="15"/>
      <c r="C3041" s="15"/>
      <c r="D3041" s="16"/>
      <c r="E3041" s="16"/>
      <c r="F3041" s="16"/>
      <c r="G3041" s="16"/>
      <c r="H3041" s="16"/>
      <c r="I3041" s="16"/>
      <c r="J3041" s="16"/>
      <c r="K3041" s="17"/>
      <c r="L3041" s="16"/>
      <c r="M3041" s="17"/>
      <c r="N3041" s="17"/>
      <c r="O3041" s="17"/>
    </row>
    <row r="3042" spans="1:15" ht="12.75" x14ac:dyDescent="0.2">
      <c r="A3042" s="15"/>
      <c r="B3042" s="15"/>
      <c r="C3042" s="15"/>
      <c r="D3042" s="16"/>
      <c r="E3042" s="16"/>
      <c r="F3042" s="16"/>
      <c r="G3042" s="16"/>
      <c r="H3042" s="16"/>
      <c r="I3042" s="16"/>
      <c r="J3042" s="16"/>
      <c r="K3042" s="17"/>
      <c r="L3042" s="16"/>
      <c r="M3042" s="17"/>
      <c r="N3042" s="17"/>
      <c r="O3042" s="17"/>
    </row>
    <row r="3043" spans="1:15" ht="12.75" x14ac:dyDescent="0.2">
      <c r="A3043" s="15"/>
      <c r="B3043" s="15"/>
      <c r="C3043" s="15"/>
      <c r="D3043" s="16"/>
      <c r="E3043" s="16"/>
      <c r="F3043" s="16"/>
      <c r="G3043" s="16"/>
      <c r="H3043" s="16"/>
      <c r="I3043" s="16"/>
      <c r="J3043" s="16"/>
      <c r="K3043" s="17"/>
      <c r="L3043" s="16"/>
      <c r="M3043" s="17"/>
      <c r="N3043" s="17"/>
      <c r="O3043" s="17"/>
    </row>
    <row r="3044" spans="1:15" ht="12.75" x14ac:dyDescent="0.2">
      <c r="A3044" s="15"/>
      <c r="B3044" s="15"/>
      <c r="C3044" s="15"/>
      <c r="D3044" s="16"/>
      <c r="E3044" s="16"/>
      <c r="F3044" s="16"/>
      <c r="G3044" s="16"/>
      <c r="H3044" s="16"/>
      <c r="I3044" s="16"/>
      <c r="J3044" s="16"/>
      <c r="K3044" s="17"/>
      <c r="L3044" s="16"/>
      <c r="M3044" s="17"/>
      <c r="N3044" s="17"/>
      <c r="O3044" s="17"/>
    </row>
    <row r="3045" spans="1:15" ht="12.75" x14ac:dyDescent="0.2">
      <c r="A3045" s="15"/>
      <c r="B3045" s="15"/>
      <c r="C3045" s="15"/>
      <c r="D3045" s="16"/>
      <c r="E3045" s="16"/>
      <c r="F3045" s="16"/>
      <c r="G3045" s="16"/>
      <c r="H3045" s="16"/>
      <c r="I3045" s="16"/>
      <c r="J3045" s="16"/>
      <c r="K3045" s="17"/>
      <c r="L3045" s="16"/>
      <c r="M3045" s="17"/>
      <c r="N3045" s="17"/>
      <c r="O3045" s="17"/>
    </row>
    <row r="3046" spans="1:15" ht="12.75" x14ac:dyDescent="0.2">
      <c r="A3046" s="15"/>
      <c r="B3046" s="15"/>
      <c r="C3046" s="15"/>
      <c r="D3046" s="16"/>
      <c r="E3046" s="16"/>
      <c r="F3046" s="16"/>
      <c r="G3046" s="16"/>
      <c r="H3046" s="16"/>
      <c r="I3046" s="16"/>
      <c r="J3046" s="16"/>
      <c r="K3046" s="17"/>
      <c r="L3046" s="16"/>
      <c r="M3046" s="17"/>
      <c r="N3046" s="17"/>
      <c r="O3046" s="17"/>
    </row>
    <row r="3047" spans="1:15" ht="12.75" x14ac:dyDescent="0.2">
      <c r="A3047" s="15"/>
      <c r="B3047" s="15"/>
      <c r="C3047" s="15"/>
      <c r="D3047" s="16"/>
      <c r="E3047" s="16"/>
      <c r="F3047" s="16"/>
      <c r="G3047" s="16"/>
      <c r="H3047" s="16"/>
      <c r="I3047" s="16"/>
      <c r="J3047" s="16"/>
      <c r="K3047" s="17"/>
      <c r="L3047" s="16"/>
      <c r="M3047" s="17"/>
      <c r="N3047" s="17"/>
      <c r="O3047" s="17"/>
    </row>
    <row r="3048" spans="1:15" ht="12.75" x14ac:dyDescent="0.2">
      <c r="A3048" s="15"/>
      <c r="B3048" s="15"/>
      <c r="C3048" s="15"/>
      <c r="D3048" s="16"/>
      <c r="E3048" s="16"/>
      <c r="F3048" s="16"/>
      <c r="G3048" s="16"/>
      <c r="H3048" s="16"/>
      <c r="I3048" s="16"/>
      <c r="J3048" s="16"/>
      <c r="K3048" s="17"/>
      <c r="L3048" s="16"/>
      <c r="M3048" s="17"/>
      <c r="N3048" s="17"/>
      <c r="O3048" s="17"/>
    </row>
    <row r="3049" spans="1:15" ht="12.75" x14ac:dyDescent="0.2">
      <c r="A3049" s="15"/>
      <c r="B3049" s="15"/>
      <c r="C3049" s="15"/>
      <c r="D3049" s="16"/>
      <c r="E3049" s="16"/>
      <c r="F3049" s="16"/>
      <c r="G3049" s="16"/>
      <c r="H3049" s="16"/>
      <c r="I3049" s="16"/>
      <c r="J3049" s="16"/>
      <c r="K3049" s="17"/>
      <c r="L3049" s="16"/>
      <c r="M3049" s="17"/>
      <c r="N3049" s="17"/>
      <c r="O3049" s="17"/>
    </row>
    <row r="3050" spans="1:15" ht="12.75" x14ac:dyDescent="0.2">
      <c r="A3050" s="15"/>
      <c r="B3050" s="15"/>
      <c r="C3050" s="15"/>
      <c r="D3050" s="16"/>
      <c r="E3050" s="16"/>
      <c r="F3050" s="16"/>
      <c r="G3050" s="16"/>
      <c r="H3050" s="16"/>
      <c r="I3050" s="16"/>
      <c r="J3050" s="16"/>
      <c r="K3050" s="17"/>
      <c r="L3050" s="16"/>
      <c r="M3050" s="17"/>
      <c r="N3050" s="17"/>
      <c r="O3050" s="17"/>
    </row>
    <row r="3051" spans="1:15" ht="12.75" x14ac:dyDescent="0.2">
      <c r="A3051" s="15"/>
      <c r="B3051" s="15"/>
      <c r="C3051" s="15"/>
      <c r="D3051" s="16"/>
      <c r="E3051" s="16"/>
      <c r="F3051" s="16"/>
      <c r="G3051" s="16"/>
      <c r="H3051" s="16"/>
      <c r="I3051" s="16"/>
      <c r="J3051" s="16"/>
      <c r="K3051" s="17"/>
      <c r="L3051" s="16"/>
      <c r="M3051" s="17"/>
      <c r="N3051" s="17"/>
      <c r="O3051" s="17"/>
    </row>
    <row r="3052" spans="1:15" ht="12.75" x14ac:dyDescent="0.2">
      <c r="A3052" s="15"/>
      <c r="B3052" s="15"/>
      <c r="C3052" s="15"/>
      <c r="D3052" s="16"/>
      <c r="E3052" s="16"/>
      <c r="F3052" s="16"/>
      <c r="G3052" s="16"/>
      <c r="H3052" s="16"/>
      <c r="I3052" s="16"/>
      <c r="J3052" s="16"/>
      <c r="K3052" s="17"/>
      <c r="L3052" s="16"/>
      <c r="M3052" s="17"/>
      <c r="N3052" s="17"/>
      <c r="O3052" s="17"/>
    </row>
    <row r="3053" spans="1:15" ht="12.75" x14ac:dyDescent="0.2">
      <c r="A3053" s="15"/>
      <c r="B3053" s="15"/>
      <c r="C3053" s="15"/>
      <c r="D3053" s="16"/>
      <c r="E3053" s="16"/>
      <c r="F3053" s="16"/>
      <c r="G3053" s="16"/>
      <c r="H3053" s="16"/>
      <c r="I3053" s="16"/>
      <c r="J3053" s="16"/>
      <c r="K3053" s="17"/>
      <c r="L3053" s="16"/>
      <c r="M3053" s="17"/>
      <c r="N3053" s="17"/>
      <c r="O3053" s="17"/>
    </row>
    <row r="3054" spans="1:15" ht="12.75" x14ac:dyDescent="0.2">
      <c r="A3054" s="15"/>
      <c r="B3054" s="15"/>
      <c r="C3054" s="15"/>
      <c r="D3054" s="16"/>
      <c r="E3054" s="16"/>
      <c r="F3054" s="16"/>
      <c r="G3054" s="16"/>
      <c r="H3054" s="16"/>
      <c r="I3054" s="16"/>
      <c r="J3054" s="16"/>
      <c r="K3054" s="17"/>
      <c r="L3054" s="16"/>
      <c r="M3054" s="17"/>
      <c r="N3054" s="17"/>
      <c r="O3054" s="17"/>
    </row>
    <row r="3055" spans="1:15" ht="12.75" x14ac:dyDescent="0.2">
      <c r="A3055" s="15"/>
      <c r="B3055" s="15"/>
      <c r="C3055" s="15"/>
      <c r="D3055" s="16"/>
      <c r="E3055" s="16"/>
      <c r="F3055" s="16"/>
      <c r="G3055" s="16"/>
      <c r="H3055" s="16"/>
      <c r="I3055" s="16"/>
      <c r="J3055" s="16"/>
      <c r="K3055" s="17"/>
      <c r="L3055" s="16"/>
      <c r="M3055" s="17"/>
      <c r="N3055" s="17"/>
      <c r="O3055" s="17"/>
    </row>
    <row r="3056" spans="1:15" ht="12.75" x14ac:dyDescent="0.2">
      <c r="A3056" s="15"/>
      <c r="B3056" s="15"/>
      <c r="C3056" s="15"/>
      <c r="D3056" s="16"/>
      <c r="E3056" s="16"/>
      <c r="F3056" s="16"/>
      <c r="G3056" s="16"/>
      <c r="H3056" s="16"/>
      <c r="I3056" s="16"/>
      <c r="J3056" s="16"/>
      <c r="K3056" s="17"/>
      <c r="L3056" s="16"/>
      <c r="M3056" s="17"/>
      <c r="N3056" s="17"/>
      <c r="O3056" s="17"/>
    </row>
    <row r="3057" spans="1:15" ht="12.75" x14ac:dyDescent="0.2">
      <c r="A3057" s="15"/>
      <c r="B3057" s="15"/>
      <c r="C3057" s="15"/>
      <c r="D3057" s="16"/>
      <c r="E3057" s="16"/>
      <c r="F3057" s="16"/>
      <c r="G3057" s="16"/>
      <c r="H3057" s="16"/>
      <c r="I3057" s="16"/>
      <c r="J3057" s="16"/>
      <c r="K3057" s="17"/>
      <c r="L3057" s="16"/>
      <c r="M3057" s="17"/>
      <c r="N3057" s="17"/>
      <c r="O3057" s="17"/>
    </row>
    <row r="3058" spans="1:15" ht="12.75" x14ac:dyDescent="0.2">
      <c r="A3058" s="15"/>
      <c r="B3058" s="15"/>
      <c r="C3058" s="15"/>
      <c r="D3058" s="16"/>
      <c r="E3058" s="16"/>
      <c r="F3058" s="16"/>
      <c r="G3058" s="16"/>
      <c r="H3058" s="16"/>
      <c r="I3058" s="16"/>
      <c r="J3058" s="16"/>
      <c r="K3058" s="17"/>
      <c r="L3058" s="16"/>
      <c r="M3058" s="17"/>
      <c r="N3058" s="17"/>
      <c r="O3058" s="17"/>
    </row>
    <row r="3059" spans="1:15" ht="12.75" x14ac:dyDescent="0.2">
      <c r="A3059" s="15"/>
      <c r="B3059" s="15"/>
      <c r="C3059" s="15"/>
      <c r="D3059" s="16"/>
      <c r="E3059" s="16"/>
      <c r="F3059" s="16"/>
      <c r="G3059" s="16"/>
      <c r="H3059" s="16"/>
      <c r="I3059" s="16"/>
      <c r="J3059" s="16"/>
      <c r="K3059" s="17"/>
      <c r="L3059" s="16"/>
      <c r="M3059" s="17"/>
      <c r="N3059" s="17"/>
      <c r="O3059" s="17"/>
    </row>
    <row r="3060" spans="1:15" ht="12.75" x14ac:dyDescent="0.2">
      <c r="A3060" s="15"/>
      <c r="B3060" s="15"/>
      <c r="C3060" s="15"/>
      <c r="D3060" s="16"/>
      <c r="E3060" s="16"/>
      <c r="F3060" s="16"/>
      <c r="G3060" s="16"/>
      <c r="H3060" s="16"/>
      <c r="I3060" s="16"/>
      <c r="J3060" s="16"/>
      <c r="K3060" s="17"/>
      <c r="L3060" s="16"/>
      <c r="M3060" s="17"/>
      <c r="N3060" s="17"/>
      <c r="O3060" s="17"/>
    </row>
    <row r="3061" spans="1:15" ht="12.75" x14ac:dyDescent="0.2">
      <c r="A3061" s="15"/>
      <c r="B3061" s="15"/>
      <c r="C3061" s="15"/>
      <c r="D3061" s="16"/>
      <c r="E3061" s="16"/>
      <c r="F3061" s="16"/>
      <c r="G3061" s="16"/>
      <c r="H3061" s="16"/>
      <c r="I3061" s="16"/>
      <c r="J3061" s="16"/>
      <c r="K3061" s="17"/>
      <c r="L3061" s="16"/>
      <c r="M3061" s="17"/>
      <c r="N3061" s="17"/>
      <c r="O3061" s="17"/>
    </row>
    <row r="3062" spans="1:15" ht="12.75" x14ac:dyDescent="0.2">
      <c r="A3062" s="15"/>
      <c r="B3062" s="15"/>
      <c r="C3062" s="15"/>
      <c r="D3062" s="16"/>
      <c r="E3062" s="16"/>
      <c r="F3062" s="16"/>
      <c r="G3062" s="16"/>
      <c r="H3062" s="16"/>
      <c r="I3062" s="16"/>
      <c r="J3062" s="16"/>
      <c r="K3062" s="17"/>
      <c r="L3062" s="16"/>
      <c r="M3062" s="17"/>
      <c r="N3062" s="17"/>
      <c r="O3062" s="17"/>
    </row>
    <row r="3063" spans="1:15" ht="12.75" x14ac:dyDescent="0.2">
      <c r="A3063" s="15"/>
      <c r="B3063" s="15"/>
      <c r="C3063" s="15"/>
      <c r="D3063" s="16"/>
      <c r="E3063" s="16"/>
      <c r="F3063" s="16"/>
      <c r="G3063" s="16"/>
      <c r="H3063" s="16"/>
      <c r="I3063" s="16"/>
      <c r="J3063" s="16"/>
      <c r="K3063" s="17"/>
      <c r="L3063" s="16"/>
      <c r="M3063" s="17"/>
      <c r="N3063" s="17"/>
      <c r="O3063" s="17"/>
    </row>
    <row r="3064" spans="1:15" ht="12.75" x14ac:dyDescent="0.2">
      <c r="A3064" s="15"/>
      <c r="B3064" s="15"/>
      <c r="C3064" s="15"/>
      <c r="D3064" s="16"/>
      <c r="E3064" s="16"/>
      <c r="F3064" s="16"/>
      <c r="G3064" s="16"/>
      <c r="H3064" s="16"/>
      <c r="I3064" s="16"/>
      <c r="J3064" s="16"/>
      <c r="K3064" s="17"/>
      <c r="L3064" s="16"/>
      <c r="M3064" s="17"/>
      <c r="N3064" s="17"/>
      <c r="O3064" s="17"/>
    </row>
    <row r="3065" spans="1:15" ht="12.75" x14ac:dyDescent="0.2">
      <c r="A3065" s="15"/>
      <c r="B3065" s="15"/>
      <c r="C3065" s="15"/>
      <c r="D3065" s="16"/>
      <c r="E3065" s="16"/>
      <c r="F3065" s="16"/>
      <c r="G3065" s="16"/>
      <c r="H3065" s="16"/>
      <c r="I3065" s="16"/>
      <c r="J3065" s="16"/>
      <c r="K3065" s="17"/>
      <c r="L3065" s="16"/>
      <c r="M3065" s="17"/>
      <c r="N3065" s="17"/>
      <c r="O3065" s="17"/>
    </row>
    <row r="3066" spans="1:15" ht="12.75" x14ac:dyDescent="0.2">
      <c r="A3066" s="15"/>
      <c r="B3066" s="15"/>
      <c r="C3066" s="15"/>
      <c r="D3066" s="16"/>
      <c r="E3066" s="16"/>
      <c r="F3066" s="16"/>
      <c r="G3066" s="16"/>
      <c r="H3066" s="16"/>
      <c r="I3066" s="16"/>
      <c r="J3066" s="16"/>
      <c r="K3066" s="17"/>
      <c r="L3066" s="16"/>
      <c r="M3066" s="17"/>
      <c r="N3066" s="17"/>
      <c r="O3066" s="17"/>
    </row>
    <row r="3067" spans="1:15" ht="12.75" x14ac:dyDescent="0.2">
      <c r="A3067" s="15"/>
      <c r="B3067" s="15"/>
      <c r="C3067" s="15"/>
      <c r="D3067" s="16"/>
      <c r="E3067" s="16"/>
      <c r="F3067" s="16"/>
      <c r="G3067" s="16"/>
      <c r="H3067" s="16"/>
      <c r="I3067" s="16"/>
      <c r="J3067" s="16"/>
      <c r="K3067" s="17"/>
      <c r="L3067" s="16"/>
      <c r="M3067" s="17"/>
      <c r="N3067" s="17"/>
      <c r="O3067" s="17"/>
    </row>
    <row r="3068" spans="1:15" ht="12.75" x14ac:dyDescent="0.2">
      <c r="A3068" s="15"/>
      <c r="B3068" s="15"/>
      <c r="C3068" s="15"/>
      <c r="D3068" s="16"/>
      <c r="E3068" s="16"/>
      <c r="F3068" s="16"/>
      <c r="G3068" s="16"/>
      <c r="H3068" s="16"/>
      <c r="I3068" s="16"/>
      <c r="J3068" s="16"/>
      <c r="K3068" s="17"/>
      <c r="L3068" s="16"/>
      <c r="M3068" s="17"/>
      <c r="N3068" s="17"/>
      <c r="O3068" s="17"/>
    </row>
    <row r="3069" spans="1:15" ht="12.75" x14ac:dyDescent="0.2">
      <c r="A3069" s="15"/>
      <c r="B3069" s="15"/>
      <c r="C3069" s="15"/>
      <c r="D3069" s="16"/>
      <c r="E3069" s="16"/>
      <c r="F3069" s="16"/>
      <c r="G3069" s="16"/>
      <c r="H3069" s="16"/>
      <c r="I3069" s="16"/>
      <c r="J3069" s="16"/>
      <c r="K3069" s="17"/>
      <c r="L3069" s="16"/>
      <c r="M3069" s="17"/>
      <c r="N3069" s="17"/>
      <c r="O3069" s="17"/>
    </row>
    <row r="3070" spans="1:15" ht="12.75" x14ac:dyDescent="0.2">
      <c r="A3070" s="15"/>
      <c r="B3070" s="15"/>
      <c r="C3070" s="15"/>
      <c r="D3070" s="16"/>
      <c r="E3070" s="16"/>
      <c r="F3070" s="16"/>
      <c r="G3070" s="16"/>
      <c r="H3070" s="16"/>
      <c r="I3070" s="16"/>
      <c r="J3070" s="16"/>
      <c r="K3070" s="17"/>
      <c r="L3070" s="16"/>
      <c r="M3070" s="17"/>
      <c r="N3070" s="17"/>
      <c r="O3070" s="17"/>
    </row>
    <row r="3071" spans="1:15" ht="12.75" x14ac:dyDescent="0.2">
      <c r="A3071" s="15"/>
      <c r="B3071" s="15"/>
      <c r="C3071" s="15"/>
      <c r="D3071" s="16"/>
      <c r="E3071" s="16"/>
      <c r="F3071" s="16"/>
      <c r="G3071" s="16"/>
      <c r="H3071" s="16"/>
      <c r="I3071" s="16"/>
      <c r="J3071" s="16"/>
      <c r="K3071" s="17"/>
      <c r="L3071" s="16"/>
      <c r="M3071" s="17"/>
      <c r="N3071" s="17"/>
      <c r="O3071" s="17"/>
    </row>
    <row r="3072" spans="1:15" ht="12.75" x14ac:dyDescent="0.2">
      <c r="A3072" s="15"/>
      <c r="B3072" s="15"/>
      <c r="C3072" s="15"/>
      <c r="D3072" s="16"/>
      <c r="E3072" s="16"/>
      <c r="F3072" s="16"/>
      <c r="G3072" s="16"/>
      <c r="H3072" s="16"/>
      <c r="I3072" s="16"/>
      <c r="J3072" s="16"/>
      <c r="K3072" s="17"/>
      <c r="L3072" s="16"/>
      <c r="M3072" s="17"/>
      <c r="N3072" s="17"/>
      <c r="O3072" s="17"/>
    </row>
    <row r="3073" spans="1:15" ht="12.75" x14ac:dyDescent="0.2">
      <c r="A3073" s="15"/>
      <c r="B3073" s="15"/>
      <c r="C3073" s="15"/>
      <c r="D3073" s="16"/>
      <c r="E3073" s="16"/>
      <c r="F3073" s="16"/>
      <c r="G3073" s="16"/>
      <c r="H3073" s="16"/>
      <c r="I3073" s="16"/>
      <c r="J3073" s="16"/>
      <c r="K3073" s="17"/>
      <c r="L3073" s="16"/>
      <c r="M3073" s="17"/>
      <c r="N3073" s="17"/>
      <c r="O3073" s="17"/>
    </row>
    <row r="3074" spans="1:15" ht="12.75" x14ac:dyDescent="0.2">
      <c r="A3074" s="15"/>
      <c r="B3074" s="15"/>
      <c r="C3074" s="15"/>
      <c r="D3074" s="16"/>
      <c r="E3074" s="16"/>
      <c r="F3074" s="16"/>
      <c r="G3074" s="16"/>
      <c r="H3074" s="16"/>
      <c r="I3074" s="16"/>
      <c r="J3074" s="16"/>
      <c r="K3074" s="17"/>
      <c r="L3074" s="16"/>
      <c r="M3074" s="17"/>
      <c r="N3074" s="17"/>
      <c r="O3074" s="17"/>
    </row>
    <row r="3075" spans="1:15" ht="12.75" x14ac:dyDescent="0.2">
      <c r="A3075" s="15"/>
      <c r="B3075" s="15"/>
      <c r="C3075" s="15"/>
      <c r="D3075" s="16"/>
      <c r="E3075" s="16"/>
      <c r="F3075" s="16"/>
      <c r="G3075" s="16"/>
      <c r="H3075" s="16"/>
      <c r="I3075" s="16"/>
      <c r="J3075" s="16"/>
      <c r="K3075" s="17"/>
      <c r="L3075" s="16"/>
      <c r="M3075" s="17"/>
      <c r="N3075" s="17"/>
      <c r="O3075" s="17"/>
    </row>
    <row r="3076" spans="1:15" ht="12.75" x14ac:dyDescent="0.2">
      <c r="A3076" s="15"/>
      <c r="B3076" s="15"/>
      <c r="C3076" s="15"/>
      <c r="D3076" s="16"/>
      <c r="E3076" s="16"/>
      <c r="F3076" s="16"/>
      <c r="G3076" s="16"/>
      <c r="H3076" s="16"/>
      <c r="I3076" s="16"/>
      <c r="J3076" s="16"/>
      <c r="K3076" s="17"/>
      <c r="L3076" s="16"/>
      <c r="M3076" s="17"/>
      <c r="N3076" s="17"/>
      <c r="O3076" s="17"/>
    </row>
    <row r="3077" spans="1:15" ht="12.75" x14ac:dyDescent="0.2">
      <c r="A3077" s="15"/>
      <c r="B3077" s="15"/>
      <c r="C3077" s="15"/>
      <c r="D3077" s="16"/>
      <c r="E3077" s="16"/>
      <c r="F3077" s="16"/>
      <c r="G3077" s="16"/>
      <c r="H3077" s="16"/>
      <c r="I3077" s="16"/>
      <c r="J3077" s="16"/>
      <c r="K3077" s="17"/>
      <c r="L3077" s="16"/>
      <c r="M3077" s="17"/>
      <c r="N3077" s="17"/>
      <c r="O3077" s="17"/>
    </row>
    <row r="3078" spans="1:15" ht="12.75" x14ac:dyDescent="0.2">
      <c r="A3078" s="15"/>
      <c r="B3078" s="15"/>
      <c r="C3078" s="15"/>
      <c r="D3078" s="16"/>
      <c r="E3078" s="16"/>
      <c r="F3078" s="16"/>
      <c r="G3078" s="16"/>
      <c r="H3078" s="16"/>
      <c r="I3078" s="16"/>
      <c r="J3078" s="16"/>
      <c r="K3078" s="17"/>
      <c r="L3078" s="16"/>
      <c r="M3078" s="17"/>
      <c r="N3078" s="17"/>
      <c r="O3078" s="17"/>
    </row>
    <row r="3079" spans="1:15" ht="12.75" x14ac:dyDescent="0.2">
      <c r="A3079" s="15"/>
      <c r="B3079" s="15"/>
      <c r="C3079" s="15"/>
      <c r="D3079" s="16"/>
      <c r="E3079" s="16"/>
      <c r="F3079" s="16"/>
      <c r="G3079" s="16"/>
      <c r="H3079" s="16"/>
      <c r="I3079" s="16"/>
      <c r="J3079" s="16"/>
      <c r="K3079" s="17"/>
      <c r="L3079" s="16"/>
      <c r="M3079" s="17"/>
      <c r="N3079" s="17"/>
      <c r="O3079" s="17"/>
    </row>
    <row r="3080" spans="1:15" ht="12.75" x14ac:dyDescent="0.2">
      <c r="A3080" s="15"/>
      <c r="B3080" s="15"/>
      <c r="C3080" s="15"/>
      <c r="D3080" s="16"/>
      <c r="E3080" s="16"/>
      <c r="F3080" s="16"/>
      <c r="G3080" s="16"/>
      <c r="H3080" s="16"/>
      <c r="I3080" s="16"/>
      <c r="J3080" s="16"/>
      <c r="K3080" s="17"/>
      <c r="L3080" s="16"/>
      <c r="M3080" s="17"/>
      <c r="N3080" s="17"/>
      <c r="O3080" s="17"/>
    </row>
    <row r="3081" spans="1:15" ht="12.75" x14ac:dyDescent="0.2">
      <c r="A3081" s="15"/>
      <c r="B3081" s="15"/>
      <c r="C3081" s="15"/>
      <c r="D3081" s="16"/>
      <c r="E3081" s="16"/>
      <c r="F3081" s="16"/>
      <c r="G3081" s="16"/>
      <c r="H3081" s="16"/>
      <c r="I3081" s="16"/>
      <c r="J3081" s="16"/>
      <c r="K3081" s="17"/>
      <c r="L3081" s="16"/>
      <c r="M3081" s="17"/>
      <c r="N3081" s="17"/>
      <c r="O3081" s="17"/>
    </row>
    <row r="3082" spans="1:15" ht="12.75" x14ac:dyDescent="0.2">
      <c r="A3082" s="15"/>
      <c r="B3082" s="15"/>
      <c r="C3082" s="15"/>
      <c r="D3082" s="16"/>
      <c r="E3082" s="16"/>
      <c r="F3082" s="16"/>
      <c r="G3082" s="16"/>
      <c r="H3082" s="16"/>
      <c r="I3082" s="16"/>
      <c r="J3082" s="16"/>
      <c r="K3082" s="17"/>
      <c r="L3082" s="16"/>
      <c r="M3082" s="17"/>
      <c r="N3082" s="17"/>
      <c r="O3082" s="17"/>
    </row>
    <row r="3083" spans="1:15" ht="12.75" x14ac:dyDescent="0.2">
      <c r="A3083" s="15"/>
      <c r="B3083" s="15"/>
      <c r="C3083" s="15"/>
      <c r="D3083" s="16"/>
      <c r="E3083" s="16"/>
      <c r="F3083" s="16"/>
      <c r="G3083" s="16"/>
      <c r="H3083" s="16"/>
      <c r="I3083" s="16"/>
      <c r="J3083" s="16"/>
      <c r="K3083" s="17"/>
      <c r="L3083" s="16"/>
      <c r="M3083" s="17"/>
      <c r="N3083" s="17"/>
      <c r="O3083" s="17"/>
    </row>
    <row r="3084" spans="1:15" ht="12.75" x14ac:dyDescent="0.2">
      <c r="A3084" s="15"/>
      <c r="B3084" s="15"/>
      <c r="C3084" s="15"/>
      <c r="D3084" s="16"/>
      <c r="E3084" s="16"/>
      <c r="F3084" s="16"/>
      <c r="G3084" s="16"/>
      <c r="H3084" s="16"/>
      <c r="I3084" s="16"/>
      <c r="J3084" s="16"/>
      <c r="K3084" s="17"/>
      <c r="L3084" s="16"/>
      <c r="M3084" s="17"/>
      <c r="N3084" s="17"/>
      <c r="O3084" s="17"/>
    </row>
    <row r="3085" spans="1:15" ht="12.75" x14ac:dyDescent="0.2">
      <c r="A3085" s="15"/>
      <c r="B3085" s="15"/>
      <c r="C3085" s="15"/>
      <c r="D3085" s="16"/>
      <c r="E3085" s="16"/>
      <c r="F3085" s="16"/>
      <c r="G3085" s="16"/>
      <c r="H3085" s="16"/>
      <c r="I3085" s="16"/>
      <c r="J3085" s="16"/>
      <c r="K3085" s="17"/>
      <c r="L3085" s="16"/>
      <c r="M3085" s="17"/>
      <c r="N3085" s="17"/>
      <c r="O3085" s="17"/>
    </row>
    <row r="3086" spans="1:15" ht="12.75" x14ac:dyDescent="0.2">
      <c r="A3086" s="15"/>
      <c r="B3086" s="15"/>
      <c r="C3086" s="15"/>
      <c r="D3086" s="16"/>
      <c r="E3086" s="16"/>
      <c r="F3086" s="16"/>
      <c r="G3086" s="16"/>
      <c r="H3086" s="16"/>
      <c r="I3086" s="16"/>
      <c r="J3086" s="16"/>
      <c r="K3086" s="17"/>
      <c r="L3086" s="16"/>
      <c r="M3086" s="17"/>
      <c r="N3086" s="17"/>
      <c r="O3086" s="17"/>
    </row>
    <row r="3087" spans="1:15" ht="12.75" x14ac:dyDescent="0.2">
      <c r="A3087" s="15"/>
      <c r="B3087" s="15"/>
      <c r="C3087" s="15"/>
      <c r="D3087" s="16"/>
      <c r="E3087" s="16"/>
      <c r="F3087" s="16"/>
      <c r="G3087" s="16"/>
      <c r="H3087" s="16"/>
      <c r="I3087" s="16"/>
      <c r="J3087" s="16"/>
      <c r="K3087" s="17"/>
      <c r="L3087" s="16"/>
      <c r="M3087" s="17"/>
      <c r="N3087" s="17"/>
      <c r="O3087" s="17"/>
    </row>
    <row r="3088" spans="1:15" ht="12.75" x14ac:dyDescent="0.2">
      <c r="A3088" s="15"/>
      <c r="B3088" s="15"/>
      <c r="C3088" s="15"/>
      <c r="D3088" s="16"/>
      <c r="E3088" s="16"/>
      <c r="F3088" s="16"/>
      <c r="G3088" s="16"/>
      <c r="H3088" s="16"/>
      <c r="I3088" s="16"/>
      <c r="J3088" s="16"/>
      <c r="K3088" s="17"/>
      <c r="L3088" s="16"/>
      <c r="M3088" s="17"/>
      <c r="N3088" s="17"/>
      <c r="O3088" s="17"/>
    </row>
    <row r="3089" spans="1:15" ht="12.75" x14ac:dyDescent="0.2">
      <c r="A3089" s="15"/>
      <c r="B3089" s="15"/>
      <c r="C3089" s="15"/>
      <c r="D3089" s="16"/>
      <c r="E3089" s="16"/>
      <c r="F3089" s="16"/>
      <c r="G3089" s="16"/>
      <c r="H3089" s="16"/>
      <c r="I3089" s="16"/>
      <c r="J3089" s="16"/>
      <c r="K3089" s="17"/>
      <c r="L3089" s="16"/>
      <c r="M3089" s="17"/>
      <c r="N3089" s="17"/>
      <c r="O3089" s="17"/>
    </row>
    <row r="3090" spans="1:15" ht="12.75" x14ac:dyDescent="0.2">
      <c r="A3090" s="15"/>
      <c r="B3090" s="15"/>
      <c r="C3090" s="15"/>
      <c r="D3090" s="16"/>
      <c r="E3090" s="16"/>
      <c r="F3090" s="16"/>
      <c r="G3090" s="16"/>
      <c r="H3090" s="16"/>
      <c r="I3090" s="16"/>
      <c r="J3090" s="16"/>
      <c r="K3090" s="17"/>
      <c r="L3090" s="16"/>
      <c r="M3090" s="17"/>
      <c r="N3090" s="17"/>
      <c r="O3090" s="17"/>
    </row>
    <row r="3091" spans="1:15" ht="12.75" x14ac:dyDescent="0.2">
      <c r="A3091" s="15"/>
      <c r="B3091" s="15"/>
      <c r="C3091" s="15"/>
      <c r="D3091" s="16"/>
      <c r="E3091" s="16"/>
      <c r="F3091" s="16"/>
      <c r="G3091" s="16"/>
      <c r="H3091" s="16"/>
      <c r="I3091" s="16"/>
      <c r="J3091" s="16"/>
      <c r="K3091" s="17"/>
      <c r="L3091" s="16"/>
      <c r="M3091" s="17"/>
      <c r="N3091" s="17"/>
      <c r="O3091" s="17"/>
    </row>
    <row r="3092" spans="1:15" ht="12.75" x14ac:dyDescent="0.2">
      <c r="A3092" s="15"/>
      <c r="B3092" s="15"/>
      <c r="C3092" s="15"/>
      <c r="D3092" s="16"/>
      <c r="E3092" s="16"/>
      <c r="F3092" s="16"/>
      <c r="G3092" s="16"/>
      <c r="H3092" s="16"/>
      <c r="I3092" s="16"/>
      <c r="J3092" s="16"/>
      <c r="K3092" s="17"/>
      <c r="L3092" s="16"/>
      <c r="M3092" s="17"/>
      <c r="N3092" s="17"/>
      <c r="O3092" s="17"/>
    </row>
    <row r="3093" spans="1:15" ht="12.75" x14ac:dyDescent="0.2">
      <c r="A3093" s="15"/>
      <c r="B3093" s="15"/>
      <c r="C3093" s="15"/>
      <c r="D3093" s="16"/>
      <c r="E3093" s="16"/>
      <c r="F3093" s="16"/>
      <c r="G3093" s="16"/>
      <c r="H3093" s="16"/>
      <c r="I3093" s="16"/>
      <c r="J3093" s="16"/>
      <c r="K3093" s="17"/>
      <c r="L3093" s="16"/>
      <c r="M3093" s="17"/>
      <c r="N3093" s="17"/>
      <c r="O3093" s="17"/>
    </row>
    <row r="3094" spans="1:15" ht="12.75" x14ac:dyDescent="0.2">
      <c r="A3094" s="15"/>
      <c r="B3094" s="15"/>
      <c r="C3094" s="15"/>
      <c r="D3094" s="16"/>
      <c r="E3094" s="16"/>
      <c r="F3094" s="16"/>
      <c r="G3094" s="16"/>
      <c r="H3094" s="16"/>
      <c r="I3094" s="16"/>
      <c r="J3094" s="16"/>
      <c r="K3094" s="17"/>
      <c r="L3094" s="16"/>
      <c r="M3094" s="17"/>
      <c r="N3094" s="17"/>
      <c r="O3094" s="17"/>
    </row>
    <row r="3095" spans="1:15" ht="12.75" x14ac:dyDescent="0.2">
      <c r="A3095" s="15"/>
      <c r="B3095" s="15"/>
      <c r="C3095" s="15"/>
      <c r="D3095" s="16"/>
      <c r="E3095" s="16"/>
      <c r="F3095" s="16"/>
      <c r="G3095" s="16"/>
      <c r="H3095" s="16"/>
      <c r="I3095" s="16"/>
      <c r="J3095" s="16"/>
      <c r="K3095" s="17"/>
      <c r="L3095" s="16"/>
      <c r="M3095" s="17"/>
      <c r="N3095" s="17"/>
      <c r="O3095" s="17"/>
    </row>
    <row r="3096" spans="1:15" ht="12.75" x14ac:dyDescent="0.2">
      <c r="A3096" s="15"/>
      <c r="B3096" s="15"/>
      <c r="C3096" s="15"/>
      <c r="D3096" s="16"/>
      <c r="E3096" s="16"/>
      <c r="F3096" s="16"/>
      <c r="G3096" s="16"/>
      <c r="H3096" s="16"/>
      <c r="I3096" s="16"/>
      <c r="J3096" s="16"/>
      <c r="K3096" s="17"/>
      <c r="L3096" s="16"/>
      <c r="M3096" s="17"/>
      <c r="N3096" s="17"/>
      <c r="O3096" s="17"/>
    </row>
    <row r="3097" spans="1:15" ht="12.75" x14ac:dyDescent="0.2">
      <c r="A3097" s="15"/>
      <c r="B3097" s="15"/>
      <c r="C3097" s="15"/>
      <c r="D3097" s="16"/>
      <c r="E3097" s="16"/>
      <c r="F3097" s="16"/>
      <c r="G3097" s="16"/>
      <c r="H3097" s="16"/>
      <c r="I3097" s="16"/>
      <c r="J3097" s="16"/>
      <c r="K3097" s="17"/>
      <c r="L3097" s="16"/>
      <c r="M3097" s="17"/>
      <c r="N3097" s="17"/>
      <c r="O3097" s="17"/>
    </row>
    <row r="3098" spans="1:15" ht="12.75" x14ac:dyDescent="0.2">
      <c r="A3098" s="15"/>
      <c r="B3098" s="15"/>
      <c r="C3098" s="15"/>
      <c r="D3098" s="16"/>
      <c r="E3098" s="16"/>
      <c r="F3098" s="16"/>
      <c r="G3098" s="16"/>
      <c r="H3098" s="16"/>
      <c r="I3098" s="16"/>
      <c r="J3098" s="16"/>
      <c r="K3098" s="17"/>
      <c r="L3098" s="16"/>
      <c r="M3098" s="17"/>
      <c r="N3098" s="17"/>
      <c r="O3098" s="17"/>
    </row>
    <row r="3099" spans="1:15" ht="12.75" x14ac:dyDescent="0.2">
      <c r="A3099" s="15"/>
      <c r="B3099" s="15"/>
      <c r="C3099" s="15"/>
      <c r="D3099" s="16"/>
      <c r="E3099" s="16"/>
      <c r="F3099" s="16"/>
      <c r="G3099" s="16"/>
      <c r="H3099" s="16"/>
      <c r="I3099" s="16"/>
      <c r="J3099" s="16"/>
      <c r="K3099" s="17"/>
      <c r="L3099" s="16"/>
      <c r="M3099" s="17"/>
      <c r="N3099" s="17"/>
      <c r="O3099" s="17"/>
    </row>
    <row r="3100" spans="1:15" ht="12.75" x14ac:dyDescent="0.2">
      <c r="A3100" s="15"/>
      <c r="B3100" s="15"/>
      <c r="C3100" s="15"/>
      <c r="D3100" s="16"/>
      <c r="E3100" s="16"/>
      <c r="F3100" s="16"/>
      <c r="G3100" s="16"/>
      <c r="H3100" s="16"/>
      <c r="I3100" s="16"/>
      <c r="J3100" s="16"/>
      <c r="K3100" s="17"/>
      <c r="L3100" s="16"/>
      <c r="M3100" s="17"/>
      <c r="N3100" s="17"/>
      <c r="O3100" s="17"/>
    </row>
    <row r="3101" spans="1:15" ht="12.75" x14ac:dyDescent="0.2">
      <c r="A3101" s="15"/>
      <c r="B3101" s="15"/>
      <c r="C3101" s="15"/>
      <c r="D3101" s="16"/>
      <c r="E3101" s="16"/>
      <c r="F3101" s="16"/>
      <c r="G3101" s="16"/>
      <c r="H3101" s="16"/>
      <c r="I3101" s="16"/>
      <c r="J3101" s="16"/>
      <c r="K3101" s="17"/>
      <c r="L3101" s="16"/>
      <c r="M3101" s="17"/>
      <c r="N3101" s="17"/>
      <c r="O3101" s="17"/>
    </row>
    <row r="3102" spans="1:15" ht="12.75" x14ac:dyDescent="0.2">
      <c r="A3102" s="15"/>
      <c r="B3102" s="15"/>
      <c r="C3102" s="15"/>
      <c r="D3102" s="16"/>
      <c r="E3102" s="16"/>
      <c r="F3102" s="16"/>
      <c r="G3102" s="16"/>
      <c r="H3102" s="16"/>
      <c r="I3102" s="16"/>
      <c r="J3102" s="16"/>
      <c r="K3102" s="17"/>
      <c r="L3102" s="16"/>
      <c r="M3102" s="17"/>
      <c r="N3102" s="17"/>
      <c r="O3102" s="17"/>
    </row>
    <row r="3103" spans="1:15" ht="12.75" x14ac:dyDescent="0.2">
      <c r="A3103" s="15"/>
      <c r="B3103" s="15"/>
      <c r="C3103" s="15"/>
      <c r="D3103" s="16"/>
      <c r="E3103" s="16"/>
      <c r="F3103" s="16"/>
      <c r="G3103" s="16"/>
      <c r="H3103" s="16"/>
      <c r="I3103" s="16"/>
      <c r="J3103" s="16"/>
      <c r="K3103" s="17"/>
      <c r="L3103" s="16"/>
      <c r="M3103" s="17"/>
      <c r="N3103" s="17"/>
      <c r="O3103" s="17"/>
    </row>
    <row r="3104" spans="1:15" ht="12.75" x14ac:dyDescent="0.2">
      <c r="A3104" s="15"/>
      <c r="B3104" s="15"/>
      <c r="C3104" s="15"/>
      <c r="D3104" s="16"/>
      <c r="E3104" s="16"/>
      <c r="F3104" s="16"/>
      <c r="G3104" s="16"/>
      <c r="H3104" s="16"/>
      <c r="I3104" s="16"/>
      <c r="J3104" s="16"/>
      <c r="K3104" s="17"/>
      <c r="L3104" s="16"/>
      <c r="M3104" s="17"/>
      <c r="N3104" s="17"/>
      <c r="O3104" s="17"/>
    </row>
    <row r="3105" spans="1:15" ht="12.75" x14ac:dyDescent="0.2">
      <c r="A3105" s="15"/>
      <c r="B3105" s="15"/>
      <c r="C3105" s="15"/>
      <c r="D3105" s="16"/>
      <c r="E3105" s="16"/>
      <c r="F3105" s="16"/>
      <c r="G3105" s="16"/>
      <c r="H3105" s="16"/>
      <c r="I3105" s="16"/>
      <c r="J3105" s="16"/>
      <c r="K3105" s="17"/>
      <c r="L3105" s="16"/>
      <c r="M3105" s="17"/>
      <c r="N3105" s="17"/>
      <c r="O3105" s="17"/>
    </row>
    <row r="3106" spans="1:15" ht="12.75" x14ac:dyDescent="0.2">
      <c r="A3106" s="15"/>
      <c r="B3106" s="15"/>
      <c r="C3106" s="15"/>
      <c r="D3106" s="16"/>
      <c r="E3106" s="16"/>
      <c r="F3106" s="16"/>
      <c r="G3106" s="16"/>
      <c r="H3106" s="16"/>
      <c r="I3106" s="16"/>
      <c r="J3106" s="16"/>
      <c r="K3106" s="17"/>
      <c r="L3106" s="16"/>
      <c r="M3106" s="17"/>
      <c r="N3106" s="17"/>
      <c r="O3106" s="17"/>
    </row>
    <row r="3107" spans="1:15" ht="12.75" x14ac:dyDescent="0.2">
      <c r="A3107" s="15"/>
      <c r="B3107" s="15"/>
      <c r="C3107" s="15"/>
      <c r="D3107" s="16"/>
      <c r="E3107" s="16"/>
      <c r="F3107" s="16"/>
      <c r="G3107" s="16"/>
      <c r="H3107" s="16"/>
      <c r="I3107" s="16"/>
      <c r="J3107" s="16"/>
      <c r="K3107" s="17"/>
      <c r="L3107" s="16"/>
      <c r="M3107" s="17"/>
      <c r="N3107" s="17"/>
      <c r="O3107" s="17"/>
    </row>
    <row r="3108" spans="1:15" ht="12.75" x14ac:dyDescent="0.2">
      <c r="A3108" s="15"/>
      <c r="B3108" s="15"/>
      <c r="C3108" s="15"/>
      <c r="D3108" s="16"/>
      <c r="E3108" s="16"/>
      <c r="F3108" s="16"/>
      <c r="G3108" s="16"/>
      <c r="H3108" s="16"/>
      <c r="I3108" s="16"/>
      <c r="J3108" s="16"/>
      <c r="K3108" s="17"/>
      <c r="L3108" s="16"/>
      <c r="M3108" s="17"/>
      <c r="N3108" s="17"/>
      <c r="O3108" s="17"/>
    </row>
    <row r="3109" spans="1:15" ht="12.75" x14ac:dyDescent="0.2">
      <c r="A3109" s="15"/>
      <c r="B3109" s="15"/>
      <c r="C3109" s="15"/>
      <c r="D3109" s="16"/>
      <c r="E3109" s="16"/>
      <c r="F3109" s="16"/>
      <c r="G3109" s="16"/>
      <c r="H3109" s="16"/>
      <c r="I3109" s="16"/>
      <c r="J3109" s="16"/>
      <c r="K3109" s="17"/>
      <c r="L3109" s="16"/>
      <c r="M3109" s="17"/>
      <c r="N3109" s="17"/>
      <c r="O3109" s="17"/>
    </row>
    <row r="3110" spans="1:15" ht="12.75" x14ac:dyDescent="0.2">
      <c r="A3110" s="15"/>
      <c r="B3110" s="15"/>
      <c r="C3110" s="15"/>
      <c r="D3110" s="16"/>
      <c r="E3110" s="16"/>
      <c r="F3110" s="16"/>
      <c r="G3110" s="16"/>
      <c r="H3110" s="16"/>
      <c r="I3110" s="16"/>
      <c r="J3110" s="16"/>
      <c r="K3110" s="17"/>
      <c r="L3110" s="16"/>
      <c r="M3110" s="17"/>
      <c r="N3110" s="17"/>
      <c r="O3110" s="17"/>
    </row>
    <row r="3111" spans="1:15" ht="12.75" x14ac:dyDescent="0.2">
      <c r="A3111" s="15"/>
      <c r="B3111" s="15"/>
      <c r="C3111" s="15"/>
      <c r="D3111" s="16"/>
      <c r="E3111" s="16"/>
      <c r="F3111" s="16"/>
      <c r="G3111" s="16"/>
      <c r="H3111" s="16"/>
      <c r="I3111" s="16"/>
      <c r="J3111" s="16"/>
      <c r="K3111" s="17"/>
      <c r="L3111" s="16"/>
      <c r="M3111" s="17"/>
      <c r="N3111" s="17"/>
      <c r="O3111" s="17"/>
    </row>
    <row r="3112" spans="1:15" ht="12.75" x14ac:dyDescent="0.2">
      <c r="A3112" s="15"/>
      <c r="B3112" s="15"/>
      <c r="C3112" s="15"/>
      <c r="D3112" s="16"/>
      <c r="E3112" s="16"/>
      <c r="F3112" s="16"/>
      <c r="G3112" s="16"/>
      <c r="H3112" s="16"/>
      <c r="I3112" s="16"/>
      <c r="J3112" s="16"/>
      <c r="K3112" s="17"/>
      <c r="L3112" s="16"/>
      <c r="M3112" s="17"/>
      <c r="N3112" s="17"/>
      <c r="O3112" s="17"/>
    </row>
    <row r="3113" spans="1:15" ht="12.75" x14ac:dyDescent="0.2">
      <c r="A3113" s="15"/>
      <c r="B3113" s="15"/>
      <c r="C3113" s="15"/>
      <c r="D3113" s="16"/>
      <c r="E3113" s="16"/>
      <c r="F3113" s="16"/>
      <c r="G3113" s="16"/>
      <c r="H3113" s="16"/>
      <c r="I3113" s="16"/>
      <c r="J3113" s="16"/>
      <c r="K3113" s="17"/>
      <c r="L3113" s="16"/>
      <c r="M3113" s="17"/>
      <c r="N3113" s="17"/>
      <c r="O3113" s="17"/>
    </row>
    <row r="3114" spans="1:15" ht="12.75" x14ac:dyDescent="0.2">
      <c r="A3114" s="15"/>
      <c r="B3114" s="15"/>
      <c r="C3114" s="15"/>
      <c r="D3114" s="16"/>
      <c r="E3114" s="16"/>
      <c r="F3114" s="16"/>
      <c r="G3114" s="16"/>
      <c r="H3114" s="16"/>
      <c r="I3114" s="16"/>
      <c r="J3114" s="16"/>
      <c r="K3114" s="17"/>
      <c r="L3114" s="16"/>
      <c r="M3114" s="17"/>
      <c r="N3114" s="17"/>
      <c r="O3114" s="17"/>
    </row>
    <row r="3115" spans="1:15" ht="12.75" x14ac:dyDescent="0.2">
      <c r="A3115" s="15"/>
      <c r="B3115" s="15"/>
      <c r="C3115" s="15"/>
      <c r="D3115" s="16"/>
      <c r="E3115" s="16"/>
      <c r="F3115" s="16"/>
      <c r="G3115" s="16"/>
      <c r="H3115" s="16"/>
      <c r="I3115" s="16"/>
      <c r="J3115" s="16"/>
      <c r="K3115" s="17"/>
      <c r="L3115" s="16"/>
      <c r="M3115" s="17"/>
      <c r="N3115" s="17"/>
      <c r="O3115" s="17"/>
    </row>
    <row r="3116" spans="1:15" ht="12.75" x14ac:dyDescent="0.2">
      <c r="A3116" s="15"/>
      <c r="B3116" s="15"/>
      <c r="C3116" s="15"/>
      <c r="D3116" s="16"/>
      <c r="E3116" s="16"/>
      <c r="F3116" s="16"/>
      <c r="G3116" s="16"/>
      <c r="H3116" s="16"/>
      <c r="I3116" s="16"/>
      <c r="J3116" s="16"/>
      <c r="K3116" s="17"/>
      <c r="L3116" s="16"/>
      <c r="M3116" s="17"/>
      <c r="N3116" s="17"/>
      <c r="O3116" s="17"/>
    </row>
    <row r="3117" spans="1:15" ht="12.75" x14ac:dyDescent="0.2">
      <c r="A3117" s="15"/>
      <c r="B3117" s="15"/>
      <c r="C3117" s="15"/>
      <c r="D3117" s="16"/>
      <c r="E3117" s="16"/>
      <c r="F3117" s="16"/>
      <c r="G3117" s="16"/>
      <c r="H3117" s="16"/>
      <c r="I3117" s="16"/>
      <c r="J3117" s="16"/>
      <c r="K3117" s="17"/>
      <c r="L3117" s="16"/>
      <c r="M3117" s="17"/>
      <c r="N3117" s="17"/>
      <c r="O3117" s="17"/>
    </row>
    <row r="3118" spans="1:15" ht="12.75" x14ac:dyDescent="0.2">
      <c r="A3118" s="15"/>
      <c r="B3118" s="15"/>
      <c r="C3118" s="15"/>
      <c r="D3118" s="16"/>
      <c r="E3118" s="16"/>
      <c r="F3118" s="16"/>
      <c r="G3118" s="16"/>
      <c r="H3118" s="16"/>
      <c r="I3118" s="16"/>
      <c r="J3118" s="16"/>
      <c r="K3118" s="17"/>
      <c r="L3118" s="16"/>
      <c r="M3118" s="17"/>
      <c r="N3118" s="17"/>
      <c r="O3118" s="17"/>
    </row>
    <row r="3119" spans="1:15" ht="12.75" x14ac:dyDescent="0.2">
      <c r="A3119" s="15"/>
      <c r="B3119" s="15"/>
      <c r="C3119" s="15"/>
      <c r="D3119" s="16"/>
      <c r="E3119" s="16"/>
      <c r="F3119" s="16"/>
      <c r="G3119" s="16"/>
      <c r="H3119" s="16"/>
      <c r="I3119" s="16"/>
      <c r="J3119" s="16"/>
      <c r="K3119" s="17"/>
      <c r="L3119" s="16"/>
      <c r="M3119" s="17"/>
      <c r="N3119" s="17"/>
      <c r="O3119" s="17"/>
    </row>
    <row r="3120" spans="1:15" ht="12.75" x14ac:dyDescent="0.2">
      <c r="A3120" s="15"/>
      <c r="B3120" s="15"/>
      <c r="C3120" s="15"/>
      <c r="D3120" s="16"/>
      <c r="E3120" s="16"/>
      <c r="F3120" s="16"/>
      <c r="G3120" s="16"/>
      <c r="H3120" s="16"/>
      <c r="I3120" s="16"/>
      <c r="J3120" s="16"/>
      <c r="K3120" s="17"/>
      <c r="L3120" s="16"/>
      <c r="M3120" s="17"/>
      <c r="N3120" s="17"/>
      <c r="O3120" s="17"/>
    </row>
    <row r="3121" spans="1:15" ht="12.75" x14ac:dyDescent="0.2">
      <c r="A3121" s="15"/>
      <c r="B3121" s="15"/>
      <c r="C3121" s="15"/>
      <c r="D3121" s="16"/>
      <c r="E3121" s="16"/>
      <c r="F3121" s="16"/>
      <c r="G3121" s="16"/>
      <c r="H3121" s="16"/>
      <c r="I3121" s="16"/>
      <c r="J3121" s="16"/>
      <c r="K3121" s="17"/>
      <c r="L3121" s="16"/>
      <c r="M3121" s="17"/>
      <c r="N3121" s="17"/>
      <c r="O3121" s="17"/>
    </row>
    <row r="3122" spans="1:15" ht="12.75" x14ac:dyDescent="0.2">
      <c r="A3122" s="15"/>
      <c r="B3122" s="15"/>
      <c r="C3122" s="15"/>
      <c r="D3122" s="16"/>
      <c r="E3122" s="16"/>
      <c r="F3122" s="16"/>
      <c r="G3122" s="16"/>
      <c r="H3122" s="16"/>
      <c r="I3122" s="16"/>
      <c r="J3122" s="16"/>
      <c r="K3122" s="17"/>
      <c r="L3122" s="16"/>
      <c r="M3122" s="17"/>
      <c r="N3122" s="17"/>
      <c r="O3122" s="17"/>
    </row>
    <row r="3123" spans="1:15" ht="12.75" x14ac:dyDescent="0.2">
      <c r="A3123" s="15"/>
      <c r="B3123" s="15"/>
      <c r="C3123" s="15"/>
      <c r="D3123" s="16"/>
      <c r="E3123" s="16"/>
      <c r="F3123" s="16"/>
      <c r="G3123" s="16"/>
      <c r="H3123" s="16"/>
      <c r="I3123" s="16"/>
      <c r="J3123" s="16"/>
      <c r="K3123" s="17"/>
      <c r="L3123" s="16"/>
      <c r="M3123" s="17"/>
      <c r="N3123" s="17"/>
      <c r="O3123" s="17"/>
    </row>
    <row r="3124" spans="1:15" ht="12.75" x14ac:dyDescent="0.2">
      <c r="A3124" s="15"/>
      <c r="B3124" s="15"/>
      <c r="C3124" s="15"/>
      <c r="D3124" s="16"/>
      <c r="E3124" s="16"/>
      <c r="F3124" s="16"/>
      <c r="G3124" s="16"/>
      <c r="H3124" s="16"/>
      <c r="I3124" s="16"/>
      <c r="J3124" s="16"/>
      <c r="K3124" s="17"/>
      <c r="L3124" s="16"/>
      <c r="M3124" s="17"/>
      <c r="N3124" s="17"/>
      <c r="O3124" s="17"/>
    </row>
    <row r="3125" spans="1:15" ht="12.75" x14ac:dyDescent="0.2">
      <c r="A3125" s="15"/>
      <c r="B3125" s="15"/>
      <c r="C3125" s="15"/>
      <c r="D3125" s="16"/>
      <c r="E3125" s="16"/>
      <c r="F3125" s="16"/>
      <c r="G3125" s="16"/>
      <c r="H3125" s="16"/>
      <c r="I3125" s="16"/>
      <c r="J3125" s="16"/>
      <c r="K3125" s="17"/>
      <c r="L3125" s="16"/>
      <c r="M3125" s="17"/>
      <c r="N3125" s="17"/>
      <c r="O3125" s="17"/>
    </row>
    <row r="3126" spans="1:15" ht="12.75" x14ac:dyDescent="0.2">
      <c r="A3126" s="15"/>
      <c r="B3126" s="15"/>
      <c r="C3126" s="15"/>
      <c r="D3126" s="16"/>
      <c r="E3126" s="16"/>
      <c r="F3126" s="16"/>
      <c r="G3126" s="16"/>
      <c r="H3126" s="16"/>
      <c r="I3126" s="16"/>
      <c r="J3126" s="16"/>
      <c r="K3126" s="17"/>
      <c r="L3126" s="16"/>
      <c r="M3126" s="17"/>
      <c r="N3126" s="17"/>
      <c r="O3126" s="17"/>
    </row>
    <row r="3127" spans="1:15" ht="12.75" x14ac:dyDescent="0.2">
      <c r="A3127" s="15"/>
      <c r="B3127" s="15"/>
      <c r="C3127" s="15"/>
      <c r="D3127" s="16"/>
      <c r="E3127" s="16"/>
      <c r="F3127" s="16"/>
      <c r="G3127" s="16"/>
      <c r="H3127" s="16"/>
      <c r="I3127" s="16"/>
      <c r="J3127" s="16"/>
      <c r="K3127" s="17"/>
      <c r="L3127" s="16"/>
      <c r="M3127" s="17"/>
      <c r="N3127" s="17"/>
      <c r="O3127" s="17"/>
    </row>
    <row r="3128" spans="1:15" ht="12.75" x14ac:dyDescent="0.2">
      <c r="A3128" s="15"/>
      <c r="B3128" s="15"/>
      <c r="C3128" s="15"/>
      <c r="D3128" s="16"/>
      <c r="E3128" s="16"/>
      <c r="F3128" s="16"/>
      <c r="G3128" s="16"/>
      <c r="H3128" s="16"/>
      <c r="I3128" s="16"/>
      <c r="J3128" s="16"/>
      <c r="K3128" s="17"/>
      <c r="L3128" s="16"/>
      <c r="M3128" s="17"/>
      <c r="N3128" s="17"/>
      <c r="O3128" s="17"/>
    </row>
    <row r="3129" spans="1:15" ht="12.75" x14ac:dyDescent="0.2">
      <c r="A3129" s="15"/>
      <c r="B3129" s="15"/>
      <c r="C3129" s="15"/>
      <c r="D3129" s="16"/>
      <c r="E3129" s="16"/>
      <c r="F3129" s="16"/>
      <c r="G3129" s="16"/>
      <c r="H3129" s="16"/>
      <c r="I3129" s="16"/>
      <c r="J3129" s="16"/>
      <c r="K3129" s="17"/>
      <c r="L3129" s="16"/>
      <c r="M3129" s="17"/>
      <c r="N3129" s="17"/>
      <c r="O3129" s="17"/>
    </row>
    <row r="3130" spans="1:15" ht="12.75" x14ac:dyDescent="0.2">
      <c r="A3130" s="15"/>
      <c r="B3130" s="15"/>
      <c r="C3130" s="15"/>
      <c r="D3130" s="16"/>
      <c r="E3130" s="16"/>
      <c r="F3130" s="16"/>
      <c r="G3130" s="16"/>
      <c r="H3130" s="16"/>
      <c r="I3130" s="16"/>
      <c r="J3130" s="16"/>
      <c r="K3130" s="17"/>
      <c r="L3130" s="16"/>
      <c r="M3130" s="17"/>
      <c r="N3130" s="17"/>
      <c r="O3130" s="17"/>
    </row>
    <row r="3131" spans="1:15" ht="12.75" x14ac:dyDescent="0.2">
      <c r="A3131" s="15"/>
      <c r="B3131" s="15"/>
      <c r="C3131" s="15"/>
      <c r="D3131" s="16"/>
      <c r="E3131" s="16"/>
      <c r="F3131" s="16"/>
      <c r="G3131" s="16"/>
      <c r="H3131" s="16"/>
      <c r="I3131" s="16"/>
      <c r="J3131" s="16"/>
      <c r="K3131" s="17"/>
      <c r="L3131" s="16"/>
      <c r="M3131" s="17"/>
      <c r="N3131" s="17"/>
      <c r="O3131" s="17"/>
    </row>
    <row r="3132" spans="1:15" ht="12.75" x14ac:dyDescent="0.2">
      <c r="A3132" s="15"/>
      <c r="B3132" s="15"/>
      <c r="C3132" s="15"/>
      <c r="D3132" s="16"/>
      <c r="E3132" s="16"/>
      <c r="F3132" s="16"/>
      <c r="G3132" s="16"/>
      <c r="H3132" s="16"/>
      <c r="I3132" s="16"/>
      <c r="J3132" s="16"/>
      <c r="K3132" s="17"/>
      <c r="L3132" s="16"/>
      <c r="M3132" s="17"/>
      <c r="N3132" s="17"/>
      <c r="O3132" s="17"/>
    </row>
    <row r="3133" spans="1:15" ht="12.75" x14ac:dyDescent="0.2">
      <c r="A3133" s="15"/>
      <c r="B3133" s="15"/>
      <c r="C3133" s="15"/>
      <c r="D3133" s="16"/>
      <c r="E3133" s="16"/>
      <c r="F3133" s="16"/>
      <c r="G3133" s="16"/>
      <c r="H3133" s="16"/>
      <c r="I3133" s="16"/>
      <c r="J3133" s="16"/>
      <c r="K3133" s="17"/>
      <c r="L3133" s="16"/>
      <c r="M3133" s="17"/>
      <c r="N3133" s="17"/>
      <c r="O3133" s="17"/>
    </row>
    <row r="3134" spans="1:15" ht="12.75" x14ac:dyDescent="0.2">
      <c r="A3134" s="15"/>
      <c r="B3134" s="15"/>
      <c r="C3134" s="15"/>
      <c r="D3134" s="16"/>
      <c r="E3134" s="16"/>
      <c r="F3134" s="16"/>
      <c r="G3134" s="16"/>
      <c r="H3134" s="16"/>
      <c r="I3134" s="16"/>
      <c r="J3134" s="16"/>
      <c r="K3134" s="17"/>
      <c r="L3134" s="16"/>
      <c r="M3134" s="17"/>
      <c r="N3134" s="17"/>
      <c r="O3134" s="17"/>
    </row>
    <row r="3135" spans="1:15" ht="12.75" x14ac:dyDescent="0.2">
      <c r="A3135" s="15"/>
      <c r="B3135" s="15"/>
      <c r="C3135" s="15"/>
      <c r="D3135" s="16"/>
      <c r="E3135" s="16"/>
      <c r="F3135" s="16"/>
      <c r="G3135" s="16"/>
      <c r="H3135" s="16"/>
      <c r="I3135" s="16"/>
      <c r="J3135" s="16"/>
      <c r="K3135" s="17"/>
      <c r="L3135" s="16"/>
      <c r="M3135" s="17"/>
      <c r="N3135" s="17"/>
      <c r="O3135" s="17"/>
    </row>
    <row r="3136" spans="1:15" ht="12.75" x14ac:dyDescent="0.2">
      <c r="A3136" s="15"/>
      <c r="B3136" s="15"/>
      <c r="C3136" s="15"/>
      <c r="D3136" s="16"/>
      <c r="E3136" s="16"/>
      <c r="F3136" s="16"/>
      <c r="G3136" s="16"/>
      <c r="H3136" s="16"/>
      <c r="I3136" s="16"/>
      <c r="J3136" s="16"/>
      <c r="K3136" s="17"/>
      <c r="L3136" s="16"/>
      <c r="M3136" s="17"/>
      <c r="N3136" s="17"/>
      <c r="O3136" s="17"/>
    </row>
    <row r="3137" spans="1:15" ht="12.75" x14ac:dyDescent="0.2">
      <c r="A3137" s="15"/>
      <c r="B3137" s="15"/>
      <c r="C3137" s="15"/>
      <c r="D3137" s="16"/>
      <c r="E3137" s="16"/>
      <c r="F3137" s="16"/>
      <c r="G3137" s="16"/>
      <c r="H3137" s="16"/>
      <c r="I3137" s="16"/>
      <c r="J3137" s="16"/>
      <c r="K3137" s="17"/>
      <c r="L3137" s="16"/>
      <c r="M3137" s="17"/>
      <c r="N3137" s="17"/>
      <c r="O3137" s="17"/>
    </row>
    <row r="3138" spans="1:15" ht="12.75" x14ac:dyDescent="0.2">
      <c r="A3138" s="15"/>
      <c r="B3138" s="15"/>
      <c r="C3138" s="15"/>
      <c r="D3138" s="16"/>
      <c r="E3138" s="16"/>
      <c r="F3138" s="16"/>
      <c r="G3138" s="16"/>
      <c r="H3138" s="16"/>
      <c r="I3138" s="16"/>
      <c r="J3138" s="16"/>
      <c r="K3138" s="17"/>
      <c r="L3138" s="16"/>
      <c r="M3138" s="17"/>
      <c r="N3138" s="17"/>
      <c r="O3138" s="17"/>
    </row>
    <row r="3139" spans="1:15" ht="12.75" x14ac:dyDescent="0.2">
      <c r="A3139" s="15"/>
      <c r="B3139" s="15"/>
      <c r="C3139" s="15"/>
      <c r="D3139" s="16"/>
      <c r="E3139" s="16"/>
      <c r="F3139" s="16"/>
      <c r="G3139" s="16"/>
      <c r="H3139" s="16"/>
      <c r="I3139" s="16"/>
      <c r="J3139" s="16"/>
      <c r="K3139" s="17"/>
      <c r="L3139" s="16"/>
      <c r="M3139" s="17"/>
      <c r="N3139" s="17"/>
      <c r="O3139" s="17"/>
    </row>
    <row r="3140" spans="1:15" ht="12.75" x14ac:dyDescent="0.2">
      <c r="A3140" s="15"/>
      <c r="B3140" s="15"/>
      <c r="C3140" s="15"/>
      <c r="D3140" s="16"/>
      <c r="E3140" s="16"/>
      <c r="F3140" s="16"/>
      <c r="G3140" s="16"/>
      <c r="H3140" s="16"/>
      <c r="I3140" s="16"/>
      <c r="J3140" s="16"/>
      <c r="K3140" s="17"/>
      <c r="L3140" s="16"/>
      <c r="M3140" s="17"/>
      <c r="N3140" s="17"/>
      <c r="O3140" s="17"/>
    </row>
    <row r="3141" spans="1:15" ht="12.75" x14ac:dyDescent="0.2">
      <c r="A3141" s="15"/>
      <c r="B3141" s="15"/>
      <c r="C3141" s="15"/>
      <c r="D3141" s="16"/>
      <c r="E3141" s="16"/>
      <c r="F3141" s="16"/>
      <c r="G3141" s="16"/>
      <c r="H3141" s="16"/>
      <c r="I3141" s="16"/>
      <c r="J3141" s="16"/>
      <c r="K3141" s="17"/>
      <c r="L3141" s="16"/>
      <c r="M3141" s="17"/>
      <c r="N3141" s="17"/>
      <c r="O3141" s="17"/>
    </row>
    <row r="3142" spans="1:15" ht="12.75" x14ac:dyDescent="0.2">
      <c r="A3142" s="15"/>
      <c r="B3142" s="15"/>
      <c r="C3142" s="15"/>
      <c r="D3142" s="16"/>
      <c r="E3142" s="16"/>
      <c r="F3142" s="16"/>
      <c r="G3142" s="16"/>
      <c r="H3142" s="16"/>
      <c r="I3142" s="16"/>
      <c r="J3142" s="16"/>
      <c r="K3142" s="17"/>
      <c r="L3142" s="16"/>
      <c r="M3142" s="17"/>
      <c r="N3142" s="17"/>
      <c r="O3142" s="17"/>
    </row>
    <row r="3143" spans="1:15" ht="12.75" x14ac:dyDescent="0.2">
      <c r="A3143" s="15"/>
      <c r="B3143" s="15"/>
      <c r="C3143" s="15"/>
      <c r="D3143" s="16"/>
      <c r="E3143" s="16"/>
      <c r="F3143" s="16"/>
      <c r="G3143" s="16"/>
      <c r="H3143" s="16"/>
      <c r="I3143" s="16"/>
      <c r="J3143" s="16"/>
      <c r="K3143" s="17"/>
      <c r="L3143" s="16"/>
      <c r="M3143" s="17"/>
      <c r="N3143" s="17"/>
      <c r="O3143" s="17"/>
    </row>
    <row r="3144" spans="1:15" ht="12.75" x14ac:dyDescent="0.2">
      <c r="A3144" s="15"/>
      <c r="B3144" s="15"/>
      <c r="C3144" s="15"/>
      <c r="D3144" s="16"/>
      <c r="E3144" s="16"/>
      <c r="F3144" s="16"/>
      <c r="G3144" s="16"/>
      <c r="H3144" s="16"/>
      <c r="I3144" s="16"/>
      <c r="J3144" s="16"/>
      <c r="K3144" s="17"/>
      <c r="L3144" s="16"/>
      <c r="M3144" s="17"/>
      <c r="N3144" s="17"/>
      <c r="O3144" s="17"/>
    </row>
  </sheetData>
  <autoFilter ref="A1:O1073" xr:uid="{00000000-0001-0000-0000-000000000000}">
    <sortState xmlns:xlrd2="http://schemas.microsoft.com/office/spreadsheetml/2017/richdata2" ref="A2:O1864">
      <sortCondition descending="1" ref="A1:A1073"/>
    </sortState>
  </autoFilter>
  <hyperlinks>
    <hyperlink ref="J1797" r:id="rId1" xr:uid="{00000000-0004-0000-0000-000089010000}"/>
    <hyperlink ref="J1796" r:id="rId2" xr:uid="{00000000-0004-0000-0000-00008A010000}"/>
    <hyperlink ref="J1772" r:id="rId3" xr:uid="{00000000-0004-0000-0000-00008B010000}"/>
    <hyperlink ref="J1765" r:id="rId4" xr:uid="{00000000-0004-0000-0000-00008C010000}"/>
    <hyperlink ref="J1747" r:id="rId5" xr:uid="{00000000-0004-0000-0000-00008D010000}"/>
    <hyperlink ref="J1735" r:id="rId6" xr:uid="{00000000-0004-0000-0000-00008E010000}"/>
    <hyperlink ref="J1730" r:id="rId7" xr:uid="{00000000-0004-0000-0000-00008F010000}"/>
    <hyperlink ref="J1708" r:id="rId8" xr:uid="{00000000-0004-0000-0000-000090010000}"/>
    <hyperlink ref="J1704" r:id="rId9" xr:uid="{00000000-0004-0000-0000-000091010000}"/>
    <hyperlink ref="J1695" r:id="rId10" xr:uid="{00000000-0004-0000-0000-000092010000}"/>
    <hyperlink ref="J1667" r:id="rId11" xr:uid="{00000000-0004-0000-0000-000093010000}"/>
    <hyperlink ref="J1663" r:id="rId12" xr:uid="{00000000-0004-0000-0000-000094010000}"/>
    <hyperlink ref="J1640" r:id="rId13" xr:uid="{00000000-0004-0000-0000-000095010000}"/>
    <hyperlink ref="J1632" r:id="rId14" xr:uid="{00000000-0004-0000-0000-000096010000}"/>
    <hyperlink ref="J1621" r:id="rId15" xr:uid="{00000000-0004-0000-0000-000097010000}"/>
    <hyperlink ref="J1619" r:id="rId16" xr:uid="{00000000-0004-0000-0000-000098010000}"/>
    <hyperlink ref="J1618" r:id="rId17" xr:uid="{00000000-0004-0000-0000-000099010000}"/>
    <hyperlink ref="J1610" r:id="rId18" xr:uid="{00000000-0004-0000-0000-00009A010000}"/>
    <hyperlink ref="J1598" r:id="rId19" xr:uid="{00000000-0004-0000-0000-00009B010000}"/>
    <hyperlink ref="J1583" r:id="rId20" xr:uid="{00000000-0004-0000-0000-00009C010000}"/>
    <hyperlink ref="J1581" r:id="rId21" xr:uid="{00000000-0004-0000-0000-00009D010000}"/>
    <hyperlink ref="J1578" r:id="rId22" xr:uid="{00000000-0004-0000-0000-00009E010000}"/>
    <hyperlink ref="J1571" r:id="rId23" xr:uid="{00000000-0004-0000-0000-00009F010000}"/>
    <hyperlink ref="J1561" r:id="rId24" xr:uid="{00000000-0004-0000-0000-0000A0010000}"/>
    <hyperlink ref="J1557" r:id="rId25" xr:uid="{00000000-0004-0000-0000-0000A1010000}"/>
    <hyperlink ref="J1534" r:id="rId26" xr:uid="{00000000-0004-0000-0000-0000A2010000}"/>
    <hyperlink ref="J1533" r:id="rId27" xr:uid="{00000000-0004-0000-0000-0000A3010000}"/>
    <hyperlink ref="J1532" r:id="rId28" xr:uid="{00000000-0004-0000-0000-0000A4010000}"/>
    <hyperlink ref="J1522" r:id="rId29" xr:uid="{00000000-0004-0000-0000-0000A5010000}"/>
    <hyperlink ref="J1514" r:id="rId30" xr:uid="{00000000-0004-0000-0000-0000A6010000}"/>
    <hyperlink ref="J1484" r:id="rId31" xr:uid="{00000000-0004-0000-0000-0000A7010000}"/>
    <hyperlink ref="J1480" r:id="rId32" xr:uid="{00000000-0004-0000-0000-0000A8010000}"/>
    <hyperlink ref="J1469" r:id="rId33" xr:uid="{00000000-0004-0000-0000-0000A9010000}"/>
    <hyperlink ref="J1467" r:id="rId34" xr:uid="{00000000-0004-0000-0000-0000AA010000}"/>
    <hyperlink ref="J1466" r:id="rId35" xr:uid="{00000000-0004-0000-0000-0000AB010000}"/>
    <hyperlink ref="J1457" r:id="rId36" xr:uid="{00000000-0004-0000-0000-0000AC010000}"/>
    <hyperlink ref="J1455" r:id="rId37" xr:uid="{00000000-0004-0000-0000-0000AD010000}"/>
    <hyperlink ref="J1450" r:id="rId38" xr:uid="{00000000-0004-0000-0000-0000AE010000}"/>
    <hyperlink ref="J1438" r:id="rId39" xr:uid="{00000000-0004-0000-0000-0000AF010000}"/>
    <hyperlink ref="J1428" r:id="rId40" xr:uid="{00000000-0004-0000-0000-0000B0010000}"/>
    <hyperlink ref="J1427" r:id="rId41" xr:uid="{00000000-0004-0000-0000-0000B1010000}"/>
    <hyperlink ref="J1423" r:id="rId42" xr:uid="{00000000-0004-0000-0000-0000B2010000}"/>
    <hyperlink ref="J1422" r:id="rId43" xr:uid="{00000000-0004-0000-0000-0000B3010000}"/>
    <hyperlink ref="J1412" r:id="rId44" xr:uid="{00000000-0004-0000-0000-0000B4010000}"/>
    <hyperlink ref="J1411" r:id="rId45" xr:uid="{00000000-0004-0000-0000-0000B5010000}"/>
    <hyperlink ref="J1408" r:id="rId46" xr:uid="{00000000-0004-0000-0000-0000B6010000}"/>
    <hyperlink ref="J1394" r:id="rId47" xr:uid="{00000000-0004-0000-0000-0000B7010000}"/>
    <hyperlink ref="J1383" r:id="rId48" xr:uid="{00000000-0004-0000-0000-0000B8010000}"/>
    <hyperlink ref="J1382" r:id="rId49" xr:uid="{00000000-0004-0000-0000-0000B9010000}"/>
    <hyperlink ref="J1378" r:id="rId50" xr:uid="{00000000-0004-0000-0000-0000BA010000}"/>
    <hyperlink ref="J1377" r:id="rId51" xr:uid="{00000000-0004-0000-0000-0000BB010000}"/>
    <hyperlink ref="J1370" r:id="rId52" xr:uid="{00000000-0004-0000-0000-0000BC010000}"/>
    <hyperlink ref="J1368" r:id="rId53" xr:uid="{00000000-0004-0000-0000-0000BD010000}"/>
    <hyperlink ref="J1347" r:id="rId54" xr:uid="{00000000-0004-0000-0000-0000BE010000}"/>
    <hyperlink ref="J1339" r:id="rId55" xr:uid="{00000000-0004-0000-0000-0000BF010000}"/>
    <hyperlink ref="J1322" r:id="rId56" xr:uid="{00000000-0004-0000-0000-0000C1010000}"/>
    <hyperlink ref="J1318" r:id="rId57" xr:uid="{00000000-0004-0000-0000-0000C2010000}"/>
    <hyperlink ref="J1312" r:id="rId58" xr:uid="{00000000-0004-0000-0000-0000C3010000}"/>
    <hyperlink ref="J1311" r:id="rId59" xr:uid="{00000000-0004-0000-0000-0000C4010000}"/>
    <hyperlink ref="J1308" r:id="rId60" xr:uid="{00000000-0004-0000-0000-0000C5010000}"/>
    <hyperlink ref="J1307" r:id="rId61" xr:uid="{00000000-0004-0000-0000-0000C6010000}"/>
    <hyperlink ref="J1309" r:id="rId62" xr:uid="{00000000-0004-0000-0000-0000C7010000}"/>
    <hyperlink ref="J1279" r:id="rId63" xr:uid="{00000000-0004-0000-0000-0000C8010000}"/>
    <hyperlink ref="J1266" r:id="rId64" xr:uid="{00000000-0004-0000-0000-0000C9010000}"/>
    <hyperlink ref="J1258" r:id="rId65" xr:uid="{00000000-0004-0000-0000-0000CA010000}"/>
    <hyperlink ref="J1242" r:id="rId66" xr:uid="{00000000-0004-0000-0000-0000CB010000}"/>
    <hyperlink ref="J1230" r:id="rId67" xr:uid="{00000000-0004-0000-0000-0000CC010000}"/>
    <hyperlink ref="J1226" r:id="rId68" xr:uid="{00000000-0004-0000-0000-0000CD010000}"/>
    <hyperlink ref="J1221" r:id="rId69" xr:uid="{00000000-0004-0000-0000-0000CE010000}"/>
    <hyperlink ref="J1209" r:id="rId70" xr:uid="{00000000-0004-0000-0000-0000D0010000}"/>
    <hyperlink ref="J1199" r:id="rId71" xr:uid="{00000000-0004-0000-0000-0000D1010000}"/>
    <hyperlink ref="J1196" r:id="rId72" xr:uid="{00000000-0004-0000-0000-0000D2010000}"/>
    <hyperlink ref="J1186" r:id="rId73" xr:uid="{00000000-0004-0000-0000-0000D3010000}"/>
    <hyperlink ref="J1174" r:id="rId74" xr:uid="{00000000-0004-0000-0000-0000D4010000}"/>
    <hyperlink ref="J1172" r:id="rId75" xr:uid="{00000000-0004-0000-0000-0000D5010000}"/>
    <hyperlink ref="J1168" r:id="rId76" xr:uid="{00000000-0004-0000-0000-0000D6010000}"/>
    <hyperlink ref="J1162" r:id="rId77" xr:uid="{00000000-0004-0000-0000-0000D7010000}"/>
    <hyperlink ref="J1156" r:id="rId78" xr:uid="{00000000-0004-0000-0000-0000D8010000}"/>
    <hyperlink ref="J1146" r:id="rId79" xr:uid="{00000000-0004-0000-0000-0000D9010000}"/>
    <hyperlink ref="J1151" r:id="rId80" xr:uid="{00000000-0004-0000-0000-0000DA010000}"/>
    <hyperlink ref="J1149" r:id="rId81" xr:uid="{00000000-0004-0000-0000-0000DB010000}"/>
    <hyperlink ref="J1147" r:id="rId82" xr:uid="{00000000-0004-0000-0000-0000DC010000}"/>
    <hyperlink ref="J1145" r:id="rId83" xr:uid="{00000000-0004-0000-0000-0000DD010000}"/>
    <hyperlink ref="J1144" r:id="rId84" xr:uid="{00000000-0004-0000-0000-0000DE010000}"/>
    <hyperlink ref="J1143" r:id="rId85" xr:uid="{00000000-0004-0000-0000-0000DF010000}"/>
    <hyperlink ref="J1141" r:id="rId86" xr:uid="{00000000-0004-0000-0000-0000E0010000}"/>
    <hyperlink ref="J1139" r:id="rId87" xr:uid="{00000000-0004-0000-0000-0000E1010000}"/>
    <hyperlink ref="J1125" r:id="rId88" xr:uid="{00000000-0004-0000-0000-0000E2010000}"/>
    <hyperlink ref="K1807" r:id="rId89" xr:uid="{B853B3B2-A614-4A0A-87DE-2A240A43CC36}"/>
    <hyperlink ref="K1845" r:id="rId90" xr:uid="{083FEB70-DDB9-4DEB-A666-9D9D7387022E}"/>
    <hyperlink ref="K1849" r:id="rId91" xr:uid="{DB032336-96FF-4815-80F1-9301FD211D4A}"/>
    <hyperlink ref="K1850" r:id="rId92" xr:uid="{D0C28D63-5182-4896-A6F4-11C9CFF6F655}"/>
    <hyperlink ref="K1851" r:id="rId93" xr:uid="{D892B434-0062-4C4F-8BD8-F920A1231C33}"/>
    <hyperlink ref="K1853" r:id="rId94" xr:uid="{279AEDA9-1BC2-4A15-AEFD-A57BE44BB8CB}"/>
    <hyperlink ref="K1857" r:id="rId95" xr:uid="{EF1E2039-0745-4860-A0C2-5AA515D98B52}"/>
    <hyperlink ref="K1858" r:id="rId96" xr:uid="{BAD40159-BCA7-403F-B1F9-C1D814F0D939}"/>
    <hyperlink ref="K1859" r:id="rId97" xr:uid="{16142459-72DA-4DE0-9213-5F058FCE99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967EB-95E3-4A16-981A-1ACC3E05B941}">
  <dimension ref="A19:H25"/>
  <sheetViews>
    <sheetView workbookViewId="0">
      <selection activeCell="B24" sqref="B24"/>
    </sheetView>
  </sheetViews>
  <sheetFormatPr baseColWidth="10" defaultRowHeight="12.75" x14ac:dyDescent="0.2"/>
  <cols>
    <col min="1" max="1" width="17.85546875" bestFit="1" customWidth="1"/>
    <col min="2" max="2" width="20.85546875" bestFit="1" customWidth="1"/>
    <col min="7" max="7" width="17.85546875" bestFit="1" customWidth="1"/>
    <col min="8" max="8" width="20.85546875" bestFit="1" customWidth="1"/>
  </cols>
  <sheetData>
    <row r="19" spans="1:8" x14ac:dyDescent="0.2">
      <c r="A19" s="19" t="s">
        <v>2566</v>
      </c>
      <c r="B19" t="s">
        <v>3370</v>
      </c>
      <c r="G19" s="19" t="s">
        <v>2566</v>
      </c>
      <c r="H19" t="s">
        <v>3370</v>
      </c>
    </row>
    <row r="20" spans="1:8" x14ac:dyDescent="0.2">
      <c r="A20" s="19" t="s">
        <v>2779</v>
      </c>
      <c r="B20" s="20">
        <v>4</v>
      </c>
      <c r="G20" s="19" t="s">
        <v>2779</v>
      </c>
      <c r="H20" s="20">
        <v>4</v>
      </c>
    </row>
    <row r="22" spans="1:8" x14ac:dyDescent="0.2">
      <c r="A22" s="19" t="s">
        <v>2563</v>
      </c>
      <c r="B22" t="s">
        <v>2565</v>
      </c>
      <c r="G22" s="19" t="s">
        <v>2563</v>
      </c>
      <c r="H22" t="s">
        <v>2567</v>
      </c>
    </row>
    <row r="23" spans="1:8" x14ac:dyDescent="0.2">
      <c r="A23" s="20" t="s">
        <v>12</v>
      </c>
      <c r="B23">
        <v>41</v>
      </c>
      <c r="G23" s="20" t="s">
        <v>13</v>
      </c>
      <c r="H23">
        <v>41</v>
      </c>
    </row>
    <row r="24" spans="1:8" x14ac:dyDescent="0.2">
      <c r="A24" s="20" t="s">
        <v>71</v>
      </c>
      <c r="B24">
        <v>5</v>
      </c>
      <c r="G24" s="20" t="s">
        <v>22</v>
      </c>
      <c r="H24">
        <v>5</v>
      </c>
    </row>
    <row r="25" spans="1:8" x14ac:dyDescent="0.2">
      <c r="A25" s="20" t="s">
        <v>2564</v>
      </c>
      <c r="B25">
        <v>46</v>
      </c>
      <c r="G25" s="20" t="s">
        <v>2564</v>
      </c>
      <c r="H25">
        <v>46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B993"/>
  <sheetViews>
    <sheetView workbookViewId="0"/>
  </sheetViews>
  <sheetFormatPr baseColWidth="10" defaultColWidth="12.5703125" defaultRowHeight="15.75" customHeight="1" x14ac:dyDescent="0.2"/>
  <sheetData>
    <row r="3" spans="1:2" x14ac:dyDescent="0.2">
      <c r="A3" s="18">
        <f ca="1">IFERROR(__xludf.DUMMYFUNCTION("QUERY('Hoja 1'!E1:E1000, ""SELECT * WHERE E=69520 OR E='69520' LIMIT 1"", 0)"),69520)</f>
        <v>69520</v>
      </c>
      <c r="B3" s="18" t="e">
        <f ca="1">MATCH(A3,'Hoja 1'!G1:G892,0)</f>
        <v>#N/A</v>
      </c>
    </row>
    <row r="6" spans="1:2" x14ac:dyDescent="0.2">
      <c r="A6" s="18">
        <f ca="1">IFERROR(__xludf.DUMMYFUNCTION("QUERY('Hoja 1'!E1:E1000, ""SELECT * WHERE E=69520 OR E='69520' LIMIT 1"", 0)"),69520)</f>
        <v>69520</v>
      </c>
      <c r="B6" s="18" t="e">
        <f ca="1">MATCH(A6,'Hoja 1'!G1:G892,0)</f>
        <v>#N/A</v>
      </c>
    </row>
    <row r="9" spans="1:2" x14ac:dyDescent="0.2">
      <c r="A9" s="18">
        <f ca="1">IFERROR(__xludf.DUMMYFUNCTION("QUERY('Hoja 1'!E1:E1000, ""SELECT * WHERE E=69520 OR E='69520' LIMIT 1"", 0)"),69520)</f>
        <v>69520</v>
      </c>
      <c r="B9" s="18" t="e">
        <f ca="1">MATCH(A9,'Hoja 1'!G1:G892,0)</f>
        <v>#N/A</v>
      </c>
    </row>
    <row r="12" spans="1:2" x14ac:dyDescent="0.2">
      <c r="A12" s="18">
        <f ca="1">IFERROR(__xludf.DUMMYFUNCTION("QUERY('Hoja 1'!E1:E1000, ""SELECT * WHERE E=69520 OR E='69520' LIMIT 1"", 0)"),69520)</f>
        <v>69520</v>
      </c>
      <c r="B12" s="18" t="e">
        <f ca="1">MATCH(A12,'Hoja 1'!G1:G892,0)</f>
        <v>#N/A</v>
      </c>
    </row>
    <row r="15" spans="1:2" x14ac:dyDescent="0.2">
      <c r="A15" s="18">
        <f ca="1">IFERROR(__xludf.DUMMYFUNCTION("QUERY('Hoja 1'!E1:E1000, ""SELECT * WHERE E=69520 OR E='69520' LIMIT 1"", 0)"),69520)</f>
        <v>69520</v>
      </c>
      <c r="B15" s="18" t="e">
        <f ca="1">MATCH(A15,'Hoja 1'!G1:G892,0)</f>
        <v>#N/A</v>
      </c>
    </row>
    <row r="18" spans="1:2" x14ac:dyDescent="0.2">
      <c r="A18" s="18">
        <f ca="1">IFERROR(__xludf.DUMMYFUNCTION("QUERY('Hoja 1'!E1:E1000, ""SELECT * WHERE E=69651 OR E='69651' LIMIT 1"", 0)"),69651)</f>
        <v>69651</v>
      </c>
      <c r="B18" s="18" t="e">
        <f ca="1">MATCH(A18,'Hoja 1'!G1:G892,0)</f>
        <v>#N/A</v>
      </c>
    </row>
    <row r="21" spans="1:2" x14ac:dyDescent="0.2">
      <c r="A21" s="18">
        <f ca="1">IFERROR(__xludf.DUMMYFUNCTION("QUERY('Hoja 1'!E1:E1000, ""SELECT * WHERE E=69651 OR E='69651' LIMIT 1"", 0)"),69651)</f>
        <v>69651</v>
      </c>
      <c r="B21" s="18" t="e">
        <f ca="1">MATCH(A21,'Hoja 1'!G1:G892,0)</f>
        <v>#N/A</v>
      </c>
    </row>
    <row r="24" spans="1:2" x14ac:dyDescent="0.2">
      <c r="A24" s="18">
        <f ca="1">IFERROR(__xludf.DUMMYFUNCTION("QUERY('Hoja 1'!E1:E1000, ""SELECT * WHERE E=69688 OR E='69688' LIMIT 1"", 0)"),69688)</f>
        <v>69688</v>
      </c>
      <c r="B24" s="18" t="e">
        <f ca="1">MATCH(A24,'Hoja 1'!G1:G892,0)</f>
        <v>#N/A</v>
      </c>
    </row>
    <row r="27" spans="1:2" x14ac:dyDescent="0.2">
      <c r="A27" s="18">
        <f ca="1">IFERROR(__xludf.DUMMYFUNCTION("QUERY('Hoja 1'!E1:E1000, ""SELECT * WHERE E=69651 OR E='69651' LIMIT 1"", 0)"),69651)</f>
        <v>69651</v>
      </c>
      <c r="B27" s="18" t="e">
        <f ca="1">MATCH(A27,'Hoja 1'!G1:G892,0)</f>
        <v>#N/A</v>
      </c>
    </row>
    <row r="30" spans="1:2" x14ac:dyDescent="0.2">
      <c r="A30" s="18">
        <f ca="1">IFERROR(__xludf.DUMMYFUNCTION("QUERY('Hoja 1'!E1:E1000, ""SELECT * WHERE E=69688 OR E='69688' LIMIT 1"", 0)"),69688)</f>
        <v>69688</v>
      </c>
      <c r="B30" s="18" t="e">
        <f ca="1">MATCH(A30,'Hoja 1'!G1:G892,0)</f>
        <v>#N/A</v>
      </c>
    </row>
    <row r="33" spans="1:2" x14ac:dyDescent="0.2">
      <c r="A33" s="18">
        <f ca="1">IFERROR(__xludf.DUMMYFUNCTION("QUERY('Hoja 1'!E1:E1000, ""SELECT * WHERE E=69651 OR E='69651' LIMIT 1"", 0)"),69651)</f>
        <v>69651</v>
      </c>
      <c r="B33" s="18" t="e">
        <f ca="1">MATCH(A33,'Hoja 1'!G1:G892,0)</f>
        <v>#N/A</v>
      </c>
    </row>
    <row r="36" spans="1:2" x14ac:dyDescent="0.2">
      <c r="A36" s="18">
        <f ca="1">IFERROR(__xludf.DUMMYFUNCTION("QUERY('Hoja 1'!E1:E1000, ""SELECT * WHERE E=69651 OR E='69651' LIMIT 1"", 0)"),69651)</f>
        <v>69651</v>
      </c>
      <c r="B36" s="18" t="e">
        <f ca="1">MATCH(A36,'Hoja 1'!G1:G892,0)</f>
        <v>#N/A</v>
      </c>
    </row>
    <row r="39" spans="1:2" x14ac:dyDescent="0.2">
      <c r="A39" s="18">
        <f ca="1">IFERROR(__xludf.DUMMYFUNCTION("QUERY('Hoja 1'!E1:E1000, ""SELECT * WHERE E=69990 OR E='69990' LIMIT 1"", 0)"),69990)</f>
        <v>69990</v>
      </c>
      <c r="B39" s="18" t="e">
        <f ca="1">MATCH(A39,'Hoja 1'!G1:G892,0)</f>
        <v>#N/A</v>
      </c>
    </row>
    <row r="42" spans="1:2" x14ac:dyDescent="0.2">
      <c r="A42" s="18">
        <f ca="1">IFERROR(__xludf.DUMMYFUNCTION("QUERY('Hoja 1'!E1:E1000, ""SELECT * WHERE E=69990 OR E='69990' LIMIT 1"", 0)"),69990)</f>
        <v>69990</v>
      </c>
      <c r="B42" s="18" t="e">
        <f ca="1">MATCH(A42,'Hoja 1'!G1:G892,0)</f>
        <v>#N/A</v>
      </c>
    </row>
    <row r="45" spans="1:2" x14ac:dyDescent="0.2">
      <c r="A45" s="18">
        <f ca="1">IFERROR(__xludf.DUMMYFUNCTION("QUERY('Hoja 1'!E1:E1000, ""SELECT * WHERE E=69990 OR E='69990' LIMIT 1"", 0)"),69990)</f>
        <v>69990</v>
      </c>
      <c r="B45" s="18" t="e">
        <f ca="1">MATCH(A45,'Hoja 1'!G1:G892,0)</f>
        <v>#N/A</v>
      </c>
    </row>
    <row r="48" spans="1:2" x14ac:dyDescent="0.2">
      <c r="A48" s="18">
        <f ca="1">IFERROR(__xludf.DUMMYFUNCTION("QUERY('Hoja 1'!E1:E1000, ""SELECT * WHERE E=69933 OR E='69933' LIMIT 1"", 0)"),69933)</f>
        <v>69933</v>
      </c>
      <c r="B48" s="18" t="e">
        <f ca="1">MATCH(A48,'Hoja 1'!G1:G892,0)</f>
        <v>#N/A</v>
      </c>
    </row>
    <row r="51" spans="1:2" x14ac:dyDescent="0.2">
      <c r="A51" s="18">
        <f ca="1">IFERROR(__xludf.DUMMYFUNCTION("QUERY('Hoja 1'!E1:E1000, ""SELECT * WHERE E=69933 OR E='69933' LIMIT 1"", 0)"),69933)</f>
        <v>69933</v>
      </c>
      <c r="B51" s="18" t="e">
        <f ca="1">MATCH(A51,'Hoja 1'!G1:G892,0)</f>
        <v>#N/A</v>
      </c>
    </row>
    <row r="54" spans="1:2" x14ac:dyDescent="0.2">
      <c r="A54" s="18">
        <f ca="1">IFERROR(__xludf.DUMMYFUNCTION("QUERY('Hoja 1'!E1:E1000, ""SELECT * WHERE E=70281 OR E='70281' LIMIT 1"", 0)"),70281)</f>
        <v>70281</v>
      </c>
      <c r="B54" s="18" t="e">
        <f ca="1">MATCH(A54,'Hoja 1'!G1:G892,0)</f>
        <v>#N/A</v>
      </c>
    </row>
    <row r="57" spans="1:2" x14ac:dyDescent="0.2">
      <c r="A57" s="18">
        <f ca="1">IFERROR(__xludf.DUMMYFUNCTION("QUERY('Hoja 1'!E1:E1000, ""SELECT * WHERE E=70281 OR E='70281' LIMIT 1"", 0)"),70281)</f>
        <v>70281</v>
      </c>
      <c r="B57" s="18" t="e">
        <f ca="1">MATCH(A57,'Hoja 1'!G1:G892,0)</f>
        <v>#N/A</v>
      </c>
    </row>
    <row r="60" spans="1:2" x14ac:dyDescent="0.2">
      <c r="A60" s="18">
        <f ca="1">IFERROR(__xludf.DUMMYFUNCTION("QUERY('Hoja 1'!E1:E1000, ""SELECT * WHERE E=70261 OR E='70261' LIMIT 1"", 0)"),70261)</f>
        <v>70261</v>
      </c>
      <c r="B60" s="18" t="e">
        <f ca="1">MATCH(A60,'Hoja 1'!G1:G892,0)</f>
        <v>#N/A</v>
      </c>
    </row>
    <row r="63" spans="1:2" x14ac:dyDescent="0.2">
      <c r="A63" s="18">
        <f ca="1">IFERROR(__xludf.DUMMYFUNCTION("QUERY('Hoja 1'!E1:E1000, ""SELECT * WHERE E=68840 OR E='68840' LIMIT 1"", 0)"),68840)</f>
        <v>68840</v>
      </c>
      <c r="B63" s="18" t="e">
        <f ca="1">MATCH(A63,'Hoja 1'!G1:G892,0)</f>
        <v>#N/A</v>
      </c>
    </row>
    <row r="66" spans="1:2" x14ac:dyDescent="0.2">
      <c r="A66" s="18">
        <f ca="1">IFERROR(__xludf.DUMMYFUNCTION("QUERY('Hoja 1'!E1:E1000, ""SELECT * WHERE E=70261 OR E='70261' LIMIT 1"", 0)"),70261)</f>
        <v>70261</v>
      </c>
      <c r="B66" s="18" t="e">
        <f ca="1">MATCH(A66,'Hoja 1'!G1:G892,0)</f>
        <v>#N/A</v>
      </c>
    </row>
    <row r="69" spans="1:2" x14ac:dyDescent="0.2">
      <c r="A69" s="18">
        <f ca="1">IFERROR(__xludf.DUMMYFUNCTION("QUERY('Hoja 1'!E1:E1000, ""SELECT * WHERE E=70261 OR E='70261' LIMIT 1"", 0)"),70261)</f>
        <v>70261</v>
      </c>
      <c r="B69" s="18" t="e">
        <f ca="1">MATCH(A69,'Hoja 1'!G1:G892,0)</f>
        <v>#N/A</v>
      </c>
    </row>
    <row r="72" spans="1:2" x14ac:dyDescent="0.2">
      <c r="A72" s="18">
        <f ca="1">IFERROR(__xludf.DUMMYFUNCTION("QUERY('Hoja 1'!E1:E1000, ""SELECT * WHERE E=68840 OR E='68840' LIMIT 1"", 0)"),68840)</f>
        <v>68840</v>
      </c>
      <c r="B72" s="18" t="e">
        <f ca="1">MATCH(A72,'Hoja 1'!G1:G892,0)</f>
        <v>#N/A</v>
      </c>
    </row>
    <row r="75" spans="1:2" x14ac:dyDescent="0.2">
      <c r="A75" s="18">
        <f ca="1">IFERROR(__xludf.DUMMYFUNCTION("QUERY('Hoja 1'!E1:E1000, ""SELECT * WHERE E=70261 OR E='70261' LIMIT 1"", 0)"),70261)</f>
        <v>70261</v>
      </c>
      <c r="B75" s="18" t="e">
        <f ca="1">MATCH(A75,'Hoja 1'!G1:G892,0)</f>
        <v>#N/A</v>
      </c>
    </row>
    <row r="78" spans="1:2" x14ac:dyDescent="0.2">
      <c r="A78" s="18">
        <f ca="1">IFERROR(__xludf.DUMMYFUNCTION("QUERY('Hoja 1'!E1:E1000, ""SELECT * WHERE E=68840 OR E='68840' LIMIT 1"", 0)"),68840)</f>
        <v>68840</v>
      </c>
      <c r="B78" s="18" t="e">
        <f ca="1">MATCH(A78,'Hoja 1'!G1:G892,0)</f>
        <v>#N/A</v>
      </c>
    </row>
    <row r="81" spans="1:2" x14ac:dyDescent="0.2">
      <c r="A81" s="18">
        <f ca="1">IFERROR(__xludf.DUMMYFUNCTION("QUERY('Hoja 1'!E1:E1000, ""SELECT * WHERE E=70188 OR E='70188' LIMIT 1"", 0)"),70188)</f>
        <v>70188</v>
      </c>
      <c r="B81" s="18" t="e">
        <f ca="1">MATCH(A81,'Hoja 1'!G1:G892,0)</f>
        <v>#N/A</v>
      </c>
    </row>
    <row r="84" spans="1:2" x14ac:dyDescent="0.2">
      <c r="A84" s="18">
        <f ca="1">IFERROR(__xludf.DUMMYFUNCTION("QUERY('Hoja 1'!E1:E1000, ""SELECT * WHERE E=67274 OR E='67274' LIMIT 1"", 0)"),67274)</f>
        <v>67274</v>
      </c>
      <c r="B84" s="18" t="e">
        <f ca="1">MATCH(A84,'Hoja 1'!G1:G892,0)</f>
        <v>#N/A</v>
      </c>
    </row>
    <row r="87" spans="1:2" x14ac:dyDescent="0.2">
      <c r="A87" s="18">
        <f ca="1">IFERROR(__xludf.DUMMYFUNCTION("QUERY('Hoja 1'!E1:E1000, ""SELECT * WHERE E=67274 OR E='67274' LIMIT 1"", 0)"),67274)</f>
        <v>67274</v>
      </c>
      <c r="B87" s="18" t="e">
        <f ca="1">MATCH(A87,'Hoja 1'!G1:G892,0)</f>
        <v>#N/A</v>
      </c>
    </row>
    <row r="90" spans="1:2" x14ac:dyDescent="0.2">
      <c r="A90" s="18">
        <f ca="1">IFERROR(__xludf.DUMMYFUNCTION("QUERY('Hoja 1'!E1:E1000, ""SELECT * WHERE E=67274 OR E='67274' LIMIT 1"", 0)"),67274)</f>
        <v>67274</v>
      </c>
      <c r="B90" s="18" t="e">
        <f ca="1">MATCH(A90,'Hoja 1'!G1:G892,0)</f>
        <v>#N/A</v>
      </c>
    </row>
    <row r="93" spans="1:2" x14ac:dyDescent="0.2">
      <c r="A93" s="18">
        <f ca="1">IFERROR(__xludf.DUMMYFUNCTION("QUERY('Hoja 1'!E1:E1000, ""SELECT * WHERE E=67933 OR E='67933' LIMIT 1"", 0)"),67933)</f>
        <v>67933</v>
      </c>
      <c r="B93" s="18" t="e">
        <f ca="1">MATCH(A93,'Hoja 1'!G1:G892,0)</f>
        <v>#N/A</v>
      </c>
    </row>
    <row r="96" spans="1:2" x14ac:dyDescent="0.2">
      <c r="A96" s="18">
        <f ca="1">IFERROR(__xludf.DUMMYFUNCTION("QUERY('Hoja 1'!E1:E1000, ""SELECT * WHERE E=67933 OR E='67933' LIMIT 1"", 0)"),67933)</f>
        <v>67933</v>
      </c>
      <c r="B96" s="18" t="e">
        <f ca="1">MATCH(A96,'Hoja 1'!G1:G892,0)</f>
        <v>#N/A</v>
      </c>
    </row>
    <row r="99" spans="1:2" x14ac:dyDescent="0.2">
      <c r="A99" s="18">
        <f ca="1">IFERROR(__xludf.DUMMYFUNCTION("QUERY('Hoja 1'!E1:E1000, ""SELECT * WHERE E=67933 OR E='67933' LIMIT 1"", 0)"),67933)</f>
        <v>67933</v>
      </c>
      <c r="B99" s="18" t="e">
        <f ca="1">MATCH(A99,'Hoja 1'!G1:G892,0)</f>
        <v>#N/A</v>
      </c>
    </row>
    <row r="102" spans="1:2" x14ac:dyDescent="0.2">
      <c r="A102" s="18">
        <f ca="1">IFERROR(__xludf.DUMMYFUNCTION("QUERY('Hoja 1'!E1:E1000, ""SELECT * WHERE E=67933 OR E='67933' LIMIT 1"", 0)"),67933)</f>
        <v>67933</v>
      </c>
      <c r="B102" s="18" t="e">
        <f ca="1">MATCH(A102,'Hoja 1'!G1:G892,0)</f>
        <v>#N/A</v>
      </c>
    </row>
    <row r="105" spans="1:2" x14ac:dyDescent="0.2">
      <c r="A105" s="18">
        <f ca="1">IFERROR(__xludf.DUMMYFUNCTION("QUERY('Hoja 1'!E1:E1000, ""SELECT * WHERE E=67933 OR E='67933' LIMIT 1"", 0)"),67933)</f>
        <v>67933</v>
      </c>
      <c r="B105" s="18" t="e">
        <f ca="1">MATCH(A105,'Hoja 1'!G1:G892,0)</f>
        <v>#N/A</v>
      </c>
    </row>
    <row r="108" spans="1:2" x14ac:dyDescent="0.2">
      <c r="A108" s="18">
        <f ca="1">IFERROR(__xludf.DUMMYFUNCTION("QUERY('Hoja 1'!E1:E1000, ""SELECT * WHERE E=67251 OR E='67251' LIMIT 1"", 0)"),67251)</f>
        <v>67251</v>
      </c>
      <c r="B108" s="18" t="e">
        <f ca="1">MATCH(A108,'Hoja 1'!G1:G892,0)</f>
        <v>#N/A</v>
      </c>
    </row>
    <row r="111" spans="1:2" x14ac:dyDescent="0.2">
      <c r="A111" s="18">
        <f ca="1">IFERROR(__xludf.DUMMYFUNCTION("QUERY('Hoja 1'!E1:E1000, ""SELECT * WHERE E=67251 OR E='67251' LIMIT 1"", 0)"),67251)</f>
        <v>67251</v>
      </c>
      <c r="B111" s="18" t="e">
        <f ca="1">MATCH(A111,'Hoja 1'!G1:G892,0)</f>
        <v>#N/A</v>
      </c>
    </row>
    <row r="114" spans="1:2" x14ac:dyDescent="0.2">
      <c r="A114" s="18">
        <f ca="1">IFERROR(__xludf.DUMMYFUNCTION("QUERY('Hoja 1'!E1:E1000, ""SELECT * WHERE E=67251 OR E='67251' LIMIT 1"", 0)"),67251)</f>
        <v>67251</v>
      </c>
      <c r="B114" s="18" t="e">
        <f ca="1">MATCH(A114,'Hoja 1'!G1:G892,0)</f>
        <v>#N/A</v>
      </c>
    </row>
    <row r="117" spans="1:2" x14ac:dyDescent="0.2">
      <c r="A117" s="18">
        <f ca="1">IFERROR(__xludf.DUMMYFUNCTION("QUERY('Hoja 1'!E1:E1000, ""SELECT * WHERE E=67251 OR E='67251' LIMIT 1"", 0)"),67251)</f>
        <v>67251</v>
      </c>
      <c r="B117" s="18" t="e">
        <f ca="1">MATCH(A117,'Hoja 1'!G1:G892,0)</f>
        <v>#N/A</v>
      </c>
    </row>
    <row r="120" spans="1:2" x14ac:dyDescent="0.2">
      <c r="A120" s="18">
        <f ca="1">IFERROR(__xludf.DUMMYFUNCTION("QUERY('Hoja 1'!E1:E1000, ""SELECT * WHERE E=67251 OR E='67251' LIMIT 1"", 0)"),67251)</f>
        <v>67251</v>
      </c>
      <c r="B120" s="18" t="e">
        <f ca="1">MATCH(A120,'Hoja 1'!G1:G892,0)</f>
        <v>#N/A</v>
      </c>
    </row>
    <row r="123" spans="1:2" x14ac:dyDescent="0.2">
      <c r="A123" s="18">
        <f ca="1">IFERROR(__xludf.DUMMYFUNCTION("QUERY('Hoja 1'!E1:E1000, ""SELECT * WHERE E=67251 OR E='67251' LIMIT 1"", 0)"),67251)</f>
        <v>67251</v>
      </c>
      <c r="B123" s="18" t="e">
        <f ca="1">MATCH(A123,'Hoja 1'!G1:G892,0)</f>
        <v>#N/A</v>
      </c>
    </row>
    <row r="126" spans="1:2" x14ac:dyDescent="0.2">
      <c r="A126" s="18">
        <f ca="1">IFERROR(__xludf.DUMMYFUNCTION("QUERY('Hoja 1'!E1:E1000, ""SELECT * WHERE E=67251 OR E='67251' LIMIT 1"", 0)"),67251)</f>
        <v>67251</v>
      </c>
      <c r="B126" s="18" t="e">
        <f ca="1">MATCH(A126,'Hoja 1'!G1:G892,0)</f>
        <v>#N/A</v>
      </c>
    </row>
    <row r="129" spans="1:2" x14ac:dyDescent="0.2">
      <c r="A129" s="18">
        <f ca="1">IFERROR(__xludf.DUMMYFUNCTION("QUERY('Hoja 1'!E1:E1000, ""SELECT * WHERE E=67955 OR E='67955' LIMIT 1"", 0)"),67955)</f>
        <v>67955</v>
      </c>
      <c r="B129" s="18" t="e">
        <f ca="1">MATCH(A129,'Hoja 1'!G1:G892,0)</f>
        <v>#N/A</v>
      </c>
    </row>
    <row r="132" spans="1:2" x14ac:dyDescent="0.2">
      <c r="A132" s="18">
        <f ca="1">IFERROR(__xludf.DUMMYFUNCTION("QUERY('Hoja 1'!E1:E1000, ""SELECT * WHERE E=67955 OR E='67955' LIMIT 1"", 0)"),67955)</f>
        <v>67955</v>
      </c>
      <c r="B132" s="18" t="e">
        <f ca="1">MATCH(A132,'Hoja 1'!G1:G892,0)</f>
        <v>#N/A</v>
      </c>
    </row>
    <row r="135" spans="1:2" x14ac:dyDescent="0.2">
      <c r="A135" s="18">
        <f ca="1">IFERROR(__xludf.DUMMYFUNCTION("QUERY('Hoja 1'!E1:E1000, ""SELECT * WHERE E=68022 OR E='68022' LIMIT 1"", 0)"),68022)</f>
        <v>68022</v>
      </c>
      <c r="B135" s="18" t="e">
        <f ca="1">MATCH(A135,'Hoja 1'!G1:G892,0)</f>
        <v>#N/A</v>
      </c>
    </row>
    <row r="138" spans="1:2" x14ac:dyDescent="0.2">
      <c r="A138" s="18">
        <f ca="1">IFERROR(__xludf.DUMMYFUNCTION("QUERY('Hoja 1'!E1:E1000, ""SELECT * WHERE E=68022 OR E='68022' LIMIT 1"", 0)"),68022)</f>
        <v>68022</v>
      </c>
      <c r="B138" s="18" t="e">
        <f ca="1">MATCH(A138,'Hoja 1'!G1:G892,0)</f>
        <v>#N/A</v>
      </c>
    </row>
    <row r="141" spans="1:2" x14ac:dyDescent="0.2">
      <c r="A141" s="18">
        <f ca="1">IFERROR(__xludf.DUMMYFUNCTION("QUERY('Hoja 1'!E1:E1000, ""SELECT * WHERE E=68022 OR E='68022' LIMIT 1"", 0)"),68022)</f>
        <v>68022</v>
      </c>
      <c r="B141" s="18" t="e">
        <f ca="1">MATCH(A141,'Hoja 1'!G1:G892,0)</f>
        <v>#N/A</v>
      </c>
    </row>
    <row r="144" spans="1:2" x14ac:dyDescent="0.2">
      <c r="A144" s="18">
        <f ca="1">IFERROR(__xludf.DUMMYFUNCTION("QUERY('Hoja 1'!E1:E1000, ""SELECT * WHERE E=67829 OR E='67829' LIMIT 1"", 0)"),67829)</f>
        <v>67829</v>
      </c>
      <c r="B144" s="18" t="e">
        <f ca="1">MATCH(A144,'Hoja 1'!G1:G892,0)</f>
        <v>#N/A</v>
      </c>
    </row>
    <row r="147" spans="1:2" x14ac:dyDescent="0.2">
      <c r="A147" s="18">
        <f ca="1">IFERROR(__xludf.DUMMYFUNCTION("QUERY('Hoja 1'!E1:E1000, ""SELECT * WHERE E=67829 OR E='67829' LIMIT 1"", 0)"),67829)</f>
        <v>67829</v>
      </c>
      <c r="B147" s="18" t="e">
        <f ca="1">MATCH(A147,'Hoja 1'!G1:G892,0)</f>
        <v>#N/A</v>
      </c>
    </row>
    <row r="150" spans="1:2" x14ac:dyDescent="0.2">
      <c r="A150" s="18">
        <f ca="1">IFERROR(__xludf.DUMMYFUNCTION("QUERY('Hoja 1'!E1:E1000, ""SELECT * WHERE E=67829 OR E='67829' LIMIT 1"", 0)"),67829)</f>
        <v>67829</v>
      </c>
      <c r="B150" s="18" t="e">
        <f ca="1">MATCH(A150,'Hoja 1'!G1:G892,0)</f>
        <v>#N/A</v>
      </c>
    </row>
    <row r="153" spans="1:2" x14ac:dyDescent="0.2">
      <c r="A153" s="18">
        <f ca="1">IFERROR(__xludf.DUMMYFUNCTION("QUERY('Hoja 1'!E1:E1000, ""SELECT * WHERE E=67829 OR E='67829' LIMIT 1"", 0)"),67829)</f>
        <v>67829</v>
      </c>
      <c r="B153" s="18" t="e">
        <f ca="1">MATCH(A153,'Hoja 1'!G1:G892,0)</f>
        <v>#N/A</v>
      </c>
    </row>
    <row r="156" spans="1:2" x14ac:dyDescent="0.2">
      <c r="A156" s="18">
        <f ca="1">IFERROR(__xludf.DUMMYFUNCTION("QUERY('Hoja 1'!E1:E1000, ""SELECT * WHERE E=67893 OR E='67893' LIMIT 1"", 0)"),67893)</f>
        <v>67893</v>
      </c>
      <c r="B156" s="18" t="e">
        <f ca="1">MATCH(A156,'Hoja 1'!G1:G892,0)</f>
        <v>#N/A</v>
      </c>
    </row>
    <row r="159" spans="1:2" x14ac:dyDescent="0.2">
      <c r="A159" s="18">
        <f ca="1">IFERROR(__xludf.DUMMYFUNCTION("QUERY('Hoja 1'!E1:E1000, ""SELECT * WHERE E=67893 OR E='67893' LIMIT 1"", 0)"),67893)</f>
        <v>67893</v>
      </c>
      <c r="B159" s="18" t="e">
        <f ca="1">MATCH(A159,'Hoja 1'!G1:G892,0)</f>
        <v>#N/A</v>
      </c>
    </row>
    <row r="162" spans="1:2" x14ac:dyDescent="0.2">
      <c r="A162" s="18">
        <f ca="1">IFERROR(__xludf.DUMMYFUNCTION("QUERY('Hoja 1'!E1:E1000, ""SELECT * WHERE E=67893 OR E='67893' LIMIT 1"", 0)"),67893)</f>
        <v>67893</v>
      </c>
      <c r="B162" s="18" t="e">
        <f ca="1">MATCH(A162,'Hoja 1'!G1:G892,0)</f>
        <v>#N/A</v>
      </c>
    </row>
    <row r="165" spans="1:2" x14ac:dyDescent="0.2">
      <c r="A165" s="18">
        <f ca="1">IFERROR(__xludf.DUMMYFUNCTION("QUERY('Hoja 1'!E1:E1000, ""SELECT * WHERE E=67914 OR E='67914' LIMIT 1"", 0)"),67914)</f>
        <v>67914</v>
      </c>
      <c r="B165" s="18" t="e">
        <f ca="1">MATCH(A165,'Hoja 1'!G1:G892,0)</f>
        <v>#N/A</v>
      </c>
    </row>
    <row r="168" spans="1:2" x14ac:dyDescent="0.2">
      <c r="A168" s="18">
        <f ca="1">IFERROR(__xludf.DUMMYFUNCTION("QUERY('Hoja 1'!E1:E1000, ""SELECT * WHERE E=67910 OR E='67910' LIMIT 1"", 0)"),67910)</f>
        <v>67910</v>
      </c>
      <c r="B168" s="18" t="e">
        <f ca="1">MATCH(A168,'Hoja 1'!G1:G892,0)</f>
        <v>#N/A</v>
      </c>
    </row>
    <row r="171" spans="1:2" x14ac:dyDescent="0.2">
      <c r="A171" s="18">
        <f ca="1">IFERROR(__xludf.DUMMYFUNCTION("QUERY('Hoja 1'!E1:E1000, ""SELECT * WHERE E=64476 OR E='64476' LIMIT 1"", 0)"),64476)</f>
        <v>64476</v>
      </c>
      <c r="B171" s="18" t="e">
        <f ca="1">MATCH(A171,'Hoja 1'!G1:G892,0)</f>
        <v>#N/A</v>
      </c>
    </row>
    <row r="174" spans="1:2" x14ac:dyDescent="0.2">
      <c r="A174" s="18">
        <f ca="1">IFERROR(__xludf.DUMMYFUNCTION("QUERY('Hoja 1'!E1:E1000, ""SELECT * WHERE E=64476 OR E='64476' LIMIT 1"", 0)"),64476)</f>
        <v>64476</v>
      </c>
      <c r="B174" s="18" t="e">
        <f ca="1">MATCH(A174,'Hoja 1'!G1:G892,0)</f>
        <v>#N/A</v>
      </c>
    </row>
    <row r="177" spans="1:2" x14ac:dyDescent="0.2">
      <c r="A177" s="18">
        <f ca="1">IFERROR(__xludf.DUMMYFUNCTION("QUERY('Hoja 1'!E1:E1000, ""SELECT * WHERE E=67829 OR E='67829' LIMIT 1"", 0)"),67829)</f>
        <v>67829</v>
      </c>
      <c r="B177" s="18" t="e">
        <f ca="1">MATCH(A177,'Hoja 1'!G1:G892,0)</f>
        <v>#N/A</v>
      </c>
    </row>
    <row r="180" spans="1:2" x14ac:dyDescent="0.2">
      <c r="A180" s="18">
        <f ca="1">IFERROR(__xludf.DUMMYFUNCTION("QUERY('Hoja 1'!E1:E1000, ""SELECT * WHERE E=66162 OR E='66162' LIMIT 1"", 0)"),66162)</f>
        <v>66162</v>
      </c>
      <c r="B180" s="18" t="e">
        <f ca="1">MATCH(A180,'Hoja 1'!G1:G892,0)</f>
        <v>#N/A</v>
      </c>
    </row>
    <row r="183" spans="1:2" x14ac:dyDescent="0.2">
      <c r="A183" s="18">
        <f ca="1">IFERROR(__xludf.DUMMYFUNCTION("QUERY('Hoja 1'!E1:E1000, ""SELECT * WHERE E=66162 OR E='66162' LIMIT 1"", 0)"),66162)</f>
        <v>66162</v>
      </c>
      <c r="B183" s="18" t="e">
        <f ca="1">MATCH(A183,'Hoja 1'!G1:G892,0)</f>
        <v>#N/A</v>
      </c>
    </row>
    <row r="186" spans="1:2" x14ac:dyDescent="0.2">
      <c r="A186" s="18">
        <f ca="1">IFERROR(__xludf.DUMMYFUNCTION("QUERY('Hoja 1'!E1:E1000, ""SELECT * WHERE E=67634 OR E='67634' LIMIT 1"", 0)"),67634)</f>
        <v>67634</v>
      </c>
      <c r="B186" s="18" t="e">
        <f ca="1">MATCH(A186,'Hoja 1'!G1:G892,0)</f>
        <v>#N/A</v>
      </c>
    </row>
    <row r="189" spans="1:2" x14ac:dyDescent="0.2">
      <c r="A189" s="18">
        <f ca="1">IFERROR(__xludf.DUMMYFUNCTION("QUERY('Hoja 1'!E1:E1000, ""SELECT * WHERE E=67634 OR E='67634' LIMIT 1"", 0)"),67634)</f>
        <v>67634</v>
      </c>
      <c r="B189" s="18" t="e">
        <f ca="1">MATCH(A189,'Hoja 1'!G1:G892,0)</f>
        <v>#N/A</v>
      </c>
    </row>
    <row r="192" spans="1:2" x14ac:dyDescent="0.2">
      <c r="A192" s="18">
        <f ca="1">IFERROR(__xludf.DUMMYFUNCTION("QUERY('Hoja 1'!E1:E1000, ""SELECT * WHERE E=67634 OR E='67634' LIMIT 1"", 0)"),67634)</f>
        <v>67634</v>
      </c>
      <c r="B192" s="18" t="e">
        <f ca="1">MATCH(A192,'Hoja 1'!G1:G892,0)</f>
        <v>#N/A</v>
      </c>
    </row>
    <row r="195" spans="1:2" x14ac:dyDescent="0.2">
      <c r="A195" s="18">
        <f ca="1">IFERROR(__xludf.DUMMYFUNCTION("QUERY('Hoja 1'!E1:E1000, ""SELECT * WHERE E=66162 OR E='66162' LIMIT 1"", 0)"),66162)</f>
        <v>66162</v>
      </c>
      <c r="B195" s="18" t="e">
        <f ca="1">MATCH(A195,'Hoja 1'!G1:G892,0)</f>
        <v>#N/A</v>
      </c>
    </row>
    <row r="198" spans="1:2" x14ac:dyDescent="0.2">
      <c r="A198" s="18">
        <f ca="1">IFERROR(__xludf.DUMMYFUNCTION("QUERY('Hoja 1'!E1:E1000, ""SELECT * WHERE E=68143 OR E='68143' LIMIT 1"", 0)"),68143)</f>
        <v>68143</v>
      </c>
      <c r="B198" s="18" t="e">
        <f ca="1">MATCH(A198,'Hoja 1'!G1:G892,0)</f>
        <v>#N/A</v>
      </c>
    </row>
    <row r="201" spans="1:2" x14ac:dyDescent="0.2">
      <c r="A201" s="18">
        <f ca="1">IFERROR(__xludf.DUMMYFUNCTION("QUERY('Hoja 1'!E1:E1000, ""SELECT * WHERE E=68143 OR E='68143' LIMIT 1"", 0)"),68143)</f>
        <v>68143</v>
      </c>
      <c r="B201" s="18" t="e">
        <f ca="1">MATCH(A201,'Hoja 1'!G1:G892,0)</f>
        <v>#N/A</v>
      </c>
    </row>
    <row r="204" spans="1:2" x14ac:dyDescent="0.2">
      <c r="A204" s="18">
        <f ca="1">IFERROR(__xludf.DUMMYFUNCTION("QUERY('Hoja 1'!E1:E1000, ""SELECT * WHERE E=68143 OR E='68143' LIMIT 1"", 0)"),68143)</f>
        <v>68143</v>
      </c>
      <c r="B204" s="18" t="e">
        <f ca="1">MATCH(A204,'Hoja 1'!G1:G892,0)</f>
        <v>#N/A</v>
      </c>
    </row>
    <row r="207" spans="1:2" x14ac:dyDescent="0.2">
      <c r="A207" s="18">
        <f ca="1">IFERROR(__xludf.DUMMYFUNCTION("QUERY('Hoja 1'!E1:E1000, ""SELECT * WHERE E=68143 OR E='68143' LIMIT 1"", 0)"),68143)</f>
        <v>68143</v>
      </c>
      <c r="B207" s="18" t="e">
        <f ca="1">MATCH(A207,'Hoja 1'!G1:G892,0)</f>
        <v>#N/A</v>
      </c>
    </row>
    <row r="210" spans="1:2" x14ac:dyDescent="0.2">
      <c r="A210" s="18">
        <f ca="1">IFERROR(__xludf.DUMMYFUNCTION("QUERY('Hoja 1'!E1:E1000, ""SELECT * WHERE E=68096 OR E='68096' LIMIT 1"", 0)"),68096)</f>
        <v>68096</v>
      </c>
      <c r="B210" s="18" t="e">
        <f ca="1">MATCH(A210,'Hoja 1'!G1:G892,0)</f>
        <v>#N/A</v>
      </c>
    </row>
    <row r="213" spans="1:2" x14ac:dyDescent="0.2">
      <c r="A213" s="18">
        <f ca="1">IFERROR(__xludf.DUMMYFUNCTION("QUERY('Hoja 1'!E1:E1000, ""SELECT * WHERE E=68096 OR E='68096' LIMIT 1"", 0)"),68096)</f>
        <v>68096</v>
      </c>
      <c r="B213" s="18" t="e">
        <f ca="1">MATCH(A213,'Hoja 1'!G1:G892,0)</f>
        <v>#N/A</v>
      </c>
    </row>
    <row r="216" spans="1:2" x14ac:dyDescent="0.2">
      <c r="A216" s="18">
        <f ca="1">IFERROR(__xludf.DUMMYFUNCTION("QUERY('Hoja 1'!E1:E1000, ""SELECT * WHERE E=68096 OR E='68096' LIMIT 1"", 0)"),68096)</f>
        <v>68096</v>
      </c>
      <c r="B216" s="18" t="e">
        <f ca="1">MATCH(A216,'Hoja 1'!G1:G892,0)</f>
        <v>#N/A</v>
      </c>
    </row>
    <row r="219" spans="1:2" x14ac:dyDescent="0.2">
      <c r="A219" s="18">
        <f ca="1">IFERROR(__xludf.DUMMYFUNCTION("QUERY('Hoja 1'!E1:E1000, ""SELECT * WHERE E=66454 OR E='66454' LIMIT 1"", 0)"),66454)</f>
        <v>66454</v>
      </c>
      <c r="B219" s="18" t="e">
        <f ca="1">MATCH(A219,'Hoja 1'!G1:G892,0)</f>
        <v>#N/A</v>
      </c>
    </row>
    <row r="222" spans="1:2" x14ac:dyDescent="0.2">
      <c r="A222" s="18">
        <f ca="1">IFERROR(__xludf.DUMMYFUNCTION("QUERY('Hoja 1'!E1:E1000, ""SELECT * WHERE E=66454 OR E='66454' LIMIT 1"", 0)"),66454)</f>
        <v>66454</v>
      </c>
      <c r="B222" s="18" t="e">
        <f ca="1">MATCH(A222,'Hoja 1'!G1:G892,0)</f>
        <v>#N/A</v>
      </c>
    </row>
    <row r="225" spans="1:2" x14ac:dyDescent="0.2">
      <c r="A225" s="18">
        <f ca="1">IFERROR(__xludf.DUMMYFUNCTION("QUERY('Hoja 1'!E1:E1000, ""SELECT * WHERE E=68137 OR E='68137' LIMIT 1"", 0)"),68137)</f>
        <v>68137</v>
      </c>
      <c r="B225" s="18" t="e">
        <f ca="1">MATCH(A225,'Hoja 1'!G1:G892,0)</f>
        <v>#N/A</v>
      </c>
    </row>
    <row r="228" spans="1:2" x14ac:dyDescent="0.2">
      <c r="A228" s="18">
        <f ca="1">IFERROR(__xludf.DUMMYFUNCTION("QUERY('Hoja 1'!E1:E1000, ""SELECT * WHERE E=68137 OR E='68137' LIMIT 1"", 0)"),68137)</f>
        <v>68137</v>
      </c>
      <c r="B228" s="18" t="e">
        <f ca="1">MATCH(A228,'Hoja 1'!G1:G892,0)</f>
        <v>#N/A</v>
      </c>
    </row>
    <row r="231" spans="1:2" x14ac:dyDescent="0.2">
      <c r="A231" s="18">
        <f ca="1">IFERROR(__xludf.DUMMYFUNCTION("QUERY('Hoja 1'!E1:E1000, ""SELECT * WHERE E=67008 OR E='67008' LIMIT 1"", 0)"),67008)</f>
        <v>67008</v>
      </c>
      <c r="B231" s="18" t="e">
        <f ca="1">MATCH(A231,'Hoja 1'!G1:G892,0)</f>
        <v>#N/A</v>
      </c>
    </row>
    <row r="234" spans="1:2" x14ac:dyDescent="0.2">
      <c r="A234" s="18">
        <f ca="1">IFERROR(__xludf.DUMMYFUNCTION("QUERY('Hoja 1'!E1:E1000, ""SELECT * WHERE E=67008 OR E='67008' LIMIT 1"", 0)"),67008)</f>
        <v>67008</v>
      </c>
      <c r="B234" s="18" t="e">
        <f ca="1">MATCH(A234,'Hoja 1'!G1:G892,0)</f>
        <v>#N/A</v>
      </c>
    </row>
    <row r="237" spans="1:2" x14ac:dyDescent="0.2">
      <c r="A237" s="18">
        <f ca="1">IFERROR(__xludf.DUMMYFUNCTION("QUERY('Hoja 1'!E1:E1000, ""SELECT * WHERE E=67008 OR E='67008' LIMIT 1"", 0)"),67008)</f>
        <v>67008</v>
      </c>
      <c r="B237" s="18" t="e">
        <f ca="1">MATCH(A237,'Hoja 1'!G1:G892,0)</f>
        <v>#N/A</v>
      </c>
    </row>
    <row r="240" spans="1:2" x14ac:dyDescent="0.2">
      <c r="A240" s="18">
        <f ca="1">IFERROR(__xludf.DUMMYFUNCTION("QUERY('Hoja 1'!E1:E1000, ""SELECT * WHERE E=68263 OR E='68263' LIMIT 1"", 0)"),68263)</f>
        <v>68263</v>
      </c>
      <c r="B240" s="18" t="e">
        <f ca="1">MATCH(A240,'Hoja 1'!G1:G892,0)</f>
        <v>#N/A</v>
      </c>
    </row>
    <row r="243" spans="1:2" x14ac:dyDescent="0.2">
      <c r="A243" s="18">
        <f ca="1">IFERROR(__xludf.DUMMYFUNCTION("QUERY('Hoja 1'!E1:E1000, ""SELECT * WHERE E=68263 OR E='68263' LIMIT 1"", 0)"),68263)</f>
        <v>68263</v>
      </c>
      <c r="B243" s="18" t="e">
        <f ca="1">MATCH(A243,'Hoja 1'!G1:G892,0)</f>
        <v>#N/A</v>
      </c>
    </row>
    <row r="246" spans="1:2" x14ac:dyDescent="0.2">
      <c r="A246" s="18">
        <f ca="1">IFERROR(__xludf.DUMMYFUNCTION("QUERY('Hoja 1'!E1:E1000, ""SELECT * WHERE E=68263 OR E='68263' LIMIT 1"", 0)"),68263)</f>
        <v>68263</v>
      </c>
      <c r="B246" s="18" t="e">
        <f ca="1">MATCH(A246,'Hoja 1'!G1:G892,0)</f>
        <v>#N/A</v>
      </c>
    </row>
    <row r="249" spans="1:2" x14ac:dyDescent="0.2">
      <c r="A249" s="18">
        <f ca="1">IFERROR(__xludf.DUMMYFUNCTION("QUERY('Hoja 1'!E1:E1000, ""SELECT * WHERE E=67217 OR E='67217' LIMIT 1"", 0)"),67217)</f>
        <v>67217</v>
      </c>
      <c r="B249" s="18" t="e">
        <f ca="1">MATCH(A249,'Hoja 1'!G1:G892,0)</f>
        <v>#N/A</v>
      </c>
    </row>
    <row r="252" spans="1:2" x14ac:dyDescent="0.2">
      <c r="A252" s="18">
        <f ca="1">IFERROR(__xludf.DUMMYFUNCTION("QUERY('Hoja 1'!E1:E1000, ""SELECT * WHERE E=67217 OR E='67217' LIMIT 1"", 0)"),67217)</f>
        <v>67217</v>
      </c>
      <c r="B252" s="18" t="e">
        <f ca="1">MATCH(A252,'Hoja 1'!G1:G892,0)</f>
        <v>#N/A</v>
      </c>
    </row>
    <row r="255" spans="1:2" x14ac:dyDescent="0.2">
      <c r="A255" s="18">
        <f ca="1">IFERROR(__xludf.DUMMYFUNCTION("QUERY('Hoja 1'!E1:E1000, ""SELECT * WHERE E=67217 OR E='67217' LIMIT 1"", 0)"),67217)</f>
        <v>67217</v>
      </c>
      <c r="B255" s="18" t="e">
        <f ca="1">MATCH(A255,'Hoja 1'!G1:G892,0)</f>
        <v>#N/A</v>
      </c>
    </row>
    <row r="258" spans="1:2" x14ac:dyDescent="0.2">
      <c r="A258" s="18">
        <f ca="1">IFERROR(__xludf.DUMMYFUNCTION("QUERY('Hoja 1'!E1:E1000, ""SELECT * WHERE E=67217 OR E='67217' LIMIT 1"", 0)"),67217)</f>
        <v>67217</v>
      </c>
      <c r="B258" s="18" t="e">
        <f ca="1">MATCH(A258,'Hoja 1'!G1:G892,0)</f>
        <v>#N/A</v>
      </c>
    </row>
    <row r="261" spans="1:2" x14ac:dyDescent="0.2">
      <c r="A261" s="18">
        <f ca="1">IFERROR(__xludf.DUMMYFUNCTION("QUERY('Hoja 1'!E1:E1000, ""SELECT * WHERE E=67217 OR E='67217' LIMIT 1"", 0)"),67217)</f>
        <v>67217</v>
      </c>
      <c r="B261" s="18" t="e">
        <f ca="1">MATCH(A261,'Hoja 1'!G1:G892,0)</f>
        <v>#N/A</v>
      </c>
    </row>
    <row r="264" spans="1:2" x14ac:dyDescent="0.2">
      <c r="A264" s="18">
        <f ca="1">IFERROR(__xludf.DUMMYFUNCTION("QUERY('Hoja 1'!E1:E1000, ""SELECT * WHERE E=67217 OR E='67217' LIMIT 1"", 0)"),67217)</f>
        <v>67217</v>
      </c>
      <c r="B264" s="18" t="e">
        <f ca="1">MATCH(A264,'Hoja 1'!G1:G892,0)</f>
        <v>#N/A</v>
      </c>
    </row>
    <row r="267" spans="1:2" x14ac:dyDescent="0.2">
      <c r="A267" s="18">
        <f ca="1">IFERROR(__xludf.DUMMYFUNCTION("QUERY('Hoja 1'!E1:E1000, ""SELECT * WHERE E=67217 OR E='67217' LIMIT 1"", 0)"),67217)</f>
        <v>67217</v>
      </c>
      <c r="B267" s="18" t="e">
        <f ca="1">MATCH(A267,'Hoja 1'!G1:G892,0)</f>
        <v>#N/A</v>
      </c>
    </row>
    <row r="270" spans="1:2" x14ac:dyDescent="0.2">
      <c r="A270" s="18">
        <f ca="1">IFERROR(__xludf.DUMMYFUNCTION("QUERY('Hoja 1'!E1:E1000, ""SELECT * WHERE E=67840 OR E='67840' LIMIT 1"", 0)"),67840)</f>
        <v>67840</v>
      </c>
      <c r="B270" s="18" t="e">
        <f ca="1">MATCH(A270,'Hoja 1'!G1:G892,0)</f>
        <v>#N/A</v>
      </c>
    </row>
    <row r="273" spans="1:2" x14ac:dyDescent="0.2">
      <c r="A273" s="18">
        <f ca="1">IFERROR(__xludf.DUMMYFUNCTION("QUERY('Hoja 1'!E1:E1000, ""SELECT * WHERE E=67840 OR E='67840' LIMIT 1"", 0)"),67840)</f>
        <v>67840</v>
      </c>
      <c r="B273" s="18" t="e">
        <f ca="1">MATCH(A273,'Hoja 1'!G1:G892,0)</f>
        <v>#N/A</v>
      </c>
    </row>
    <row r="276" spans="1:2" x14ac:dyDescent="0.2">
      <c r="A276" s="18">
        <f ca="1">IFERROR(__xludf.DUMMYFUNCTION("QUERY('Hoja 1'!E1:E1000, ""SELECT * WHERE E=67840 OR E='67840' LIMIT 1"", 0)"),67840)</f>
        <v>67840</v>
      </c>
      <c r="B276" s="18" t="e">
        <f ca="1">MATCH(A276,'Hoja 1'!G1:G892,0)</f>
        <v>#N/A</v>
      </c>
    </row>
    <row r="279" spans="1:2" x14ac:dyDescent="0.2">
      <c r="A279" s="18">
        <f ca="1">IFERROR(__xludf.DUMMYFUNCTION("QUERY('Hoja 1'!E1:E1000, ""SELECT * WHERE E=67978 OR E='67978' LIMIT 1"", 0)"),67978)</f>
        <v>67978</v>
      </c>
      <c r="B279" s="18" t="e">
        <f ca="1">MATCH(A279,'Hoja 1'!G1:G892,0)</f>
        <v>#N/A</v>
      </c>
    </row>
    <row r="282" spans="1:2" x14ac:dyDescent="0.2">
      <c r="A282" s="18">
        <f ca="1">IFERROR(__xludf.DUMMYFUNCTION("QUERY('Hoja 1'!E1:E1000, ""SELECT * WHERE E=67978 OR E='67978' LIMIT 1"", 0)"),67978)</f>
        <v>67978</v>
      </c>
      <c r="B282" s="18" t="e">
        <f ca="1">MATCH(A282,'Hoja 1'!G1:G892,0)</f>
        <v>#N/A</v>
      </c>
    </row>
    <row r="285" spans="1:2" x14ac:dyDescent="0.2">
      <c r="A285" s="18">
        <f ca="1">IFERROR(__xludf.DUMMYFUNCTION("QUERY('Hoja 1'!E1:E1000, ""SELECT * WHERE E=66564 OR E='66564' LIMIT 1"", 0)"),66564)</f>
        <v>66564</v>
      </c>
      <c r="B285" s="18" t="e">
        <f ca="1">MATCH(A285,'Hoja 1'!G1:G892,0)</f>
        <v>#N/A</v>
      </c>
    </row>
    <row r="288" spans="1:2" x14ac:dyDescent="0.2">
      <c r="A288" s="18">
        <f ca="1">IFERROR(__xludf.DUMMYFUNCTION("QUERY('Hoja 1'!E1:E1000, ""SELECT * WHERE E=66564 OR E='66564' LIMIT 1"", 0)"),66564)</f>
        <v>66564</v>
      </c>
      <c r="B288" s="18" t="e">
        <f ca="1">MATCH(A288,'Hoja 1'!G1:G892,0)</f>
        <v>#N/A</v>
      </c>
    </row>
    <row r="291" spans="1:2" x14ac:dyDescent="0.2">
      <c r="A291" s="18">
        <f ca="1">IFERROR(__xludf.DUMMYFUNCTION("QUERY('Hoja 1'!E1:E1000, ""SELECT * WHERE E=66564 OR E='66564' LIMIT 1"", 0)"),66564)</f>
        <v>66564</v>
      </c>
      <c r="B291" s="18" t="e">
        <f ca="1">MATCH(A291,'Hoja 1'!G1:G892,0)</f>
        <v>#N/A</v>
      </c>
    </row>
    <row r="294" spans="1:2" x14ac:dyDescent="0.2">
      <c r="A294" s="18">
        <f ca="1">IFERROR(__xludf.DUMMYFUNCTION("QUERY('Hoja 1'!E1:E1000, ""SELECT * WHERE E=66564 OR E='66564' LIMIT 1"", 0)"),66564)</f>
        <v>66564</v>
      </c>
      <c r="B294" s="18" t="e">
        <f ca="1">MATCH(A294,'Hoja 1'!G1:G892,0)</f>
        <v>#N/A</v>
      </c>
    </row>
    <row r="297" spans="1:2" x14ac:dyDescent="0.2">
      <c r="A297" s="18">
        <f ca="1">IFERROR(__xludf.DUMMYFUNCTION("QUERY('Hoja 1'!E1:E1000, ""SELECT * WHERE E=66564 OR E='66564' LIMIT 1"", 0)"),66564)</f>
        <v>66564</v>
      </c>
      <c r="B297" s="18" t="e">
        <f ca="1">MATCH(A297,'Hoja 1'!G1:G892,0)</f>
        <v>#N/A</v>
      </c>
    </row>
    <row r="300" spans="1:2" x14ac:dyDescent="0.2">
      <c r="A300" s="18">
        <f ca="1">IFERROR(__xludf.DUMMYFUNCTION("QUERY('Hoja 1'!E1:E1000, ""SELECT * WHERE E=66564 OR E='66564' LIMIT 1"", 0)"),66564)</f>
        <v>66564</v>
      </c>
      <c r="B300" s="18" t="e">
        <f ca="1">MATCH(A300,'Hoja 1'!G1:G892,0)</f>
        <v>#N/A</v>
      </c>
    </row>
    <row r="303" spans="1:2" x14ac:dyDescent="0.2">
      <c r="A303" s="18">
        <f ca="1">IFERROR(__xludf.DUMMYFUNCTION("QUERY('Hoja 1'!E1:E1000, ""SELECT * WHERE E=67978 OR E='67978' LIMIT 1"", 0)"),67978)</f>
        <v>67978</v>
      </c>
      <c r="B303" s="18" t="e">
        <f ca="1">MATCH(A303,'Hoja 1'!G1:G892,0)</f>
        <v>#N/A</v>
      </c>
    </row>
    <row r="306" spans="1:2" x14ac:dyDescent="0.2">
      <c r="A306" s="18">
        <f ca="1">IFERROR(__xludf.DUMMYFUNCTION("QUERY('Hoja 1'!E1:E1000, ""SELECT * WHERE E=67978 OR E='67978' LIMIT 1"", 0)"),67978)</f>
        <v>67978</v>
      </c>
      <c r="B306" s="18" t="e">
        <f ca="1">MATCH(A306,'Hoja 1'!G1:G892,0)</f>
        <v>#N/A</v>
      </c>
    </row>
    <row r="309" spans="1:2" x14ac:dyDescent="0.2">
      <c r="A309" s="18">
        <f ca="1">IFERROR(__xludf.DUMMYFUNCTION("QUERY('Hoja 1'!E1:E1000, ""SELECT * WHERE E=68182 OR E='68182' LIMIT 1"", 0)"),68182)</f>
        <v>68182</v>
      </c>
      <c r="B309" s="18" t="e">
        <f ca="1">MATCH(A309,'Hoja 1'!G1:G892,0)</f>
        <v>#N/A</v>
      </c>
    </row>
    <row r="312" spans="1:2" x14ac:dyDescent="0.2">
      <c r="A312" s="18">
        <f ca="1">IFERROR(__xludf.DUMMYFUNCTION("QUERY('Hoja 1'!E1:E1000, ""SELECT * WHERE E=68182 OR E='68182' LIMIT 1"", 0)"),68182)</f>
        <v>68182</v>
      </c>
      <c r="B312" s="18" t="e">
        <f ca="1">MATCH(A312,'Hoja 1'!G1:G892,0)</f>
        <v>#N/A</v>
      </c>
    </row>
    <row r="315" spans="1:2" x14ac:dyDescent="0.2">
      <c r="A315" s="18">
        <f ca="1">IFERROR(__xludf.DUMMYFUNCTION("QUERY('Hoja 1'!E1:E1000, ""SELECT * WHERE E=68182 OR E='68182' LIMIT 1"", 0)"),68182)</f>
        <v>68182</v>
      </c>
      <c r="B315" s="18" t="e">
        <f ca="1">MATCH(A315,'Hoja 1'!G1:G892,0)</f>
        <v>#N/A</v>
      </c>
    </row>
    <row r="318" spans="1:2" x14ac:dyDescent="0.2">
      <c r="A318" s="18">
        <f ca="1">IFERROR(__xludf.DUMMYFUNCTION("QUERY('Hoja 1'!E1:E1000, ""SELECT * WHERE E=68182 OR E='68182' LIMIT 1"", 0)"),68182)</f>
        <v>68182</v>
      </c>
      <c r="B318" s="18" t="e">
        <f ca="1">MATCH(A318,'Hoja 1'!G1:G892,0)</f>
        <v>#N/A</v>
      </c>
    </row>
    <row r="321" spans="1:2" x14ac:dyDescent="0.2">
      <c r="A321" s="18">
        <f ca="1">IFERROR(__xludf.DUMMYFUNCTION("QUERY('Hoja 1'!E1:E1000, ""SELECT * WHERE E=68304 OR E='68304' LIMIT 1"", 0)"),68304)</f>
        <v>68304</v>
      </c>
      <c r="B321" s="18" t="e">
        <f ca="1">MATCH(A321,'Hoja 1'!G1:G892,0)</f>
        <v>#N/A</v>
      </c>
    </row>
    <row r="324" spans="1:2" x14ac:dyDescent="0.2">
      <c r="A324" s="18">
        <f ca="1">IFERROR(__xludf.DUMMYFUNCTION("QUERY('Hoja 1'!E1:E1000, ""SELECT * WHERE E=68304 OR E='68304' LIMIT 1"", 0)"),68304)</f>
        <v>68304</v>
      </c>
      <c r="B324" s="18" t="e">
        <f ca="1">MATCH(A324,'Hoja 1'!G1:G892,0)</f>
        <v>#N/A</v>
      </c>
    </row>
    <row r="327" spans="1:2" x14ac:dyDescent="0.2">
      <c r="A327" s="18">
        <f ca="1">IFERROR(__xludf.DUMMYFUNCTION("QUERY('Hoja 1'!E1:E1000, ""SELECT * WHERE E=68304 OR E='68304' LIMIT 1"", 0)"),68304)</f>
        <v>68304</v>
      </c>
      <c r="B327" s="18" t="e">
        <f ca="1">MATCH(A327,'Hoja 1'!G1:G892,0)</f>
        <v>#N/A</v>
      </c>
    </row>
    <row r="330" spans="1:2" x14ac:dyDescent="0.2">
      <c r="A330" s="18">
        <f ca="1">IFERROR(__xludf.DUMMYFUNCTION("QUERY('Hoja 1'!E1:E1000, ""SELECT * WHERE E=68304 OR E='68304' LIMIT 1"", 0)"),68304)</f>
        <v>68304</v>
      </c>
      <c r="B330" s="18" t="e">
        <f ca="1">MATCH(A330,'Hoja 1'!G1:G892,0)</f>
        <v>#N/A</v>
      </c>
    </row>
    <row r="333" spans="1:2" x14ac:dyDescent="0.2">
      <c r="A333" s="18">
        <f ca="1">IFERROR(__xludf.DUMMYFUNCTION("QUERY('Hoja 1'!E1:E1000, ""SELECT * WHERE E=68304 OR E='68304' LIMIT 1"", 0)"),68304)</f>
        <v>68304</v>
      </c>
      <c r="B333" s="18" t="e">
        <f ca="1">MATCH(A333,'Hoja 1'!G1:G892,0)</f>
        <v>#N/A</v>
      </c>
    </row>
    <row r="336" spans="1:2" x14ac:dyDescent="0.2">
      <c r="A336" s="18">
        <f ca="1">IFERROR(__xludf.DUMMYFUNCTION("QUERY('Hoja 1'!E1:E1000, ""SELECT * WHERE E=67710 OR E='67710' LIMIT 1"", 0)"),67710)</f>
        <v>67710</v>
      </c>
      <c r="B336" s="18" t="e">
        <f ca="1">MATCH(A336,'Hoja 1'!G1:G892,0)</f>
        <v>#N/A</v>
      </c>
    </row>
    <row r="339" spans="1:2" x14ac:dyDescent="0.2">
      <c r="A339" s="18">
        <f ca="1">IFERROR(__xludf.DUMMYFUNCTION("QUERY('Hoja 1'!E1:E1000, ""SELECT * WHERE E=67710 OR E='67710' LIMIT 1"", 0)"),67710)</f>
        <v>67710</v>
      </c>
      <c r="B339" s="18" t="e">
        <f ca="1">MATCH(A339,'Hoja 1'!G1:G892,0)</f>
        <v>#N/A</v>
      </c>
    </row>
    <row r="342" spans="1:2" x14ac:dyDescent="0.2">
      <c r="A342" s="18">
        <f ca="1">IFERROR(__xludf.DUMMYFUNCTION("QUERY('Hoja 1'!E1:E1000, ""SELECT * WHERE E=67710 OR E='67710' LIMIT 1"", 0)"),67710)</f>
        <v>67710</v>
      </c>
      <c r="B342" s="18" t="e">
        <f ca="1">MATCH(A342,'Hoja 1'!G1:G892,0)</f>
        <v>#N/A</v>
      </c>
    </row>
    <row r="345" spans="1:2" x14ac:dyDescent="0.2">
      <c r="A345" s="18">
        <f ca="1">IFERROR(__xludf.DUMMYFUNCTION("QUERY('Hoja 1'!E1:E1000, ""SELECT * WHERE E=67421 OR E='67421' LIMIT 1"", 0)"),67421)</f>
        <v>67421</v>
      </c>
      <c r="B345" s="18" t="e">
        <f ca="1">MATCH(A345,'Hoja 1'!G1:G892,0)</f>
        <v>#N/A</v>
      </c>
    </row>
    <row r="348" spans="1:2" x14ac:dyDescent="0.2">
      <c r="A348" s="18">
        <f ca="1">IFERROR(__xludf.DUMMYFUNCTION("QUERY('Hoja 1'!E1:E1000, ""SELECT * WHERE E=67421 OR E='67421' LIMIT 1"", 0)"),67421)</f>
        <v>67421</v>
      </c>
      <c r="B348" s="18" t="e">
        <f ca="1">MATCH(A348,'Hoja 1'!G1:G892,0)</f>
        <v>#N/A</v>
      </c>
    </row>
    <row r="351" spans="1:2" x14ac:dyDescent="0.2">
      <c r="A351" s="18">
        <f ca="1">IFERROR(__xludf.DUMMYFUNCTION("QUERY('Hoja 1'!E1:E1000, ""SELECT * WHERE E=68022 OR E='68022' LIMIT 1"", 0)"),68022)</f>
        <v>68022</v>
      </c>
      <c r="B351" s="18" t="e">
        <f ca="1">MATCH(A351,'Hoja 1'!G1:G892,0)</f>
        <v>#N/A</v>
      </c>
    </row>
    <row r="354" spans="1:2" x14ac:dyDescent="0.2">
      <c r="A354" s="18">
        <f ca="1">IFERROR(__xludf.DUMMYFUNCTION("QUERY('Hoja 1'!E1:E1000, ""SELECT * WHERE E=67774 OR E='67774' LIMIT 1"", 0)"),67774)</f>
        <v>67774</v>
      </c>
      <c r="B354" s="18" t="e">
        <f ca="1">MATCH(A354,'Hoja 1'!G1:G892,0)</f>
        <v>#N/A</v>
      </c>
    </row>
    <row r="357" spans="1:2" x14ac:dyDescent="0.2">
      <c r="A357" s="18">
        <f ca="1">IFERROR(__xludf.DUMMYFUNCTION("QUERY('Hoja 1'!E1:E1000, ""SELECT * WHERE E=67774 OR E='67774' LIMIT 1"", 0)"),67774)</f>
        <v>67774</v>
      </c>
      <c r="B357" s="18" t="e">
        <f ca="1">MATCH(A357,'Hoja 1'!G1:G892,0)</f>
        <v>#N/A</v>
      </c>
    </row>
    <row r="360" spans="1:2" x14ac:dyDescent="0.2">
      <c r="A360" s="18">
        <f ca="1">IFERROR(__xludf.DUMMYFUNCTION("QUERY('Hoja 1'!E1:E1000, ""SELECT * WHERE E=67774 OR E='67774' LIMIT 1"", 0)"),67774)</f>
        <v>67774</v>
      </c>
      <c r="B360" s="18" t="e">
        <f ca="1">MATCH(A360,'Hoja 1'!G1:G892,0)</f>
        <v>#N/A</v>
      </c>
    </row>
    <row r="363" spans="1:2" x14ac:dyDescent="0.2">
      <c r="A363" s="18">
        <f ca="1">IFERROR(__xludf.DUMMYFUNCTION("QUERY('Hoja 1'!E1:E1000, ""SELECT * WHERE E=67774 OR E='67774' LIMIT 1"", 0)"),67774)</f>
        <v>67774</v>
      </c>
      <c r="B363" s="18" t="e">
        <f ca="1">MATCH(A363,'Hoja 1'!G1:G892,0)</f>
        <v>#N/A</v>
      </c>
    </row>
    <row r="366" spans="1:2" x14ac:dyDescent="0.2">
      <c r="A366" s="18">
        <f ca="1">IFERROR(__xludf.DUMMYFUNCTION("QUERY('Hoja 1'!E1:E1000, ""SELECT * WHERE E=68447 OR E='68447' LIMIT 1"", 0)"),68447)</f>
        <v>68447</v>
      </c>
      <c r="B366" s="18" t="e">
        <f ca="1">MATCH(A366,'Hoja 1'!G1:G892,0)</f>
        <v>#N/A</v>
      </c>
    </row>
    <row r="369" spans="1:2" x14ac:dyDescent="0.2">
      <c r="A369" s="18">
        <f ca="1">IFERROR(__xludf.DUMMYFUNCTION("QUERY('Hoja 1'!E1:E1000, ""SELECT * WHERE E=68447 OR E='68447' LIMIT 1"", 0)"),68447)</f>
        <v>68447</v>
      </c>
      <c r="B369" s="18" t="e">
        <f ca="1">MATCH(A369,'Hoja 1'!G1:G892,0)</f>
        <v>#N/A</v>
      </c>
    </row>
    <row r="372" spans="1:2" x14ac:dyDescent="0.2">
      <c r="A372" s="18">
        <f ca="1">IFERROR(__xludf.DUMMYFUNCTION("QUERY('Hoja 1'!E1:E1000, ""SELECT * WHERE E=68447 OR E='68447' LIMIT 1"", 0)"),68447)</f>
        <v>68447</v>
      </c>
      <c r="B372" s="18" t="e">
        <f ca="1">MATCH(A372,'Hoja 1'!G1:G892,0)</f>
        <v>#N/A</v>
      </c>
    </row>
    <row r="375" spans="1:2" x14ac:dyDescent="0.2">
      <c r="A375" s="18">
        <f ca="1">IFERROR(__xludf.DUMMYFUNCTION("QUERY('Hoja 1'!E1:E1000, ""SELECT * WHERE E=68447 OR E='68447' LIMIT 1"", 0)"),68447)</f>
        <v>68447</v>
      </c>
      <c r="B375" s="18" t="e">
        <f ca="1">MATCH(A375,'Hoja 1'!G1:G892,0)</f>
        <v>#N/A</v>
      </c>
    </row>
    <row r="378" spans="1:2" x14ac:dyDescent="0.2">
      <c r="A378" s="18">
        <f ca="1">IFERROR(__xludf.DUMMYFUNCTION("QUERY('Hoja 1'!E1:E1000, ""SELECT * WHERE E=68447 OR E='68447' LIMIT 1"", 0)"),68447)</f>
        <v>68447</v>
      </c>
      <c r="B378" s="18" t="e">
        <f ca="1">MATCH(A378,'Hoja 1'!G1:G892,0)</f>
        <v>#N/A</v>
      </c>
    </row>
    <row r="381" spans="1:2" x14ac:dyDescent="0.2">
      <c r="A381" s="18">
        <f ca="1">IFERROR(__xludf.DUMMYFUNCTION("QUERY('Hoja 1'!E1:E1000, ""SELECT * WHERE E=68005 OR E='68005' LIMIT 1"", 0)"),68005)</f>
        <v>68005</v>
      </c>
      <c r="B381" s="18" t="e">
        <f ca="1">MATCH(A381,'Hoja 1'!G1:G892,0)</f>
        <v>#N/A</v>
      </c>
    </row>
    <row r="384" spans="1:2" x14ac:dyDescent="0.2">
      <c r="A384" s="18">
        <f ca="1">IFERROR(__xludf.DUMMYFUNCTION("QUERY('Hoja 1'!E1:E1000, ""SELECT * WHERE E=68005 OR E='68005' LIMIT 1"", 0)"),68005)</f>
        <v>68005</v>
      </c>
      <c r="B384" s="18" t="e">
        <f ca="1">MATCH(A384,'Hoja 1'!G1:G892,0)</f>
        <v>#N/A</v>
      </c>
    </row>
    <row r="387" spans="1:2" x14ac:dyDescent="0.2">
      <c r="A387" s="18">
        <f ca="1">IFERROR(__xludf.DUMMYFUNCTION("QUERY('Hoja 1'!E1:E1000, ""SELECT * WHERE E=68399 OR E='68399' LIMIT 1"", 0)"),68399)</f>
        <v>68399</v>
      </c>
      <c r="B387" s="18" t="e">
        <f ca="1">MATCH(A387,'Hoja 1'!G1:G892,0)</f>
        <v>#N/A</v>
      </c>
    </row>
    <row r="390" spans="1:2" x14ac:dyDescent="0.2">
      <c r="A390" s="18">
        <f ca="1">IFERROR(__xludf.DUMMYFUNCTION("QUERY('Hoja 1'!E1:E1000, ""SELECT * WHERE E=68399 OR E='68399' LIMIT 1"", 0)"),68399)</f>
        <v>68399</v>
      </c>
      <c r="B390" s="18" t="e">
        <f ca="1">MATCH(A390,'Hoja 1'!G1:G892,0)</f>
        <v>#N/A</v>
      </c>
    </row>
    <row r="393" spans="1:2" x14ac:dyDescent="0.2">
      <c r="A393" s="18">
        <f ca="1">IFERROR(__xludf.DUMMYFUNCTION("QUERY('Hoja 1'!E1:E1000, ""SELECT * WHERE E=68399 OR E='68399' LIMIT 1"", 0)"),68399)</f>
        <v>68399</v>
      </c>
      <c r="B393" s="18" t="e">
        <f ca="1">MATCH(A393,'Hoja 1'!G1:G892,0)</f>
        <v>#N/A</v>
      </c>
    </row>
    <row r="396" spans="1:2" x14ac:dyDescent="0.2">
      <c r="A396" s="18">
        <f ca="1">IFERROR(__xludf.DUMMYFUNCTION("QUERY('Hoja 1'!E1:E1000, ""SELECT * WHERE E=68399 OR E='68399' LIMIT 1"", 0)"),68399)</f>
        <v>68399</v>
      </c>
      <c r="B396" s="18" t="e">
        <f ca="1">MATCH(A396,'Hoja 1'!G1:G892,0)</f>
        <v>#N/A</v>
      </c>
    </row>
    <row r="399" spans="1:2" x14ac:dyDescent="0.2">
      <c r="A399" s="18">
        <f ca="1">IFERROR(__xludf.DUMMYFUNCTION("QUERY('Hoja 1'!E1:E1000, ""SELECT * WHERE E=68399 OR E='68399' LIMIT 1"", 0)"),68399)</f>
        <v>68399</v>
      </c>
      <c r="B399" s="18" t="e">
        <f ca="1">MATCH(A399,'Hoja 1'!G1:G892,0)</f>
        <v>#N/A</v>
      </c>
    </row>
    <row r="402" spans="1:2" x14ac:dyDescent="0.2">
      <c r="A402" s="18">
        <f ca="1">IFERROR(__xludf.DUMMYFUNCTION("QUERY('Hoja 1'!E1:E1000, ""SELECT * WHERE E=68399 OR E='68399' LIMIT 1"", 0)"),68399)</f>
        <v>68399</v>
      </c>
      <c r="B402" s="18" t="e">
        <f ca="1">MATCH(A402,'Hoja 1'!G1:G892,0)</f>
        <v>#N/A</v>
      </c>
    </row>
    <row r="405" spans="1:2" x14ac:dyDescent="0.2">
      <c r="A405" s="18">
        <f ca="1">IFERROR(__xludf.DUMMYFUNCTION("QUERY('Hoja 1'!E1:E1000, ""SELECT * WHERE E=68399 OR E='68399' LIMIT 1"", 0)"),68399)</f>
        <v>68399</v>
      </c>
      <c r="B405" s="18" t="e">
        <f ca="1">MATCH(A405,'Hoja 1'!G1:G892,0)</f>
        <v>#N/A</v>
      </c>
    </row>
    <row r="408" spans="1:2" x14ac:dyDescent="0.2">
      <c r="A408" s="18">
        <f ca="1">IFERROR(__xludf.DUMMYFUNCTION("QUERY('Hoja 1'!E1:E1000, ""SELECT * WHERE E=68074 OR E='68074' LIMIT 1"", 0)"),68074)</f>
        <v>68074</v>
      </c>
      <c r="B408" s="18" t="e">
        <f ca="1">MATCH(A408,'Hoja 1'!G1:G892,0)</f>
        <v>#N/A</v>
      </c>
    </row>
    <row r="411" spans="1:2" x14ac:dyDescent="0.2">
      <c r="A411" s="18">
        <f ca="1">IFERROR(__xludf.DUMMYFUNCTION("QUERY('Hoja 1'!E1:E1000, ""SELECT * WHERE E=68074 OR E='68074' LIMIT 1"", 0)"),68074)</f>
        <v>68074</v>
      </c>
      <c r="B411" s="18" t="e">
        <f ca="1">MATCH(A411,'Hoja 1'!G1:G892,0)</f>
        <v>#N/A</v>
      </c>
    </row>
    <row r="414" spans="1:2" x14ac:dyDescent="0.2">
      <c r="A414" s="18">
        <f ca="1">IFERROR(__xludf.DUMMYFUNCTION("QUERY('Hoja 1'!E1:E1000, ""SELECT * WHERE E=68074 OR E='68074' LIMIT 1"", 0)"),68074)</f>
        <v>68074</v>
      </c>
      <c r="B414" s="18" t="e">
        <f ca="1">MATCH(A414,'Hoja 1'!G1:G892,0)</f>
        <v>#N/A</v>
      </c>
    </row>
    <row r="417" spans="1:2" x14ac:dyDescent="0.2">
      <c r="A417" s="18">
        <f ca="1">IFERROR(__xludf.DUMMYFUNCTION("QUERY('Hoja 1'!E1:E1000, ""SELECT * WHERE E=68279 OR E='68279' LIMIT 1"", 0)"),68279)</f>
        <v>68279</v>
      </c>
      <c r="B417" s="18" t="e">
        <f ca="1">MATCH(A417,'Hoja 1'!G1:G892,0)</f>
        <v>#N/A</v>
      </c>
    </row>
    <row r="420" spans="1:2" x14ac:dyDescent="0.2">
      <c r="A420" s="18">
        <f ca="1">IFERROR(__xludf.DUMMYFUNCTION("QUERY('Hoja 1'!E1:E1000, ""SELECT * WHERE E=68279 OR E='68279' LIMIT 1"", 0)"),68279)</f>
        <v>68279</v>
      </c>
      <c r="B420" s="18" t="e">
        <f ca="1">MATCH(A420,'Hoja 1'!G1:G892,0)</f>
        <v>#N/A</v>
      </c>
    </row>
    <row r="423" spans="1:2" x14ac:dyDescent="0.2">
      <c r="A423" s="18">
        <f ca="1">IFERROR(__xludf.DUMMYFUNCTION("QUERY('Hoja 1'!E1:E1000, ""SELECT * WHERE E=68275 OR E='68275' LIMIT 1"", 0)"),68275)</f>
        <v>68275</v>
      </c>
      <c r="B423" s="18" t="e">
        <f ca="1">MATCH(A423,'Hoja 1'!G1:G892,0)</f>
        <v>#N/A</v>
      </c>
    </row>
    <row r="426" spans="1:2" x14ac:dyDescent="0.2">
      <c r="A426" s="18">
        <f ca="1">IFERROR(__xludf.DUMMYFUNCTION("QUERY('Hoja 1'!E1:E1000, ""SELECT * WHERE E=68275 OR E='68275' LIMIT 1"", 0)"),68275)</f>
        <v>68275</v>
      </c>
      <c r="B426" s="18" t="e">
        <f ca="1">MATCH(A426,'Hoja 1'!G1:G892,0)</f>
        <v>#N/A</v>
      </c>
    </row>
    <row r="429" spans="1:2" x14ac:dyDescent="0.2">
      <c r="A429" s="18">
        <f ca="1">IFERROR(__xludf.DUMMYFUNCTION("QUERY('Hoja 1'!E1:E1000, ""SELECT * WHERE E=67426 OR E='67426' LIMIT 1"", 0)"),67426)</f>
        <v>67426</v>
      </c>
      <c r="B429" s="18" t="e">
        <f ca="1">MATCH(A429,'Hoja 1'!G1:G892,0)</f>
        <v>#N/A</v>
      </c>
    </row>
    <row r="432" spans="1:2" x14ac:dyDescent="0.2">
      <c r="A432" s="18">
        <f ca="1">IFERROR(__xludf.DUMMYFUNCTION("QUERY('Hoja 1'!E1:E1000, ""SELECT * WHERE E=67426 OR E='67426' LIMIT 1"", 0)"),67426)</f>
        <v>67426</v>
      </c>
      <c r="B432" s="18" t="e">
        <f ca="1">MATCH(A432,'Hoja 1'!G1:G892,0)</f>
        <v>#N/A</v>
      </c>
    </row>
    <row r="435" spans="1:2" x14ac:dyDescent="0.2">
      <c r="A435" s="18">
        <f ca="1">IFERROR(__xludf.DUMMYFUNCTION("QUERY('Hoja 1'!E1:E1000, ""SELECT * WHERE E=67871 OR E='67871' LIMIT 1"", 0)"),67871)</f>
        <v>67871</v>
      </c>
      <c r="B435" s="18" t="e">
        <f ca="1">MATCH(A435,'Hoja 1'!G1:G892,0)</f>
        <v>#N/A</v>
      </c>
    </row>
    <row r="438" spans="1:2" x14ac:dyDescent="0.2">
      <c r="A438" s="18">
        <f ca="1">IFERROR(__xludf.DUMMYFUNCTION("QUERY('Hoja 1'!E1:E1000, ""SELECT * WHERE E=67871 OR E='67871' LIMIT 1"", 0)"),67871)</f>
        <v>67871</v>
      </c>
      <c r="B438" s="18" t="e">
        <f ca="1">MATCH(A438,'Hoja 1'!G1:G892,0)</f>
        <v>#N/A</v>
      </c>
    </row>
    <row r="441" spans="1:2" x14ac:dyDescent="0.2">
      <c r="A441" s="18">
        <f ca="1">IFERROR(__xludf.DUMMYFUNCTION("QUERY('Hoja 1'!E1:E1000, ""SELECT * WHERE E=67871 OR E='67871' LIMIT 1"", 0)"),67871)</f>
        <v>67871</v>
      </c>
      <c r="B441" s="18" t="e">
        <f ca="1">MATCH(A441,'Hoja 1'!G1:G892,0)</f>
        <v>#N/A</v>
      </c>
    </row>
    <row r="444" spans="1:2" x14ac:dyDescent="0.2">
      <c r="A444" s="18">
        <f ca="1">IFERROR(__xludf.DUMMYFUNCTION("QUERY('Hoja 1'!E1:E1000, ""SELECT * WHERE E=67871 OR E='67871' LIMIT 1"", 0)"),67871)</f>
        <v>67871</v>
      </c>
      <c r="B444" s="18" t="e">
        <f ca="1">MATCH(A444,'Hoja 1'!G1:G892,0)</f>
        <v>#N/A</v>
      </c>
    </row>
    <row r="447" spans="1:2" x14ac:dyDescent="0.2">
      <c r="A447" s="18">
        <f ca="1">IFERROR(__xludf.DUMMYFUNCTION("QUERY('Hoja 1'!E1:E1000, ""SELECT * WHERE E=68427 OR E='68427' LIMIT 1"", 0)"),68427)</f>
        <v>68427</v>
      </c>
      <c r="B447" s="18" t="e">
        <f ca="1">MATCH(A447,'Hoja 1'!G1:G892,0)</f>
        <v>#N/A</v>
      </c>
    </row>
    <row r="450" spans="1:2" x14ac:dyDescent="0.2">
      <c r="A450" s="18">
        <f ca="1">IFERROR(__xludf.DUMMYFUNCTION("QUERY('Hoja 1'!E1:E1000, ""SELECT * WHERE E=68427 OR E='68427' LIMIT 1"", 0)"),68427)</f>
        <v>68427</v>
      </c>
      <c r="B450" s="18" t="e">
        <f ca="1">MATCH(A450,'Hoja 1'!G1:G892,0)</f>
        <v>#N/A</v>
      </c>
    </row>
    <row r="453" spans="1:2" x14ac:dyDescent="0.2">
      <c r="A453" s="18">
        <f ca="1">IFERROR(__xludf.DUMMYFUNCTION("QUERY('Hoja 1'!E1:E1000, ""SELECT * WHERE E=68460 OR E='68460' LIMIT 1"", 0)"),68460)</f>
        <v>68460</v>
      </c>
      <c r="B453" s="18" t="e">
        <f ca="1">MATCH(A453,'Hoja 1'!G1:G892,0)</f>
        <v>#N/A</v>
      </c>
    </row>
    <row r="456" spans="1:2" x14ac:dyDescent="0.2">
      <c r="A456" s="18">
        <f ca="1">IFERROR(__xludf.DUMMYFUNCTION("QUERY('Hoja 1'!E1:E1000, ""SELECT * WHERE E=68460 OR E='68460' LIMIT 1"", 0)"),68460)</f>
        <v>68460</v>
      </c>
      <c r="B456" s="18" t="e">
        <f ca="1">MATCH(A456,'Hoja 1'!G1:G892,0)</f>
        <v>#N/A</v>
      </c>
    </row>
    <row r="459" spans="1:2" x14ac:dyDescent="0.2">
      <c r="A459" s="18">
        <f ca="1">IFERROR(__xludf.DUMMYFUNCTION("QUERY('Hoja 1'!E1:E1000, ""SELECT * WHERE E=68460 OR E='68460' LIMIT 1"", 0)"),68460)</f>
        <v>68460</v>
      </c>
      <c r="B459" s="18" t="e">
        <f ca="1">MATCH(A459,'Hoja 1'!G1:G892,0)</f>
        <v>#N/A</v>
      </c>
    </row>
    <row r="462" spans="1:2" x14ac:dyDescent="0.2">
      <c r="A462" s="18">
        <f ca="1">IFERROR(__xludf.DUMMYFUNCTION("QUERY('Hoja 1'!E1:E1000, ""SELECT * WHERE E=68460 OR E='68460' LIMIT 1"", 0)"),68460)</f>
        <v>68460</v>
      </c>
      <c r="B462" s="18" t="e">
        <f ca="1">MATCH(A462,'Hoja 1'!G1:G892,0)</f>
        <v>#N/A</v>
      </c>
    </row>
    <row r="465" spans="1:2" x14ac:dyDescent="0.2">
      <c r="A465" s="18">
        <f ca="1">IFERROR(__xludf.DUMMYFUNCTION("QUERY('Hoja 1'!E1:E1000, ""SELECT * WHERE E=68460 OR E='68460' LIMIT 1"", 0)"),68460)</f>
        <v>68460</v>
      </c>
      <c r="B465" s="18" t="e">
        <f ca="1">MATCH(A465,'Hoja 1'!G1:G892,0)</f>
        <v>#N/A</v>
      </c>
    </row>
    <row r="468" spans="1:2" x14ac:dyDescent="0.2">
      <c r="A468" s="18">
        <f ca="1">IFERROR(__xludf.DUMMYFUNCTION("QUERY('Hoja 1'!E1:E1000, ""SELECT * WHERE E=68223 OR E='68223' LIMIT 1"", 0)"),68223)</f>
        <v>68223</v>
      </c>
      <c r="B468" s="18" t="e">
        <f ca="1">MATCH(A468,'Hoja 1'!G1:G892,0)</f>
        <v>#N/A</v>
      </c>
    </row>
    <row r="471" spans="1:2" x14ac:dyDescent="0.2">
      <c r="A471" s="18">
        <f ca="1">IFERROR(__xludf.DUMMYFUNCTION("QUERY('Hoja 1'!E1:E1000, ""SELECT * WHERE E=68621 OR E='68621' LIMIT 1"", 0)"),68621)</f>
        <v>68621</v>
      </c>
      <c r="B471" s="18" t="e">
        <f ca="1">MATCH(A471,'Hoja 1'!G1:G892,0)</f>
        <v>#N/A</v>
      </c>
    </row>
    <row r="474" spans="1:2" x14ac:dyDescent="0.2">
      <c r="A474" s="18">
        <f ca="1">IFERROR(__xludf.DUMMYFUNCTION("QUERY('Hoja 1'!E1:E1000, ""SELECT * WHERE E=68621 OR E='68621' LIMIT 1"", 0)"),68621)</f>
        <v>68621</v>
      </c>
      <c r="B474" s="18" t="e">
        <f ca="1">MATCH(A474,'Hoja 1'!G1:G892,0)</f>
        <v>#N/A</v>
      </c>
    </row>
    <row r="477" spans="1:2" x14ac:dyDescent="0.2">
      <c r="A477" s="18">
        <f ca="1">IFERROR(__xludf.DUMMYFUNCTION("QUERY('Hoja 1'!E1:E1000, ""SELECT * WHERE E=68621 OR E='68621' LIMIT 1"", 0)"),68621)</f>
        <v>68621</v>
      </c>
      <c r="B477" s="18" t="e">
        <f ca="1">MATCH(A477,'Hoja 1'!G1:G892,0)</f>
        <v>#N/A</v>
      </c>
    </row>
    <row r="480" spans="1:2" x14ac:dyDescent="0.2">
      <c r="A480" s="18">
        <f ca="1">IFERROR(__xludf.DUMMYFUNCTION("QUERY('Hoja 1'!E1:E1000, ""SELECT * WHERE E=68158 OR E='68158' LIMIT 1"", 0)"),68158)</f>
        <v>68158</v>
      </c>
      <c r="B480" s="18" t="e">
        <f ca="1">MATCH(A480,'Hoja 1'!G1:G892,0)</f>
        <v>#N/A</v>
      </c>
    </row>
    <row r="483" spans="1:2" x14ac:dyDescent="0.2">
      <c r="A483" s="18">
        <f ca="1">IFERROR(__xludf.DUMMYFUNCTION("QUERY('Hoja 1'!E1:E1000, ""SELECT * WHERE E=68158 OR E='68158' LIMIT 1"", 0)"),68158)</f>
        <v>68158</v>
      </c>
      <c r="B483" s="18" t="e">
        <f ca="1">MATCH(A483,'Hoja 1'!G1:G892,0)</f>
        <v>#N/A</v>
      </c>
    </row>
    <row r="486" spans="1:2" x14ac:dyDescent="0.2">
      <c r="A486" s="18">
        <f ca="1">IFERROR(__xludf.DUMMYFUNCTION("QUERY('Hoja 1'!E1:E1000, ""SELECT * WHERE E=68744 OR E='68744' LIMIT 1"", 0)"),68744)</f>
        <v>68744</v>
      </c>
      <c r="B486" s="18" t="e">
        <f ca="1">MATCH(A486,'Hoja 1'!G1:G892,0)</f>
        <v>#N/A</v>
      </c>
    </row>
    <row r="489" spans="1:2" x14ac:dyDescent="0.2">
      <c r="A489" s="18">
        <f ca="1">IFERROR(__xludf.DUMMYFUNCTION("QUERY('Hoja 1'!E1:E1000, ""SELECT * WHERE E=68233 OR E='68233' LIMIT 1"", 0)"),68233)</f>
        <v>68233</v>
      </c>
      <c r="B489" s="18" t="e">
        <f ca="1">MATCH(A489,'Hoja 1'!G1:G892,0)</f>
        <v>#N/A</v>
      </c>
    </row>
    <row r="492" spans="1:2" x14ac:dyDescent="0.2">
      <c r="A492" s="18">
        <f ca="1">IFERROR(__xludf.DUMMYFUNCTION("QUERY('Hoja 1'!E1:E1000, ""SELECT * WHERE E=68233 OR E='68233' LIMIT 1"", 0)"),68233)</f>
        <v>68233</v>
      </c>
      <c r="B492" s="18" t="e">
        <f ca="1">MATCH(A492,'Hoja 1'!G1:G892,0)</f>
        <v>#N/A</v>
      </c>
    </row>
    <row r="495" spans="1:2" x14ac:dyDescent="0.2">
      <c r="A495" s="18">
        <f ca="1">IFERROR(__xludf.DUMMYFUNCTION("QUERY('Hoja 1'!E1:E1000, ""SELECT * WHERE E=68233 OR E='68233' LIMIT 1"", 0)"),68233)</f>
        <v>68233</v>
      </c>
      <c r="B495" s="18" t="e">
        <f ca="1">MATCH(A495,'Hoja 1'!G1:G892,0)</f>
        <v>#N/A</v>
      </c>
    </row>
    <row r="498" spans="1:2" x14ac:dyDescent="0.2">
      <c r="A498" s="18">
        <f ca="1">IFERROR(__xludf.DUMMYFUNCTION("QUERY('Hoja 1'!E1:E1000, ""SELECT * WHERE E=68278 OR E='68278' LIMIT 1"", 0)"),68278)</f>
        <v>68278</v>
      </c>
      <c r="B498" s="18" t="e">
        <f ca="1">MATCH(A498,'Hoja 1'!G1:G892,0)</f>
        <v>#N/A</v>
      </c>
    </row>
    <row r="501" spans="1:2" x14ac:dyDescent="0.2">
      <c r="A501" s="18">
        <f ca="1">IFERROR(__xludf.DUMMYFUNCTION("QUERY('Hoja 1'!E1:E1000, ""SELECT * WHERE E=66810 OR E='66810' LIMIT 1"", 0)"),66810)</f>
        <v>66810</v>
      </c>
      <c r="B501" s="18" t="e">
        <f ca="1">MATCH(A501,'Hoja 1'!G1:G892,0)</f>
        <v>#N/A</v>
      </c>
    </row>
    <row r="504" spans="1:2" x14ac:dyDescent="0.2">
      <c r="A504" s="18">
        <f ca="1">IFERROR(__xludf.DUMMYFUNCTION("QUERY('Hoja 1'!E1:E1000, ""SELECT * WHERE E=66810 OR E='66810' LIMIT 1"", 0)"),66810)</f>
        <v>66810</v>
      </c>
      <c r="B504" s="18" t="e">
        <f ca="1">MATCH(A504,'Hoja 1'!G1:G892,0)</f>
        <v>#N/A</v>
      </c>
    </row>
    <row r="507" spans="1:2" x14ac:dyDescent="0.2">
      <c r="A507" s="18">
        <f ca="1">IFERROR(__xludf.DUMMYFUNCTION("QUERY('Hoja 1'!E1:E1000, ""SELECT * WHERE E=66810 OR E='66810' LIMIT 1"", 0)"),66810)</f>
        <v>66810</v>
      </c>
      <c r="B507" s="18" t="e">
        <f ca="1">MATCH(A507,'Hoja 1'!G1:G892,0)</f>
        <v>#N/A</v>
      </c>
    </row>
    <row r="510" spans="1:2" x14ac:dyDescent="0.2">
      <c r="A510" s="18">
        <f ca="1">IFERROR(__xludf.DUMMYFUNCTION("QUERY('Hoja 1'!E1:E1000, ""SELECT * WHERE E=66810 OR E='66810' LIMIT 1"", 0)"),66810)</f>
        <v>66810</v>
      </c>
      <c r="B510" s="18" t="e">
        <f ca="1">MATCH(A510,'Hoja 1'!G1:G892,0)</f>
        <v>#N/A</v>
      </c>
    </row>
    <row r="513" spans="1:2" x14ac:dyDescent="0.2">
      <c r="A513" s="18">
        <f ca="1">IFERROR(__xludf.DUMMYFUNCTION("QUERY('Hoja 1'!E1:E1000, ""SELECT * WHERE E=68638 OR E='68638' LIMIT 1"", 0)"),68638)</f>
        <v>68638</v>
      </c>
      <c r="B513" s="18" t="e">
        <f ca="1">MATCH(A513,'Hoja 1'!G1:G892,0)</f>
        <v>#N/A</v>
      </c>
    </row>
    <row r="516" spans="1:2" x14ac:dyDescent="0.2">
      <c r="A516" s="18">
        <f ca="1">IFERROR(__xludf.DUMMYFUNCTION("QUERY('Hoja 1'!E1:E1000, ""SELECT * WHERE E=68638 OR E='68638' LIMIT 1"", 0)"),68638)</f>
        <v>68638</v>
      </c>
      <c r="B516" s="18" t="e">
        <f ca="1">MATCH(A516,'Hoja 1'!G1:G892,0)</f>
        <v>#N/A</v>
      </c>
    </row>
    <row r="519" spans="1:2" x14ac:dyDescent="0.2">
      <c r="A519" s="18">
        <f ca="1">IFERROR(__xludf.DUMMYFUNCTION("QUERY('Hoja 1'!E1:E1000, ""SELECT * WHERE E=67540 OR E='67540' LIMIT 1"", 0)"),67540)</f>
        <v>67540</v>
      </c>
      <c r="B519" s="18" t="e">
        <f ca="1">MATCH(A519,'Hoja 1'!G1:G892,0)</f>
        <v>#N/A</v>
      </c>
    </row>
    <row r="522" spans="1:2" x14ac:dyDescent="0.2">
      <c r="A522" s="18">
        <f ca="1">IFERROR(__xludf.DUMMYFUNCTION("QUERY('Hoja 1'!E1:E1000, ""SELECT * WHERE E=68431 OR E='68431' LIMIT 1"", 0)"),68431)</f>
        <v>68431</v>
      </c>
      <c r="B522" s="18" t="e">
        <f ca="1">MATCH(A522,'Hoja 1'!G1:G892,0)</f>
        <v>#N/A</v>
      </c>
    </row>
    <row r="525" spans="1:2" x14ac:dyDescent="0.2">
      <c r="A525" s="18">
        <f ca="1">IFERROR(__xludf.DUMMYFUNCTION("QUERY('Hoja 1'!E1:E1000, ""SELECT * WHERE E=68337 OR E='68337' LIMIT 1"", 0)"),68337)</f>
        <v>68337</v>
      </c>
      <c r="B525" s="18" t="e">
        <f ca="1">MATCH(A525,'Hoja 1'!G1:G892,0)</f>
        <v>#N/A</v>
      </c>
    </row>
    <row r="528" spans="1:2" x14ac:dyDescent="0.2">
      <c r="A528" s="18">
        <f ca="1">IFERROR(__xludf.DUMMYFUNCTION("QUERY('Hoja 1'!E1:E1000, ""SELECT * WHERE E=67540 OR E='67540' LIMIT 1"", 0)"),67540)</f>
        <v>67540</v>
      </c>
      <c r="B528" s="18" t="e">
        <f ca="1">MATCH(A528,'Hoja 1'!G1:G892,0)</f>
        <v>#N/A</v>
      </c>
    </row>
    <row r="531" spans="1:2" x14ac:dyDescent="0.2">
      <c r="A531" s="18">
        <f ca="1">IFERROR(__xludf.DUMMYFUNCTION("QUERY('Hoja 1'!E1:E1000, ""SELECT * WHERE E=68337 OR E='68337' LIMIT 1"", 0)"),68337)</f>
        <v>68337</v>
      </c>
      <c r="B531" s="18" t="e">
        <f ca="1">MATCH(A531,'Hoja 1'!G1:G892,0)</f>
        <v>#N/A</v>
      </c>
    </row>
    <row r="534" spans="1:2" x14ac:dyDescent="0.2">
      <c r="A534" s="18">
        <f ca="1">IFERROR(__xludf.DUMMYFUNCTION("QUERY('Hoja 1'!E1:E1000, ""SELECT * WHERE E=68431 OR E='68431' LIMIT 1"", 0)"),68431)</f>
        <v>68431</v>
      </c>
      <c r="B534" s="18" t="e">
        <f ca="1">MATCH(A534,'Hoja 1'!G1:G892,0)</f>
        <v>#N/A</v>
      </c>
    </row>
    <row r="537" spans="1:2" x14ac:dyDescent="0.2">
      <c r="A537" s="18">
        <f ca="1">IFERROR(__xludf.DUMMYFUNCTION("QUERY('Hoja 1'!E1:E1000, ""SELECT * WHERE E=68431 OR E='68431' LIMIT 1"", 0)"),68431)</f>
        <v>68431</v>
      </c>
      <c r="B537" s="18" t="e">
        <f ca="1">MATCH(A537,'Hoja 1'!G1:G892,0)</f>
        <v>#N/A</v>
      </c>
    </row>
    <row r="540" spans="1:2" x14ac:dyDescent="0.2">
      <c r="A540" s="18">
        <f ca="1">IFERROR(__xludf.DUMMYFUNCTION("QUERY('Hoja 1'!E1:E1000, ""SELECT * WHERE E=68802 OR E='68802' LIMIT 1"", 0)"),68802)</f>
        <v>68802</v>
      </c>
      <c r="B540" s="18" t="e">
        <f ca="1">MATCH(A540,'Hoja 1'!G1:G892,0)</f>
        <v>#N/A</v>
      </c>
    </row>
    <row r="543" spans="1:2" x14ac:dyDescent="0.2">
      <c r="A543" s="18">
        <f ca="1">IFERROR(__xludf.DUMMYFUNCTION("QUERY('Hoja 1'!E1:E1000, ""SELECT * WHERE E=68802 OR E='68802' LIMIT 1"", 0)"),68802)</f>
        <v>68802</v>
      </c>
      <c r="B543" s="18" t="e">
        <f ca="1">MATCH(A543,'Hoja 1'!G1:G892,0)</f>
        <v>#N/A</v>
      </c>
    </row>
    <row r="546" spans="1:2" x14ac:dyDescent="0.2">
      <c r="A546" s="18">
        <f ca="1">IFERROR(__xludf.DUMMYFUNCTION("QUERY('Hoja 1'!E1:E1000, ""SELECT * WHERE E=68431 OR E='68431' LIMIT 1"", 0)"),68431)</f>
        <v>68431</v>
      </c>
      <c r="B546" s="18" t="e">
        <f ca="1">MATCH(A546,'Hoja 1'!G1:G892,0)</f>
        <v>#N/A</v>
      </c>
    </row>
    <row r="549" spans="1:2" x14ac:dyDescent="0.2">
      <c r="A549" s="18">
        <f ca="1">IFERROR(__xludf.DUMMYFUNCTION("QUERY('Hoja 1'!E1:E1000, ""SELECT * WHERE E=68337 OR E='68337' LIMIT 1"", 0)"),68337)</f>
        <v>68337</v>
      </c>
      <c r="B549" s="18" t="e">
        <f ca="1">MATCH(A549,'Hoja 1'!G1:G892,0)</f>
        <v>#N/A</v>
      </c>
    </row>
    <row r="552" spans="1:2" x14ac:dyDescent="0.2">
      <c r="A552" s="18">
        <f ca="1">IFERROR(__xludf.DUMMYFUNCTION("QUERY('Hoja 1'!E1:E1000, ""SELECT * WHERE E=68431 OR E='68431' LIMIT 1"", 0)"),68431)</f>
        <v>68431</v>
      </c>
      <c r="B552" s="18" t="e">
        <f ca="1">MATCH(A552,'Hoja 1'!G1:G892,0)</f>
        <v>#N/A</v>
      </c>
    </row>
    <row r="555" spans="1:2" x14ac:dyDescent="0.2">
      <c r="A555" s="18">
        <f ca="1">IFERROR(__xludf.DUMMYFUNCTION("QUERY('Hoja 1'!E1:E1000, ""SELECT * WHERE E=67540 OR E='67540' LIMIT 1"", 0)"),67540)</f>
        <v>67540</v>
      </c>
      <c r="B555" s="18" t="e">
        <f ca="1">MATCH(A555,'Hoja 1'!G1:G892,0)</f>
        <v>#N/A</v>
      </c>
    </row>
    <row r="558" spans="1:2" x14ac:dyDescent="0.2">
      <c r="A558" s="18">
        <f ca="1">IFERROR(__xludf.DUMMYFUNCTION("QUERY('Hoja 1'!E1:E1000, ""SELECT * WHERE E=67540 OR E='67540' LIMIT 1"", 0)"),67540)</f>
        <v>67540</v>
      </c>
      <c r="B558" s="18" t="e">
        <f ca="1">MATCH(A558,'Hoja 1'!G1:G892,0)</f>
        <v>#N/A</v>
      </c>
    </row>
    <row r="561" spans="1:2" x14ac:dyDescent="0.2">
      <c r="A561" s="18">
        <f ca="1">IFERROR(__xludf.DUMMYFUNCTION("QUERY('Hoja 1'!E1:E1000, ""SELECT * WHERE E=67540 OR E='67540' LIMIT 1"", 0)"),67540)</f>
        <v>67540</v>
      </c>
      <c r="B561" s="18" t="e">
        <f ca="1">MATCH(A561,'Hoja 1'!G1:G892,0)</f>
        <v>#N/A</v>
      </c>
    </row>
    <row r="564" spans="1:2" x14ac:dyDescent="0.2">
      <c r="A564" s="18">
        <f ca="1">IFERROR(__xludf.DUMMYFUNCTION("QUERY('Hoja 1'!E1:E1000, ""SELECT * WHERE E=68802 OR E='68802' LIMIT 1"", 0)"),68802)</f>
        <v>68802</v>
      </c>
      <c r="B564" s="18" t="e">
        <f ca="1">MATCH(A564,'Hoja 1'!G1:G892,0)</f>
        <v>#N/A</v>
      </c>
    </row>
    <row r="567" spans="1:2" x14ac:dyDescent="0.2">
      <c r="A567" s="18">
        <f ca="1">IFERROR(__xludf.DUMMYFUNCTION("QUERY('Hoja 1'!E1:E1000, ""SELECT * WHERE E=68431 OR E='68431' LIMIT 1"", 0)"),68431)</f>
        <v>68431</v>
      </c>
      <c r="B567" s="18" t="e">
        <f ca="1">MATCH(A567,'Hoja 1'!G1:G892,0)</f>
        <v>#N/A</v>
      </c>
    </row>
    <row r="570" spans="1:2" x14ac:dyDescent="0.2">
      <c r="A570" s="18">
        <f ca="1">IFERROR(__xludf.DUMMYFUNCTION("QUERY('Hoja 1'!E1:E1000, ""SELECT * WHERE E=68900 OR E='68900' LIMIT 1"", 0)"),68900)</f>
        <v>68900</v>
      </c>
      <c r="B570" s="18" t="e">
        <f ca="1">MATCH(A570,'Hoja 1'!G1:G892,0)</f>
        <v>#N/A</v>
      </c>
    </row>
    <row r="573" spans="1:2" x14ac:dyDescent="0.2">
      <c r="A573" s="18">
        <f ca="1">IFERROR(__xludf.DUMMYFUNCTION("QUERY('Hoja 1'!E1:E1000, ""SELECT * WHERE E=67008 OR E='67008' LIMIT 1"", 0)"),67008)</f>
        <v>67008</v>
      </c>
      <c r="B573" s="18" t="e">
        <f ca="1">MATCH(A573,'Hoja 1'!G1:G892,0)</f>
        <v>#N/A</v>
      </c>
    </row>
    <row r="576" spans="1:2" x14ac:dyDescent="0.2">
      <c r="A576" s="18">
        <f ca="1">IFERROR(__xludf.DUMMYFUNCTION("QUERY('Hoja 1'!E1:E1000, ""SELECT * WHERE E=68900 OR E='68900' LIMIT 1"", 0)"),68900)</f>
        <v>68900</v>
      </c>
      <c r="B576" s="18" t="e">
        <f ca="1">MATCH(A576,'Hoja 1'!G1:G892,0)</f>
        <v>#N/A</v>
      </c>
    </row>
    <row r="579" spans="1:2" x14ac:dyDescent="0.2">
      <c r="A579" s="18">
        <f ca="1">IFERROR(__xludf.DUMMYFUNCTION("QUERY('Hoja 1'!E1:E1000, ""SELECT * WHERE E=68337 OR E='68337' LIMIT 1"", 0)"),68337)</f>
        <v>68337</v>
      </c>
      <c r="B579" s="18" t="e">
        <f ca="1">MATCH(A579,'Hoja 1'!G1:G892,0)</f>
        <v>#N/A</v>
      </c>
    </row>
    <row r="582" spans="1:2" x14ac:dyDescent="0.2">
      <c r="A582" s="18">
        <f ca="1">IFERROR(__xludf.DUMMYFUNCTION("QUERY('Hoja 1'!E1:E1000, ""SELECT * WHERE E=68431 OR E='68431' LIMIT 1"", 0)"),68431)</f>
        <v>68431</v>
      </c>
      <c r="B582" s="18" t="e">
        <f ca="1">MATCH(A582,'Hoja 1'!G1:G892,0)</f>
        <v>#N/A</v>
      </c>
    </row>
    <row r="585" spans="1:2" x14ac:dyDescent="0.2">
      <c r="A585" s="18">
        <f ca="1">IFERROR(__xludf.DUMMYFUNCTION("QUERY('Hoja 1'!E1:E1000, ""SELECT * WHERE E=68463 OR E='68463' LIMIT 1"", 0)"),68463)</f>
        <v>68463</v>
      </c>
      <c r="B585" s="18" t="e">
        <f ca="1">MATCH(A585,'Hoja 1'!G1:G892,0)</f>
        <v>#N/A</v>
      </c>
    </row>
    <row r="588" spans="1:2" x14ac:dyDescent="0.2">
      <c r="A588" s="18">
        <f ca="1">IFERROR(__xludf.DUMMYFUNCTION("QUERY('Hoja 1'!E1:E1000, ""SELECT * WHERE E=68463 OR E='68463' LIMIT 1"", 0)"),68463)</f>
        <v>68463</v>
      </c>
      <c r="B588" s="18" t="e">
        <f ca="1">MATCH(A588,'Hoja 1'!G1:G892,0)</f>
        <v>#N/A</v>
      </c>
    </row>
    <row r="591" spans="1:2" x14ac:dyDescent="0.2">
      <c r="A591" s="18">
        <f ca="1">IFERROR(__xludf.DUMMYFUNCTION("QUERY('Hoja 1'!E1:E1000, ""SELECT * WHERE E=68208 OR E='68208' LIMIT 1"", 0)"),68208)</f>
        <v>68208</v>
      </c>
      <c r="B591" s="18" t="e">
        <f ca="1">MATCH(A591,'Hoja 1'!G1:G892,0)</f>
        <v>#N/A</v>
      </c>
    </row>
    <row r="594" spans="1:2" x14ac:dyDescent="0.2">
      <c r="A594" s="18">
        <f ca="1">IFERROR(__xludf.DUMMYFUNCTION("QUERY('Hoja 1'!E1:E1000, ""SELECT * WHERE E=68208 OR E='68208' LIMIT 1"", 0)"),68208)</f>
        <v>68208</v>
      </c>
      <c r="B594" s="18" t="e">
        <f ca="1">MATCH(A594,'Hoja 1'!G1:G892,0)</f>
        <v>#N/A</v>
      </c>
    </row>
    <row r="597" spans="1:2" x14ac:dyDescent="0.2">
      <c r="A597" s="18">
        <f ca="1">IFERROR(__xludf.DUMMYFUNCTION("QUERY('Hoja 1'!E1:E1000, ""SELECT * WHERE E=68899 OR E='68899' LIMIT 1"", 0)"),68899)</f>
        <v>68899</v>
      </c>
      <c r="B597" s="18" t="e">
        <f ca="1">MATCH(A597,'Hoja 1'!G1:G892,0)</f>
        <v>#N/A</v>
      </c>
    </row>
    <row r="600" spans="1:2" x14ac:dyDescent="0.2">
      <c r="A600" s="18">
        <f ca="1">IFERROR(__xludf.DUMMYFUNCTION("QUERY('Hoja 1'!E1:E1000, ""SELECT * WHERE E=68899 OR E='68899' LIMIT 1"", 0)"),68899)</f>
        <v>68899</v>
      </c>
      <c r="B600" s="18" t="e">
        <f ca="1">MATCH(A600,'Hoja 1'!G1:G892,0)</f>
        <v>#N/A</v>
      </c>
    </row>
    <row r="603" spans="1:2" x14ac:dyDescent="0.2">
      <c r="A603" s="18">
        <f ca="1">IFERROR(__xludf.DUMMYFUNCTION("QUERY('Hoja 1'!E1:E1000, ""SELECT * WHERE E=68902 OR E='68902' LIMIT 1"", 0)"),68902)</f>
        <v>68902</v>
      </c>
      <c r="B603" s="18" t="e">
        <f ca="1">MATCH(A603,'Hoja 1'!G1:G892,0)</f>
        <v>#N/A</v>
      </c>
    </row>
    <row r="606" spans="1:2" x14ac:dyDescent="0.2">
      <c r="A606" s="18">
        <f ca="1">IFERROR(__xludf.DUMMYFUNCTION("QUERY('Hoja 1'!E1:E1000, ""SELECT * WHERE E=69041 OR E='69041' LIMIT 1"", 0)"),69041)</f>
        <v>69041</v>
      </c>
      <c r="B606" s="18" t="e">
        <f ca="1">MATCH(A606,'Hoja 1'!G1:G892,0)</f>
        <v>#N/A</v>
      </c>
    </row>
    <row r="609" spans="1:2" x14ac:dyDescent="0.2">
      <c r="A609" s="18">
        <f ca="1">IFERROR(__xludf.DUMMYFUNCTION("QUERY('Hoja 1'!E1:E1000, ""SELECT * WHERE E=69041 OR E='69041' LIMIT 1"", 0)"),69041)</f>
        <v>69041</v>
      </c>
      <c r="B609" s="18" t="e">
        <f ca="1">MATCH(A609,'Hoja 1'!G1:G892,0)</f>
        <v>#N/A</v>
      </c>
    </row>
    <row r="612" spans="1:2" x14ac:dyDescent="0.2">
      <c r="A612" s="18">
        <f ca="1">IFERROR(__xludf.DUMMYFUNCTION("QUERY('Hoja 1'!E1:E1000, ""SELECT * WHERE E=68902 OR E='68902' LIMIT 1"", 0)"),68902)</f>
        <v>68902</v>
      </c>
      <c r="B612" s="18" t="e">
        <f ca="1">MATCH(A612,'Hoja 1'!G1:G892,0)</f>
        <v>#N/A</v>
      </c>
    </row>
    <row r="615" spans="1:2" x14ac:dyDescent="0.2">
      <c r="A615" s="18">
        <f ca="1">IFERROR(__xludf.DUMMYFUNCTION("QUERY('Hoja 1'!E1:E1000, ""SELECT * WHERE E=68624 OR E='68624' LIMIT 1"", 0)"),68624)</f>
        <v>68624</v>
      </c>
      <c r="B615" s="18" t="e">
        <f ca="1">MATCH(A615,'Hoja 1'!G1:G892,0)</f>
        <v>#N/A</v>
      </c>
    </row>
    <row r="618" spans="1:2" x14ac:dyDescent="0.2">
      <c r="A618" s="18">
        <f ca="1">IFERROR(__xludf.DUMMYFUNCTION("QUERY('Hoja 1'!E1:E1000, ""SELECT * WHERE E=68624 OR E='68624' LIMIT 1"", 0)"),68624)</f>
        <v>68624</v>
      </c>
      <c r="B618" s="18" t="e">
        <f ca="1">MATCH(A618,'Hoja 1'!G1:G892,0)</f>
        <v>#N/A</v>
      </c>
    </row>
    <row r="621" spans="1:2" x14ac:dyDescent="0.2">
      <c r="A621" s="18">
        <f ca="1">IFERROR(__xludf.DUMMYFUNCTION("QUERY('Hoja 1'!E1:E1000, ""SELECT * WHERE E=68624 OR E='68624' LIMIT 1"", 0)"),68624)</f>
        <v>68624</v>
      </c>
      <c r="B621" s="18" t="e">
        <f ca="1">MATCH(A621,'Hoja 1'!G1:G892,0)</f>
        <v>#N/A</v>
      </c>
    </row>
    <row r="624" spans="1:2" x14ac:dyDescent="0.2">
      <c r="A624" s="18">
        <f ca="1">IFERROR(__xludf.DUMMYFUNCTION("QUERY('Hoja 1'!E1:E1000, ""SELECT * WHERE E=68814 OR E='68814' LIMIT 1"", 0)"),68814)</f>
        <v>68814</v>
      </c>
      <c r="B624" s="18" t="e">
        <f ca="1">MATCH(A624,'Hoja 1'!G1:G892,0)</f>
        <v>#N/A</v>
      </c>
    </row>
    <row r="627" spans="1:2" x14ac:dyDescent="0.2">
      <c r="A627" s="18">
        <f ca="1">IFERROR(__xludf.DUMMYFUNCTION("QUERY('Hoja 1'!E1:E1000, ""SELECT * WHERE E=68009 OR E='68009' LIMIT 1"", 0)"),68009)</f>
        <v>68009</v>
      </c>
      <c r="B627" s="18" t="e">
        <f ca="1">MATCH(A627,'Hoja 1'!G1:G892,0)</f>
        <v>#N/A</v>
      </c>
    </row>
    <row r="630" spans="1:2" x14ac:dyDescent="0.2">
      <c r="A630" s="18">
        <f ca="1">IFERROR(__xludf.DUMMYFUNCTION("QUERY('Hoja 1'!E1:E1000, ""SELECT * WHERE E=68009 OR E='68009' LIMIT 1"", 0)"),68009)</f>
        <v>68009</v>
      </c>
      <c r="B630" s="18" t="e">
        <f ca="1">MATCH(A630,'Hoja 1'!G1:G892,0)</f>
        <v>#N/A</v>
      </c>
    </row>
    <row r="633" spans="1:2" x14ac:dyDescent="0.2">
      <c r="A633" s="18">
        <f ca="1">IFERROR(__xludf.DUMMYFUNCTION("QUERY('Hoja 1'!E1:E1000, ""SELECT * WHERE E=68009 OR E='68009' LIMIT 1"", 0)"),68009)</f>
        <v>68009</v>
      </c>
      <c r="B633" s="18" t="e">
        <f ca="1">MATCH(A633,'Hoja 1'!G1:G892,0)</f>
        <v>#N/A</v>
      </c>
    </row>
    <row r="636" spans="1:2" x14ac:dyDescent="0.2">
      <c r="A636" s="18">
        <f ca="1">IFERROR(__xludf.DUMMYFUNCTION("QUERY('Hoja 1'!E1:E1000, ""SELECT * WHERE E=67754 OR E='67754' LIMIT 1"", 0)"),67754)</f>
        <v>67754</v>
      </c>
      <c r="B636" s="18" t="e">
        <f ca="1">MATCH(A636,'Hoja 1'!G1:G892,0)</f>
        <v>#N/A</v>
      </c>
    </row>
    <row r="639" spans="1:2" x14ac:dyDescent="0.2">
      <c r="A639" s="18">
        <f ca="1">IFERROR(__xludf.DUMMYFUNCTION("QUERY('Hoja 1'!E1:E1000, ""SELECT * WHERE E=67754 OR E='67754' LIMIT 1"", 0)"),67754)</f>
        <v>67754</v>
      </c>
      <c r="B639" s="18" t="e">
        <f ca="1">MATCH(A639,'Hoja 1'!G1:G892,0)</f>
        <v>#N/A</v>
      </c>
    </row>
    <row r="642" spans="1:2" x14ac:dyDescent="0.2">
      <c r="A642" s="18">
        <f ca="1">IFERROR(__xludf.DUMMYFUNCTION("QUERY('Hoja 1'!E1:E1000, ""SELECT * WHERE E=68814 OR E='68814' LIMIT 1"", 0)"),68814)</f>
        <v>68814</v>
      </c>
      <c r="B642" s="18" t="e">
        <f ca="1">MATCH(A642,'Hoja 1'!G1:G892,0)</f>
        <v>#N/A</v>
      </c>
    </row>
    <row r="645" spans="1:2" x14ac:dyDescent="0.2">
      <c r="A645" s="18">
        <f ca="1">IFERROR(__xludf.DUMMYFUNCTION("QUERY('Hoja 1'!E1:E1000, ""SELECT * WHERE E=68916 OR E='68916' LIMIT 1"", 0)"),68916)</f>
        <v>68916</v>
      </c>
      <c r="B645" s="18" t="e">
        <f ca="1">MATCH(A645,'Hoja 1'!G1:G892,0)</f>
        <v>#N/A</v>
      </c>
    </row>
    <row r="648" spans="1:2" x14ac:dyDescent="0.2">
      <c r="A648" s="18">
        <f ca="1">IFERROR(__xludf.DUMMYFUNCTION("QUERY('Hoja 1'!E1:E1000, ""SELECT * WHERE E=68814 OR E='68814' LIMIT 1"", 0)"),68814)</f>
        <v>68814</v>
      </c>
      <c r="B648" s="18" t="e">
        <f ca="1">MATCH(A648,'Hoja 1'!G1:G892,0)</f>
        <v>#N/A</v>
      </c>
    </row>
    <row r="651" spans="1:2" x14ac:dyDescent="0.2">
      <c r="A651" s="18">
        <f ca="1">IFERROR(__xludf.DUMMYFUNCTION("QUERY('Hoja 1'!E1:E1000, ""SELECT * WHERE E=67230 OR E='67230' LIMIT 1"", 0)"),67230)</f>
        <v>67230</v>
      </c>
      <c r="B651" s="18" t="e">
        <f ca="1">MATCH(A651,'Hoja 1'!G1:G892,0)</f>
        <v>#N/A</v>
      </c>
    </row>
    <row r="654" spans="1:2" x14ac:dyDescent="0.2">
      <c r="A654" s="18">
        <f ca="1">IFERROR(__xludf.DUMMYFUNCTION("QUERY('Hoja 1'!E1:E1000, ""SELECT * WHERE E=67230 OR E='67230' LIMIT 1"", 0)"),67230)</f>
        <v>67230</v>
      </c>
      <c r="B654" s="18" t="e">
        <f ca="1">MATCH(A654,'Hoja 1'!G1:G892,0)</f>
        <v>#N/A</v>
      </c>
    </row>
    <row r="657" spans="1:2" x14ac:dyDescent="0.2">
      <c r="A657" s="18">
        <f ca="1">IFERROR(__xludf.DUMMYFUNCTION("QUERY('Hoja 1'!E1:E1000, ""SELECT * WHERE E=68628 OR E='68628' LIMIT 1"", 0)"),68628)</f>
        <v>68628</v>
      </c>
      <c r="B657" s="18" t="e">
        <f ca="1">MATCH(A657,'Hoja 1'!G1:G892,0)</f>
        <v>#N/A</v>
      </c>
    </row>
    <row r="660" spans="1:2" x14ac:dyDescent="0.2">
      <c r="A660" s="18">
        <f ca="1">IFERROR(__xludf.DUMMYFUNCTION("QUERY('Hoja 1'!E1:E1000, ""SELECT * WHERE E=68628 OR E='68628' LIMIT 1"", 0)"),68628)</f>
        <v>68628</v>
      </c>
      <c r="B660" s="18" t="e">
        <f ca="1">MATCH(A660,'Hoja 1'!G1:G892,0)</f>
        <v>#N/A</v>
      </c>
    </row>
    <row r="663" spans="1:2" x14ac:dyDescent="0.2">
      <c r="A663" s="18">
        <f ca="1">IFERROR(__xludf.DUMMYFUNCTION("QUERY('Hoja 1'!E1:E1000, ""SELECT * WHERE E=67230 OR E='67230' LIMIT 1"", 0)"),67230)</f>
        <v>67230</v>
      </c>
      <c r="B663" s="18" t="e">
        <f ca="1">MATCH(A663,'Hoja 1'!G1:G892,0)</f>
        <v>#N/A</v>
      </c>
    </row>
    <row r="666" spans="1:2" x14ac:dyDescent="0.2">
      <c r="A666" s="18">
        <f ca="1">IFERROR(__xludf.DUMMYFUNCTION("QUERY('Hoja 1'!E1:E1000, ""SELECT * WHERE E=67230 OR E='67230' LIMIT 1"", 0)"),67230)</f>
        <v>67230</v>
      </c>
      <c r="B666" s="18" t="e">
        <f ca="1">MATCH(A666,'Hoja 1'!G1:G892,0)</f>
        <v>#N/A</v>
      </c>
    </row>
    <row r="669" spans="1:2" x14ac:dyDescent="0.2">
      <c r="A669" s="18">
        <f ca="1">IFERROR(__xludf.DUMMYFUNCTION("QUERY('Hoja 1'!E1:E1000, ""SELECT * WHERE E=68689 OR E='68689' LIMIT 1"", 0)"),68689)</f>
        <v>68689</v>
      </c>
      <c r="B669" s="18" t="e">
        <f ca="1">MATCH(A669,'Hoja 1'!G1:G892,0)</f>
        <v>#N/A</v>
      </c>
    </row>
    <row r="672" spans="1:2" x14ac:dyDescent="0.2">
      <c r="A672" s="18">
        <f ca="1">IFERROR(__xludf.DUMMYFUNCTION("QUERY('Hoja 1'!E1:E1000, ""SELECT * WHERE E=68689 OR E='68689' LIMIT 1"", 0)"),68689)</f>
        <v>68689</v>
      </c>
      <c r="B672" s="18" t="e">
        <f ca="1">MATCH(A672,'Hoja 1'!G1:G892,0)</f>
        <v>#N/A</v>
      </c>
    </row>
    <row r="675" spans="1:2" x14ac:dyDescent="0.2">
      <c r="A675" s="18">
        <f ca="1">IFERROR(__xludf.DUMMYFUNCTION("QUERY('Hoja 1'!E1:E1000, ""SELECT * WHERE E=68689 OR E='68689' LIMIT 1"", 0)"),68689)</f>
        <v>68689</v>
      </c>
      <c r="B675" s="18" t="e">
        <f ca="1">MATCH(A675,'Hoja 1'!G1:G892,0)</f>
        <v>#N/A</v>
      </c>
    </row>
    <row r="678" spans="1:2" x14ac:dyDescent="0.2">
      <c r="A678" s="18">
        <f ca="1">IFERROR(__xludf.DUMMYFUNCTION("QUERY('Hoja 1'!E1:E1000, ""SELECT * WHERE E=68689 OR E='68689' LIMIT 1"", 0)"),68689)</f>
        <v>68689</v>
      </c>
      <c r="B678" s="18" t="e">
        <f ca="1">MATCH(A678,'Hoja 1'!G1:G892,0)</f>
        <v>#N/A</v>
      </c>
    </row>
    <row r="681" spans="1:2" x14ac:dyDescent="0.2">
      <c r="A681" s="18">
        <f ca="1">IFERROR(__xludf.DUMMYFUNCTION("QUERY('Hoja 1'!E1:E1000, ""SELECT * WHERE E=68582 OR E='68582' LIMIT 1"", 0)"),68582)</f>
        <v>68582</v>
      </c>
      <c r="B681" s="18" t="e">
        <f ca="1">MATCH(A681,'Hoja 1'!G1:G892,0)</f>
        <v>#N/A</v>
      </c>
    </row>
    <row r="684" spans="1:2" x14ac:dyDescent="0.2">
      <c r="A684" s="18">
        <f ca="1">IFERROR(__xludf.DUMMYFUNCTION("QUERY('Hoja 1'!E1:E1000, ""SELECT * WHERE E=68582 OR E='68582' LIMIT 1"", 0)"),68582)</f>
        <v>68582</v>
      </c>
      <c r="B684" s="18" t="e">
        <f ca="1">MATCH(A684,'Hoja 1'!G1:G892,0)</f>
        <v>#N/A</v>
      </c>
    </row>
    <row r="687" spans="1:2" x14ac:dyDescent="0.2">
      <c r="A687" s="18">
        <f ca="1">IFERROR(__xludf.DUMMYFUNCTION("QUERY('Hoja 1'!E1:E1000, ""SELECT * WHERE E=69290 OR E='69290' LIMIT 1"", 0)"),69290)</f>
        <v>69290</v>
      </c>
      <c r="B687" s="18" t="e">
        <f ca="1">MATCH(A687,'Hoja 1'!G1:G892,0)</f>
        <v>#N/A</v>
      </c>
    </row>
    <row r="690" spans="1:2" x14ac:dyDescent="0.2">
      <c r="A690" s="18">
        <f ca="1">IFERROR(__xludf.DUMMYFUNCTION("QUERY('Hoja 1'!E1:E1000, ""SELECT * WHERE E=69290 OR E='69290' LIMIT 1"", 0)"),69290)</f>
        <v>69290</v>
      </c>
      <c r="B690" s="18" t="e">
        <f ca="1">MATCH(A690,'Hoja 1'!G1:G892,0)</f>
        <v>#N/A</v>
      </c>
    </row>
    <row r="693" spans="1:2" x14ac:dyDescent="0.2">
      <c r="A693" s="18">
        <f ca="1">IFERROR(__xludf.DUMMYFUNCTION("QUERY('Hoja 1'!E1:E1000, ""SELECT * WHERE E=68741 OR E='68741' LIMIT 1"", 0)"),68741)</f>
        <v>68741</v>
      </c>
      <c r="B693" s="18" t="e">
        <f ca="1">MATCH(A693,'Hoja 1'!G1:G892,0)</f>
        <v>#N/A</v>
      </c>
    </row>
    <row r="696" spans="1:2" x14ac:dyDescent="0.2">
      <c r="A696" s="18">
        <f ca="1">IFERROR(__xludf.DUMMYFUNCTION("QUERY('Hoja 1'!E1:E1000, ""SELECT * WHERE E=68741 OR E='68741' LIMIT 1"", 0)"),68741)</f>
        <v>68741</v>
      </c>
      <c r="B696" s="18" t="e">
        <f ca="1">MATCH(A696,'Hoja 1'!G1:G892,0)</f>
        <v>#N/A</v>
      </c>
    </row>
    <row r="699" spans="1:2" x14ac:dyDescent="0.2">
      <c r="A699" s="18">
        <f ca="1">IFERROR(__xludf.DUMMYFUNCTION("QUERY('Hoja 1'!E1:E1000, ""SELECT * WHERE E=68741 OR E='68741' LIMIT 1"", 0)"),68741)</f>
        <v>68741</v>
      </c>
      <c r="B699" s="18" t="e">
        <f ca="1">MATCH(A699,'Hoja 1'!G1:G892,0)</f>
        <v>#N/A</v>
      </c>
    </row>
    <row r="702" spans="1:2" x14ac:dyDescent="0.2">
      <c r="A702" s="18">
        <f ca="1">IFERROR(__xludf.DUMMYFUNCTION("QUERY('Hoja 1'!E1:E1000, ""SELECT * WHERE E=68954 OR E='68954' LIMIT 1"", 0)"),68954)</f>
        <v>68954</v>
      </c>
      <c r="B702" s="18" t="e">
        <f ca="1">MATCH(A702,'Hoja 1'!G1:G892,0)</f>
        <v>#N/A</v>
      </c>
    </row>
    <row r="705" spans="1:2" x14ac:dyDescent="0.2">
      <c r="A705" s="18">
        <f ca="1">IFERROR(__xludf.DUMMYFUNCTION("QUERY('Hoja 1'!E1:E1000, ""SELECT * WHERE E=68954 OR E='68954' LIMIT 1"", 0)"),68954)</f>
        <v>68954</v>
      </c>
      <c r="B705" s="18" t="e">
        <f ca="1">MATCH(A705,'Hoja 1'!G1:G892,0)</f>
        <v>#N/A</v>
      </c>
    </row>
    <row r="708" spans="1:2" x14ac:dyDescent="0.2">
      <c r="A708" s="18">
        <f ca="1">IFERROR(__xludf.DUMMYFUNCTION("QUERY('Hoja 1'!E1:E1000, ""SELECT * WHERE E=68954 OR E='68954' LIMIT 1"", 0)"),68954)</f>
        <v>68954</v>
      </c>
      <c r="B708" s="18" t="e">
        <f ca="1">MATCH(A708,'Hoja 1'!G1:G892,0)</f>
        <v>#N/A</v>
      </c>
    </row>
    <row r="711" spans="1:2" x14ac:dyDescent="0.2">
      <c r="A711" s="18">
        <f ca="1">IFERROR(__xludf.DUMMYFUNCTION("QUERY('Hoja 1'!E1:E1000, ""SELECT * WHERE E=69215 OR E='69215' LIMIT 1"", 0)"),69215)</f>
        <v>69215</v>
      </c>
      <c r="B711" s="18" t="e">
        <f ca="1">MATCH(A711,'Hoja 1'!G1:G892,0)</f>
        <v>#N/A</v>
      </c>
    </row>
    <row r="714" spans="1:2" x14ac:dyDescent="0.2">
      <c r="A714" s="18">
        <f ca="1">IFERROR(__xludf.DUMMYFUNCTION("QUERY('Hoja 1'!E1:E1000, ""SELECT * WHERE E=69215 OR E='69215' LIMIT 1"", 0)"),69215)</f>
        <v>69215</v>
      </c>
      <c r="B714" s="18" t="e">
        <f ca="1">MATCH(A714,'Hoja 1'!G1:G892,0)</f>
        <v>#N/A</v>
      </c>
    </row>
    <row r="717" spans="1:2" x14ac:dyDescent="0.2">
      <c r="A717" s="18">
        <f ca="1">IFERROR(__xludf.DUMMYFUNCTION("QUERY('Hoja 1'!E1:E1000, ""SELECT * WHERE E=69215 OR E='69215' LIMIT 1"", 0)"),69215)</f>
        <v>69215</v>
      </c>
      <c r="B717" s="18" t="e">
        <f ca="1">MATCH(A717,'Hoja 1'!G1:G892,0)</f>
        <v>#N/A</v>
      </c>
    </row>
    <row r="720" spans="1:2" x14ac:dyDescent="0.2">
      <c r="A720" s="18">
        <f ca="1">IFERROR(__xludf.DUMMYFUNCTION("QUERY('Hoja 1'!E1:E1000, ""SELECT * WHERE E=69012 OR E='69012' LIMIT 1"", 0)"),69012)</f>
        <v>69012</v>
      </c>
      <c r="B720" s="18" t="e">
        <f ca="1">MATCH(A720,'Hoja 1'!G1:G892,0)</f>
        <v>#N/A</v>
      </c>
    </row>
    <row r="723" spans="1:2" x14ac:dyDescent="0.2">
      <c r="A723" s="18">
        <f ca="1">IFERROR(__xludf.DUMMYFUNCTION("QUERY('Hoja 1'!E1:E1000, ""SELECT * WHERE E=68823 OR E='68823' LIMIT 1"", 0)"),68823)</f>
        <v>68823</v>
      </c>
      <c r="B723" s="18" t="e">
        <f ca="1">MATCH(A723,'Hoja 1'!G1:G892,0)</f>
        <v>#N/A</v>
      </c>
    </row>
    <row r="726" spans="1:2" x14ac:dyDescent="0.2">
      <c r="A726" s="18">
        <f ca="1">IFERROR(__xludf.DUMMYFUNCTION("QUERY('Hoja 1'!E1:E1000, ""SELECT * WHERE E=68823 OR E='68823' LIMIT 1"", 0)"),68823)</f>
        <v>68823</v>
      </c>
      <c r="B726" s="18" t="e">
        <f ca="1">MATCH(A726,'Hoja 1'!G1:G892,0)</f>
        <v>#N/A</v>
      </c>
    </row>
    <row r="729" spans="1:2" x14ac:dyDescent="0.2">
      <c r="A729" s="18">
        <f ca="1">IFERROR(__xludf.DUMMYFUNCTION("QUERY('Hoja 1'!E1:E1000, ""SELECT * WHERE E=69380 OR E='69380' LIMIT 1"", 0)"),69380)</f>
        <v>69380</v>
      </c>
      <c r="B729" s="18" t="e">
        <f ca="1">MATCH(A729,'Hoja 1'!G1:G892,0)</f>
        <v>#N/A</v>
      </c>
    </row>
    <row r="732" spans="1:2" x14ac:dyDescent="0.2">
      <c r="A732" s="18">
        <f ca="1">IFERROR(__xludf.DUMMYFUNCTION("QUERY('Hoja 1'!E1:E1000, ""SELECT * WHERE E=69380 OR E='69380' LIMIT 1"", 0)"),69380)</f>
        <v>69380</v>
      </c>
      <c r="B732" s="18" t="e">
        <f ca="1">MATCH(A732,'Hoja 1'!G1:G892,0)</f>
        <v>#N/A</v>
      </c>
    </row>
    <row r="735" spans="1:2" x14ac:dyDescent="0.2">
      <c r="A735" s="18">
        <f ca="1">IFERROR(__xludf.DUMMYFUNCTION("QUERY('Hoja 1'!E1:E1000, ""SELECT * WHERE E=69355 OR E='69355' LIMIT 1"", 0)"),69355)</f>
        <v>69355</v>
      </c>
      <c r="B735" s="18" t="e">
        <f ca="1">MATCH(A735,'Hoja 1'!G1:G892,0)</f>
        <v>#N/A</v>
      </c>
    </row>
    <row r="738" spans="1:2" x14ac:dyDescent="0.2">
      <c r="A738" s="18">
        <f ca="1">IFERROR(__xludf.DUMMYFUNCTION("QUERY('Hoja 1'!E1:E1000, ""SELECT * WHERE E=69355 OR E='69355' LIMIT 1"", 0)"),69355)</f>
        <v>69355</v>
      </c>
      <c r="B738" s="18" t="e">
        <f ca="1">MATCH(A738,'Hoja 1'!G1:G892,0)</f>
        <v>#N/A</v>
      </c>
    </row>
    <row r="741" spans="1:2" x14ac:dyDescent="0.2">
      <c r="A741" s="18">
        <f ca="1">IFERROR(__xludf.DUMMYFUNCTION("QUERY('Hoja 1'!E1:E1000, ""SELECT * WHERE E=69355 OR E='69355' LIMIT 1"", 0)"),69355)</f>
        <v>69355</v>
      </c>
      <c r="B741" s="18" t="e">
        <f ca="1">MATCH(A741,'Hoja 1'!G1:G892,0)</f>
        <v>#N/A</v>
      </c>
    </row>
    <row r="744" spans="1:2" x14ac:dyDescent="0.2">
      <c r="A744" s="18">
        <f ca="1">IFERROR(__xludf.DUMMYFUNCTION("QUERY('Hoja 1'!E1:E1000, ""SELECT * WHERE E=69473 OR E='69473' LIMIT 1"", 0)"),69473)</f>
        <v>69473</v>
      </c>
      <c r="B744" s="18" t="e">
        <f ca="1">MATCH(A744,'Hoja 1'!G1:G892,0)</f>
        <v>#N/A</v>
      </c>
    </row>
    <row r="747" spans="1:2" x14ac:dyDescent="0.2">
      <c r="A747" s="18">
        <f ca="1">IFERROR(__xludf.DUMMYFUNCTION("QUERY('Hoja 1'!E1:E1000, ""SELECT * WHERE E=69217 OR E='69217' LIMIT 1"", 0)"),69217)</f>
        <v>69217</v>
      </c>
      <c r="B747" s="18" t="e">
        <f ca="1">MATCH(A747,'Hoja 1'!G1:G892,0)</f>
        <v>#N/A</v>
      </c>
    </row>
    <row r="750" spans="1:2" x14ac:dyDescent="0.2">
      <c r="A750" s="18">
        <f ca="1">IFERROR(__xludf.DUMMYFUNCTION("QUERY('Hoja 1'!E1:E1000, ""SELECT * WHERE E=69473 OR E='69473' LIMIT 1"", 0)"),69473)</f>
        <v>69473</v>
      </c>
      <c r="B750" s="18" t="e">
        <f ca="1">MATCH(A750,'Hoja 1'!G1:G892,0)</f>
        <v>#N/A</v>
      </c>
    </row>
    <row r="753" spans="1:2" x14ac:dyDescent="0.2">
      <c r="A753" s="18">
        <f ca="1">IFERROR(__xludf.DUMMYFUNCTION("QUERY('Hoja 1'!E1:E1000, ""SELECT * WHERE E=69217 OR E='69217' LIMIT 1"", 0)"),69217)</f>
        <v>69217</v>
      </c>
      <c r="B753" s="18" t="e">
        <f ca="1">MATCH(A753,'Hoja 1'!G1:G892,0)</f>
        <v>#N/A</v>
      </c>
    </row>
    <row r="756" spans="1:2" x14ac:dyDescent="0.2">
      <c r="A756" s="18">
        <f ca="1">IFERROR(__xludf.DUMMYFUNCTION("QUERY('Hoja 1'!E1:E1000, ""SELECT * WHERE E=69217 OR E='69217' LIMIT 1"", 0)"),69217)</f>
        <v>69217</v>
      </c>
      <c r="B756" s="18" t="e">
        <f ca="1">MATCH(A756,'Hoja 1'!G1:G892,0)</f>
        <v>#N/A</v>
      </c>
    </row>
    <row r="759" spans="1:2" x14ac:dyDescent="0.2">
      <c r="A759" s="18">
        <f ca="1">IFERROR(__xludf.DUMMYFUNCTION("QUERY('Hoja 1'!E1:E1000, ""SELECT * WHERE E=67350 OR E='67350' LIMIT 1"", 0)"),67350)</f>
        <v>67350</v>
      </c>
      <c r="B759" s="18" t="e">
        <f ca="1">MATCH(A759,'Hoja 1'!G1:G892,0)</f>
        <v>#N/A</v>
      </c>
    </row>
    <row r="762" spans="1:2" x14ac:dyDescent="0.2">
      <c r="A762" s="18">
        <f ca="1">IFERROR(__xludf.DUMMYFUNCTION("QUERY('Hoja 1'!E1:E1000, ""SELECT * WHERE E=67350 OR E='67350' LIMIT 1"", 0)"),67350)</f>
        <v>67350</v>
      </c>
      <c r="B762" s="18" t="e">
        <f ca="1">MATCH(A762,'Hoja 1'!G1:G892,0)</f>
        <v>#N/A</v>
      </c>
    </row>
    <row r="765" spans="1:2" x14ac:dyDescent="0.2">
      <c r="A765" s="18">
        <f ca="1">IFERROR(__xludf.DUMMYFUNCTION("QUERY('Hoja 1'!E1:E1000, ""SELECT * WHERE E=67350 OR E='67350' LIMIT 1"", 0)"),67350)</f>
        <v>67350</v>
      </c>
      <c r="B765" s="18" t="e">
        <f ca="1">MATCH(A765,'Hoja 1'!G1:G892,0)</f>
        <v>#N/A</v>
      </c>
    </row>
    <row r="768" spans="1:2" x14ac:dyDescent="0.2">
      <c r="A768" s="18">
        <f ca="1">IFERROR(__xludf.DUMMYFUNCTION("QUERY('Hoja 1'!E1:E1000, ""SELECT * WHERE E=69567 OR E='69567' LIMIT 1"", 0)"),69567)</f>
        <v>69567</v>
      </c>
      <c r="B768" s="18" t="e">
        <f ca="1">MATCH(A768,'Hoja 1'!G1:G892,0)</f>
        <v>#N/A</v>
      </c>
    </row>
    <row r="771" spans="1:2" x14ac:dyDescent="0.2">
      <c r="A771" s="18">
        <f ca="1">IFERROR(__xludf.DUMMYFUNCTION("QUERY('Hoja 1'!E1:E1000, ""SELECT * WHERE E=69546 OR E='69546' LIMIT 1"", 0)"),69546)</f>
        <v>69546</v>
      </c>
      <c r="B771" s="18" t="e">
        <f ca="1">MATCH(A771,'Hoja 1'!G1:G892,0)</f>
        <v>#N/A</v>
      </c>
    </row>
    <row r="774" spans="1:2" x14ac:dyDescent="0.2">
      <c r="A774" s="18">
        <f ca="1">IFERROR(__xludf.DUMMYFUNCTION("QUERY('Hoja 1'!E1:E1000, ""SELECT * WHERE E=69546 OR E='69546' LIMIT 1"", 0)"),69546)</f>
        <v>69546</v>
      </c>
      <c r="B774" s="18" t="e">
        <f ca="1">MATCH(A774,'Hoja 1'!G1:G892,0)</f>
        <v>#N/A</v>
      </c>
    </row>
    <row r="777" spans="1:2" x14ac:dyDescent="0.2">
      <c r="A777" s="18">
        <f ca="1">IFERROR(__xludf.DUMMYFUNCTION("QUERY('Hoja 1'!E1:E1000, ""SELECT * WHERE E=69502 OR E='69502' LIMIT 1"", 0)"),69502)</f>
        <v>69502</v>
      </c>
      <c r="B777" s="18" t="e">
        <f ca="1">MATCH(A777,'Hoja 1'!G1:G892,0)</f>
        <v>#N/A</v>
      </c>
    </row>
    <row r="780" spans="1:2" x14ac:dyDescent="0.2">
      <c r="A780" s="18">
        <f ca="1">IFERROR(__xludf.DUMMYFUNCTION("QUERY('Hoja 1'!E1:E1000, ""SELECT * WHERE E=69502 OR E='69502' LIMIT 1"", 0)"),69502)</f>
        <v>69502</v>
      </c>
      <c r="B780" s="18" t="e">
        <f ca="1">MATCH(A780,'Hoja 1'!G1:G892,0)</f>
        <v>#N/A</v>
      </c>
    </row>
    <row r="783" spans="1:2" x14ac:dyDescent="0.2">
      <c r="A783" s="18">
        <f ca="1">IFERROR(__xludf.DUMMYFUNCTION("QUERY('Hoja 1'!E1:E1000, ""SELECT * WHERE E=69084 OR E='69084' LIMIT 1"", 0)"),69084)</f>
        <v>69084</v>
      </c>
      <c r="B783" s="18" t="e">
        <f ca="1">MATCH(A783,'Hoja 1'!G1:G892,0)</f>
        <v>#N/A</v>
      </c>
    </row>
    <row r="786" spans="1:2" x14ac:dyDescent="0.2">
      <c r="A786" s="18">
        <f ca="1">IFERROR(__xludf.DUMMYFUNCTION("QUERY('Hoja 1'!E1:E1000, ""SELECT * WHERE E=69084 OR E='69084' LIMIT 1"", 0)"),69084)</f>
        <v>69084</v>
      </c>
      <c r="B786" s="18" t="e">
        <f ca="1">MATCH(A786,'Hoja 1'!G1:G892,0)</f>
        <v>#N/A</v>
      </c>
    </row>
    <row r="789" spans="1:2" x14ac:dyDescent="0.2">
      <c r="A789" s="18">
        <f ca="1">IFERROR(__xludf.DUMMYFUNCTION("QUERY('Hoja 1'!E1:E1000, ""SELECT * WHERE E=69084 OR E='69084' LIMIT 1"", 0)"),69084)</f>
        <v>69084</v>
      </c>
      <c r="B789" s="18" t="e">
        <f ca="1">MATCH(A789,'Hoja 1'!G1:G892,0)</f>
        <v>#N/A</v>
      </c>
    </row>
    <row r="792" spans="1:2" x14ac:dyDescent="0.2">
      <c r="A792" s="18">
        <f ca="1">IFERROR(__xludf.DUMMYFUNCTION("QUERY('Hoja 1'!E1:E1000, ""SELECT * WHERE E=65665 OR E='65665' LIMIT 1"", 0)"),65665)</f>
        <v>65665</v>
      </c>
      <c r="B792" s="18" t="e">
        <f ca="1">MATCH(A792,'Hoja 1'!G1:G892,0)</f>
        <v>#N/A</v>
      </c>
    </row>
    <row r="795" spans="1:2" x14ac:dyDescent="0.2">
      <c r="A795" s="18">
        <f ca="1">IFERROR(__xludf.DUMMYFUNCTION("QUERY('Hoja 1'!E1:E1000, ""SELECT * WHERE E=65665 OR E='65665' LIMIT 1"", 0)"),65665)</f>
        <v>65665</v>
      </c>
      <c r="B795" s="18" t="e">
        <f ca="1">MATCH(A795,'Hoja 1'!G1:G892,0)</f>
        <v>#N/A</v>
      </c>
    </row>
    <row r="798" spans="1:2" x14ac:dyDescent="0.2">
      <c r="A798" s="18">
        <f ca="1">IFERROR(__xludf.DUMMYFUNCTION("QUERY('Hoja 1'!E1:E1000, ""SELECT * WHERE E=69320 OR E='69320' LIMIT 1"", 0)"),69320)</f>
        <v>69320</v>
      </c>
      <c r="B798" s="18" t="e">
        <f ca="1">MATCH(A798,'Hoja 1'!G1:G892,0)</f>
        <v>#N/A</v>
      </c>
    </row>
    <row r="801" spans="1:2" x14ac:dyDescent="0.2">
      <c r="A801" s="18">
        <f ca="1">IFERROR(__xludf.DUMMYFUNCTION("QUERY('Hoja 1'!E1:E1000, ""SELECT * WHERE E=69685 OR E='69685' LIMIT 1"", 0)"),69685)</f>
        <v>69685</v>
      </c>
      <c r="B801" s="18" t="e">
        <f ca="1">MATCH(A801,'Hoja 1'!G1:G892,0)</f>
        <v>#N/A</v>
      </c>
    </row>
    <row r="804" spans="1:2" x14ac:dyDescent="0.2">
      <c r="A804" s="18">
        <f ca="1">IFERROR(__xludf.DUMMYFUNCTION("QUERY('Hoja 1'!E1:E1000, ""SELECT * WHERE E=69685 OR E='69685' LIMIT 1"", 0)"),69685)</f>
        <v>69685</v>
      </c>
      <c r="B804" s="18" t="e">
        <f ca="1">MATCH(A804,'Hoja 1'!G1:G892,0)</f>
        <v>#N/A</v>
      </c>
    </row>
    <row r="807" spans="1:2" x14ac:dyDescent="0.2">
      <c r="A807" s="18">
        <f ca="1">IFERROR(__xludf.DUMMYFUNCTION("QUERY('Hoja 1'!E1:E1000, ""SELECT * WHERE E=69685 OR E='69685' LIMIT 1"", 0)"),69685)</f>
        <v>69685</v>
      </c>
      <c r="B807" s="18" t="e">
        <f ca="1">MATCH(A807,'Hoja 1'!G1:G892,0)</f>
        <v>#N/A</v>
      </c>
    </row>
    <row r="810" spans="1:2" x14ac:dyDescent="0.2">
      <c r="A810" s="18">
        <f ca="1">IFERROR(__xludf.DUMMYFUNCTION("QUERY('Hoja 1'!E1:E1000, ""SELECT * WHERE E=69687 OR E='69687' LIMIT 1"", 0)"),69687)</f>
        <v>69687</v>
      </c>
      <c r="B810" s="18" t="e">
        <f ca="1">MATCH(A810,'Hoja 1'!G1:G892,0)</f>
        <v>#N/A</v>
      </c>
    </row>
    <row r="813" spans="1:2" x14ac:dyDescent="0.2">
      <c r="A813" s="18">
        <f ca="1">IFERROR(__xludf.DUMMYFUNCTION("QUERY('Hoja 1'!E1:E1000, ""SELECT * WHERE E=69687 OR E='69687' LIMIT 1"", 0)"),69687)</f>
        <v>69687</v>
      </c>
      <c r="B813" s="18" t="e">
        <f ca="1">MATCH(A813,'Hoja 1'!G1:G892,0)</f>
        <v>#N/A</v>
      </c>
    </row>
    <row r="816" spans="1:2" x14ac:dyDescent="0.2">
      <c r="A816" s="18">
        <f ca="1">IFERROR(__xludf.DUMMYFUNCTION("QUERY('Hoja 1'!E1:E1000, ""SELECT * WHERE E=69817 OR E='69817' LIMIT 1"", 0)"),69817)</f>
        <v>69817</v>
      </c>
      <c r="B816" s="18" t="e">
        <f ca="1">MATCH(A816,'Hoja 1'!G1:G892,0)</f>
        <v>#N/A</v>
      </c>
    </row>
    <row r="819" spans="1:2" x14ac:dyDescent="0.2">
      <c r="A819" s="18">
        <f ca="1">IFERROR(__xludf.DUMMYFUNCTION("QUERY('Hoja 1'!E1:E1000, ""SELECT * WHERE E=69817 OR E='69817' LIMIT 1"", 0)"),69817)</f>
        <v>69817</v>
      </c>
      <c r="B819" s="18" t="e">
        <f ca="1">MATCH(A819,'Hoja 1'!G1:G892,0)</f>
        <v>#N/A</v>
      </c>
    </row>
    <row r="822" spans="1:2" x14ac:dyDescent="0.2">
      <c r="A822" s="18">
        <f ca="1">IFERROR(__xludf.DUMMYFUNCTION("QUERY('Hoja 1'!E1:E1000, ""SELECT * WHERE E=68114 OR E='68114' LIMIT 1"", 0)"),68114)</f>
        <v>68114</v>
      </c>
      <c r="B822" s="18" t="e">
        <f ca="1">MATCH(A822,'Hoja 1'!G1:G892,0)</f>
        <v>#N/A</v>
      </c>
    </row>
    <row r="825" spans="1:2" x14ac:dyDescent="0.2">
      <c r="A825" s="18">
        <f ca="1">IFERROR(__xludf.DUMMYFUNCTION("QUERY('Hoja 1'!E1:E1000, ""SELECT * WHERE E=68114 OR E='68114' LIMIT 1"", 0)"),68114)</f>
        <v>68114</v>
      </c>
      <c r="B825" s="18" t="e">
        <f ca="1">MATCH(A825,'Hoja 1'!G1:G892,0)</f>
        <v>#N/A</v>
      </c>
    </row>
    <row r="828" spans="1:2" x14ac:dyDescent="0.2">
      <c r="A828" s="18">
        <f ca="1">IFERROR(__xludf.DUMMYFUNCTION("QUERY('Hoja 1'!E1:E1000, ""SELECT * WHERE E=68114 OR E='68114' LIMIT 1"", 0)"),68114)</f>
        <v>68114</v>
      </c>
      <c r="B828" s="18" t="e">
        <f ca="1">MATCH(A828,'Hoja 1'!G1:G892,0)</f>
        <v>#N/A</v>
      </c>
    </row>
    <row r="831" spans="1:2" x14ac:dyDescent="0.2">
      <c r="A831" s="18">
        <f ca="1">IFERROR(__xludf.DUMMYFUNCTION("QUERY('Hoja 1'!E1:E1000, ""SELECT * WHERE E=68114 OR E='68114' LIMIT 1"", 0)"),68114)</f>
        <v>68114</v>
      </c>
      <c r="B831" s="18" t="e">
        <f ca="1">MATCH(A831,'Hoja 1'!G1:G892,0)</f>
        <v>#N/A</v>
      </c>
    </row>
    <row r="834" spans="1:2" x14ac:dyDescent="0.2">
      <c r="A834" s="18">
        <f ca="1">IFERROR(__xludf.DUMMYFUNCTION("QUERY('Hoja 1'!E1:E1000, ""SELECT * WHERE E=68114 OR E='68114' LIMIT 1"", 0)"),68114)</f>
        <v>68114</v>
      </c>
      <c r="B834" s="18" t="e">
        <f ca="1">MATCH(A834,'Hoja 1'!G1:G892,0)</f>
        <v>#N/A</v>
      </c>
    </row>
    <row r="837" spans="1:2" x14ac:dyDescent="0.2">
      <c r="A837" s="18">
        <f ca="1">IFERROR(__xludf.DUMMYFUNCTION("QUERY('Hoja 1'!E1:E1000, ""SELECT * WHERE E=68961 OR E='68961' LIMIT 1"", 0)"),68961)</f>
        <v>68961</v>
      </c>
      <c r="B837" s="18" t="e">
        <f ca="1">MATCH(A837,'Hoja 1'!G1:G892,0)</f>
        <v>#N/A</v>
      </c>
    </row>
    <row r="840" spans="1:2" x14ac:dyDescent="0.2">
      <c r="A840" s="18">
        <f ca="1">IFERROR(__xludf.DUMMYFUNCTION("QUERY('Hoja 1'!E1:E1000, ""SELECT * WHERE E=68961 OR E='68961' LIMIT 1"", 0)"),68961)</f>
        <v>68961</v>
      </c>
      <c r="B840" s="18" t="e">
        <f ca="1">MATCH(A840,'Hoja 1'!G1:G892,0)</f>
        <v>#N/A</v>
      </c>
    </row>
    <row r="843" spans="1:2" x14ac:dyDescent="0.2">
      <c r="A843" s="18">
        <f ca="1">IFERROR(__xludf.DUMMYFUNCTION("QUERY('Hoja 1'!E1:E1000, ""SELECT * WHERE E=68076 OR E='68076' LIMIT 1"", 0)"),68076)</f>
        <v>68076</v>
      </c>
      <c r="B843" s="18" t="e">
        <f ca="1">MATCH(A843,'Hoja 1'!G1:G892,0)</f>
        <v>#N/A</v>
      </c>
    </row>
    <row r="846" spans="1:2" x14ac:dyDescent="0.2">
      <c r="A846" s="18">
        <f ca="1">IFERROR(__xludf.DUMMYFUNCTION("QUERY('Hoja 1'!E1:E1000, ""SELECT * WHERE E=68076 OR E='68076' LIMIT 1"", 0)"),68076)</f>
        <v>68076</v>
      </c>
      <c r="B846" s="18" t="e">
        <f ca="1">MATCH(A846,'Hoja 1'!G1:G892,0)</f>
        <v>#N/A</v>
      </c>
    </row>
    <row r="849" spans="1:2" x14ac:dyDescent="0.2">
      <c r="A849" s="18">
        <f ca="1">IFERROR(__xludf.DUMMYFUNCTION("QUERY('Hoja 1'!E1:E1000, ""SELECT * WHERE E=69766 OR E='69766' LIMIT 1"", 0)"),69766)</f>
        <v>69766</v>
      </c>
      <c r="B849" s="18" t="e">
        <f ca="1">MATCH(A849,'Hoja 1'!G1:G892,0)</f>
        <v>#N/A</v>
      </c>
    </row>
    <row r="852" spans="1:2" x14ac:dyDescent="0.2">
      <c r="A852" s="18">
        <f ca="1">IFERROR(__xludf.DUMMYFUNCTION("QUERY('Hoja 1'!E1:E1000, ""SELECT * WHERE E=69766 OR E='69766' LIMIT 1"", 0)"),69766)</f>
        <v>69766</v>
      </c>
      <c r="B852" s="18" t="e">
        <f ca="1">MATCH(A852,'Hoja 1'!G1:G892,0)</f>
        <v>#N/A</v>
      </c>
    </row>
    <row r="855" spans="1:2" x14ac:dyDescent="0.2">
      <c r="A855" s="18">
        <f ca="1">IFERROR(__xludf.DUMMYFUNCTION("QUERY('Hoja 1'!E1:E1000, ""SELECT * WHERE E=69499 OR E='69499' LIMIT 1"", 0)"),69499)</f>
        <v>69499</v>
      </c>
      <c r="B855" s="18" t="e">
        <f ca="1">MATCH(A855,'Hoja 1'!G1:G892,0)</f>
        <v>#N/A</v>
      </c>
    </row>
    <row r="858" spans="1:2" x14ac:dyDescent="0.2">
      <c r="A858" s="18">
        <f ca="1">IFERROR(__xludf.DUMMYFUNCTION("QUERY('Hoja 1'!E1:E1000, ""SELECT * WHERE E=69817 OR E='69817' LIMIT 1"", 0)"),69817)</f>
        <v>69817</v>
      </c>
      <c r="B858" s="18" t="e">
        <f ca="1">MATCH(A858,'Hoja 1'!G1:G892,0)</f>
        <v>#N/A</v>
      </c>
    </row>
    <row r="861" spans="1:2" x14ac:dyDescent="0.2">
      <c r="A861" s="18">
        <f ca="1">IFERROR(__xludf.DUMMYFUNCTION("QUERY('Hoja 1'!E1:E1000, ""SELECT * WHERE E=68076 OR E='68076' LIMIT 1"", 0)"),68076)</f>
        <v>68076</v>
      </c>
      <c r="B861" s="18" t="e">
        <f ca="1">MATCH(A861,'Hoja 1'!G1:G892,0)</f>
        <v>#N/A</v>
      </c>
    </row>
    <row r="864" spans="1:2" x14ac:dyDescent="0.2">
      <c r="A864" s="18">
        <f ca="1">IFERROR(__xludf.DUMMYFUNCTION("QUERY('Hoja 1'!E1:E1000, ""SELECT * WHERE E=67304 OR E='67304' LIMIT 1"", 0)"),67304)</f>
        <v>67304</v>
      </c>
      <c r="B864" s="18" t="e">
        <f ca="1">MATCH(A864,'Hoja 1'!G1:G892,0)</f>
        <v>#N/A</v>
      </c>
    </row>
    <row r="867" spans="1:2" x14ac:dyDescent="0.2">
      <c r="A867" s="18">
        <f ca="1">IFERROR(__xludf.DUMMYFUNCTION("QUERY('Hoja 1'!E1:E1000, ""SELECT * WHERE E=67304 OR E='67304' LIMIT 1"", 0)"),67304)</f>
        <v>67304</v>
      </c>
      <c r="B867" s="18" t="e">
        <f ca="1">MATCH(A867,'Hoja 1'!G1:G892,0)</f>
        <v>#N/A</v>
      </c>
    </row>
    <row r="870" spans="1:2" x14ac:dyDescent="0.2">
      <c r="A870" s="18">
        <f ca="1">IFERROR(__xludf.DUMMYFUNCTION("QUERY('Hoja 1'!E1:E1000, ""SELECT * WHERE E=69584 OR E='69584' LIMIT 1"", 0)"),69584)</f>
        <v>69584</v>
      </c>
      <c r="B870" s="18" t="e">
        <f ca="1">MATCH(A870,'Hoja 1'!G1:G892,0)</f>
        <v>#N/A</v>
      </c>
    </row>
    <row r="873" spans="1:2" x14ac:dyDescent="0.2">
      <c r="A873" s="18">
        <f ca="1">IFERROR(__xludf.DUMMYFUNCTION("QUERY('Hoja 1'!E1:E1000, ""SELECT * WHERE E=69584 OR E='69584' LIMIT 1"", 0)"),69584)</f>
        <v>69584</v>
      </c>
      <c r="B873" s="18" t="e">
        <f ca="1">MATCH(A873,'Hoja 1'!G1:G892,0)</f>
        <v>#N/A</v>
      </c>
    </row>
    <row r="876" spans="1:2" x14ac:dyDescent="0.2">
      <c r="A876" s="18">
        <f ca="1">IFERROR(__xludf.DUMMYFUNCTION("QUERY('Hoja 1'!E1:E1000, ""SELECT * WHERE E=69584 OR E='69584' LIMIT 1"", 0)"),69584)</f>
        <v>69584</v>
      </c>
      <c r="B876" s="18" t="e">
        <f ca="1">MATCH(A876,'Hoja 1'!G1:G892,0)</f>
        <v>#N/A</v>
      </c>
    </row>
    <row r="879" spans="1:2" x14ac:dyDescent="0.2">
      <c r="A879" s="18">
        <f ca="1">IFERROR(__xludf.DUMMYFUNCTION("QUERY('Hoja 1'!E1:E1000, ""SELECT * WHERE E=69584 OR E='69584' LIMIT 1"", 0)"),69584)</f>
        <v>69584</v>
      </c>
      <c r="B879" s="18" t="e">
        <f ca="1">MATCH(A879,'Hoja 1'!G1:G892,0)</f>
        <v>#N/A</v>
      </c>
    </row>
    <row r="882" spans="1:2" x14ac:dyDescent="0.2">
      <c r="A882" s="18">
        <f ca="1">IFERROR(__xludf.DUMMYFUNCTION("QUERY('Hoja 1'!E1:E1000, ""SELECT * WHERE E=69337 OR E='69337' LIMIT 1"", 0)"),69337)</f>
        <v>69337</v>
      </c>
      <c r="B882" s="18" t="e">
        <f ca="1">MATCH(A882,'Hoja 1'!G1:G892,0)</f>
        <v>#N/A</v>
      </c>
    </row>
    <row r="885" spans="1:2" x14ac:dyDescent="0.2">
      <c r="A885" s="18">
        <f ca="1">IFERROR(__xludf.DUMMYFUNCTION("QUERY('Hoja 1'!E1:E1000, ""SELECT * WHERE E=69337 OR E='69337' LIMIT 1"", 0)"),69337)</f>
        <v>69337</v>
      </c>
      <c r="B885" s="18" t="e">
        <f ca="1">MATCH(A885,'Hoja 1'!G1:G892,0)</f>
        <v>#N/A</v>
      </c>
    </row>
    <row r="888" spans="1:2" x14ac:dyDescent="0.2">
      <c r="A888" s="18">
        <f ca="1">IFERROR(__xludf.DUMMYFUNCTION("QUERY('Hoja 1'!E1:E1000, ""SELECT * WHERE E=69337 OR E='69337' LIMIT 1"", 0)"),69337)</f>
        <v>69337</v>
      </c>
      <c r="B888" s="18" t="e">
        <f ca="1">MATCH(A888,'Hoja 1'!G1:G892,0)</f>
        <v>#N/A</v>
      </c>
    </row>
    <row r="891" spans="1:2" x14ac:dyDescent="0.2">
      <c r="A891" s="18">
        <f ca="1">IFERROR(__xludf.DUMMYFUNCTION("QUERY('Hoja 1'!E1:E1000, ""SELECT * WHERE E=69562 OR E='69562' LIMIT 1"", 0)"),69562)</f>
        <v>69562</v>
      </c>
      <c r="B891" s="18" t="e">
        <f ca="1">MATCH(A891,'Hoja 1'!G1:G892,0)</f>
        <v>#N/A</v>
      </c>
    </row>
    <row r="894" spans="1:2" x14ac:dyDescent="0.2">
      <c r="A894" s="18">
        <f ca="1">IFERROR(__xludf.DUMMYFUNCTION("QUERY('Hoja 1'!E1:E1000, ""SELECT * WHERE E=69562 OR E='69562' LIMIT 1"", 0)"),69562)</f>
        <v>69562</v>
      </c>
      <c r="B894" s="18" t="e">
        <f ca="1">MATCH(A894,'Hoja 1'!G1:G892,0)</f>
        <v>#N/A</v>
      </c>
    </row>
    <row r="897" spans="1:2" x14ac:dyDescent="0.2">
      <c r="A897" s="18">
        <f ca="1">IFERROR(__xludf.DUMMYFUNCTION("QUERY('Hoja 1'!E1:E1000, ""SELECT * WHERE E=69562 OR E='69562' LIMIT 1"", 0)"),69562)</f>
        <v>69562</v>
      </c>
      <c r="B897" s="18" t="e">
        <f ca="1">MATCH(A897,'Hoja 1'!G1:G892,0)</f>
        <v>#N/A</v>
      </c>
    </row>
    <row r="900" spans="1:2" x14ac:dyDescent="0.2">
      <c r="A900" s="18">
        <f ca="1">IFERROR(__xludf.DUMMYFUNCTION("QUERY('Hoja 1'!E1:E1000, ""SELECT * WHERE E=69562 OR E='69562' LIMIT 1"", 0)"),69562)</f>
        <v>69562</v>
      </c>
      <c r="B900" s="18" t="e">
        <f ca="1">MATCH(A900,'Hoja 1'!G1:G892,0)</f>
        <v>#N/A</v>
      </c>
    </row>
    <row r="903" spans="1:2" x14ac:dyDescent="0.2">
      <c r="A903" s="18">
        <f ca="1">IFERROR(__xludf.DUMMYFUNCTION("QUERY('Hoja 1'!E1:E1000, ""SELECT * WHERE E=69562 OR E='69562' LIMIT 1"", 0)"),69562)</f>
        <v>69562</v>
      </c>
      <c r="B903" s="18" t="e">
        <f ca="1">MATCH(A903,'Hoja 1'!G1:G892,0)</f>
        <v>#N/A</v>
      </c>
    </row>
    <row r="906" spans="1:2" x14ac:dyDescent="0.2">
      <c r="A906" s="18">
        <f ca="1">IFERROR(__xludf.DUMMYFUNCTION("QUERY('Hoja 1'!E1:E1000, ""SELECT * WHERE E=69896 OR E='69896' LIMIT 1"", 0)"),69896)</f>
        <v>69896</v>
      </c>
      <c r="B906" s="18" t="e">
        <f ca="1">MATCH(A906,'Hoja 1'!G1:G892,0)</f>
        <v>#N/A</v>
      </c>
    </row>
    <row r="909" spans="1:2" x14ac:dyDescent="0.2">
      <c r="A909" s="18">
        <f ca="1">IFERROR(__xludf.DUMMYFUNCTION("QUERY('Hoja 1'!E1:E1000, ""SELECT * WHERE E=69896 OR E='69896' LIMIT 1"", 0)"),69896)</f>
        <v>69896</v>
      </c>
      <c r="B909" s="18" t="e">
        <f ca="1">MATCH(A909,'Hoja 1'!G1:G892,0)</f>
        <v>#N/A</v>
      </c>
    </row>
    <row r="912" spans="1:2" x14ac:dyDescent="0.2">
      <c r="A912" s="18">
        <f ca="1">IFERROR(__xludf.DUMMYFUNCTION("QUERY('Hoja 1'!E1:E1000, ""SELECT * WHERE E=69896 OR E='69896' LIMIT 1"", 0)"),69896)</f>
        <v>69896</v>
      </c>
      <c r="B912" s="18" t="e">
        <f ca="1">MATCH(A912,'Hoja 1'!G1:G892,0)</f>
        <v>#N/A</v>
      </c>
    </row>
    <row r="915" spans="1:2" x14ac:dyDescent="0.2">
      <c r="A915" s="18">
        <f ca="1">IFERROR(__xludf.DUMMYFUNCTION("QUERY('Hoja 1'!E1:E1000, ""SELECT * WHERE E=64501 OR E='64501' LIMIT 1"", 0)"),64501)</f>
        <v>64501</v>
      </c>
      <c r="B915" s="18" t="e">
        <f ca="1">MATCH(A915,'Hoja 1'!G1:G892,0)</f>
        <v>#N/A</v>
      </c>
    </row>
    <row r="918" spans="1:2" x14ac:dyDescent="0.2">
      <c r="A918" s="18">
        <f ca="1">IFERROR(__xludf.DUMMYFUNCTION("QUERY('Hoja 1'!E1:E1000, ""SELECT * WHERE E=64501 OR E='64501' LIMIT 1"", 0)"),64501)</f>
        <v>64501</v>
      </c>
      <c r="B918" s="18" t="e">
        <f ca="1">MATCH(A918,'Hoja 1'!G1:G892,0)</f>
        <v>#N/A</v>
      </c>
    </row>
    <row r="921" spans="1:2" x14ac:dyDescent="0.2">
      <c r="A921" s="18">
        <f ca="1">IFERROR(__xludf.DUMMYFUNCTION("QUERY('Hoja 1'!E1:E1000, ""SELECT * WHERE E=64501 OR E='64501' LIMIT 1"", 0)"),64501)</f>
        <v>64501</v>
      </c>
      <c r="B921" s="18" t="e">
        <f ca="1">MATCH(A921,'Hoja 1'!G1:G892,0)</f>
        <v>#N/A</v>
      </c>
    </row>
    <row r="924" spans="1:2" x14ac:dyDescent="0.2">
      <c r="A924" s="18">
        <f ca="1">IFERROR(__xludf.DUMMYFUNCTION("QUERY('Hoja 1'!E1:E1000, ""SELECT * WHERE E=64501 OR E='64501' LIMIT 1"", 0)"),64501)</f>
        <v>64501</v>
      </c>
      <c r="B924" s="18" t="e">
        <f ca="1">MATCH(A924,'Hoja 1'!G1:G892,0)</f>
        <v>#N/A</v>
      </c>
    </row>
    <row r="927" spans="1:2" x14ac:dyDescent="0.2">
      <c r="A927" s="18">
        <f ca="1">IFERROR(__xludf.DUMMYFUNCTION("QUERY('Hoja 1'!E1:E1000, ""SELECT * WHERE E=65368 OR E='65368' LIMIT 1"", 0)"),65368)</f>
        <v>65368</v>
      </c>
      <c r="B927" s="18" t="e">
        <f ca="1">MATCH(A927,'Hoja 1'!G1:G892,0)</f>
        <v>#N/A</v>
      </c>
    </row>
    <row r="930" spans="1:2" x14ac:dyDescent="0.2">
      <c r="A930" s="18">
        <f ca="1">IFERROR(__xludf.DUMMYFUNCTION("QUERY('Hoja 1'!E1:E1000, ""SELECT * WHERE E=65368 OR E='65368' LIMIT 1"", 0)"),65368)</f>
        <v>65368</v>
      </c>
      <c r="B930" s="18" t="e">
        <f ca="1">MATCH(A930,'Hoja 1'!G1:G892,0)</f>
        <v>#N/A</v>
      </c>
    </row>
    <row r="933" spans="1:2" x14ac:dyDescent="0.2">
      <c r="A933" s="18">
        <f ca="1">IFERROR(__xludf.DUMMYFUNCTION("QUERY('Hoja 1'!E1:E1000, ""SELECT * WHERE E=69926 OR E='69926' LIMIT 1"", 0)"),69926)</f>
        <v>69926</v>
      </c>
      <c r="B933" s="18" t="e">
        <f ca="1">MATCH(A933,'Hoja 1'!G1:G892,0)</f>
        <v>#N/A</v>
      </c>
    </row>
    <row r="936" spans="1:2" x14ac:dyDescent="0.2">
      <c r="A936" s="18">
        <f ca="1">IFERROR(__xludf.DUMMYFUNCTION("QUERY('Hoja 1'!E1:E1000, ""SELECT * WHERE E=69926 OR E='69926' LIMIT 1"", 0)"),69926)</f>
        <v>69926</v>
      </c>
      <c r="B936" s="18" t="e">
        <f ca="1">MATCH(A936,'Hoja 1'!G1:G892,0)</f>
        <v>#N/A</v>
      </c>
    </row>
    <row r="939" spans="1:2" x14ac:dyDescent="0.2">
      <c r="A939" s="18">
        <f ca="1">IFERROR(__xludf.DUMMYFUNCTION("QUERY('Hoja 1'!E1:E1000, ""SELECT * WHERE E=66810 OR E='66810' LIMIT 1"", 0)"),66810)</f>
        <v>66810</v>
      </c>
      <c r="B939" s="18" t="e">
        <f ca="1">MATCH(A939,'Hoja 1'!G1:G892,0)</f>
        <v>#N/A</v>
      </c>
    </row>
    <row r="942" spans="1:2" x14ac:dyDescent="0.2">
      <c r="A942" s="18">
        <f ca="1">IFERROR(__xludf.DUMMYFUNCTION("QUERY('Hoja 1'!E1:E1000, ""SELECT * WHERE E=69796 OR E='69796' LIMIT 1"", 0)"),69796)</f>
        <v>69796</v>
      </c>
      <c r="B942" s="18" t="e">
        <f ca="1">MATCH(A942,'Hoja 1'!G1:G892,0)</f>
        <v>#N/A</v>
      </c>
    </row>
    <row r="945" spans="1:2" x14ac:dyDescent="0.2">
      <c r="A945" s="18">
        <f ca="1">IFERROR(__xludf.DUMMYFUNCTION("QUERY('Hoja 1'!E1:E1000, ""SELECT * WHERE E=69796 OR E='69796' LIMIT 1"", 0)"),69796)</f>
        <v>69796</v>
      </c>
      <c r="B945" s="18" t="e">
        <f ca="1">MATCH(A945,'Hoja 1'!G1:G892,0)</f>
        <v>#N/A</v>
      </c>
    </row>
    <row r="948" spans="1:2" x14ac:dyDescent="0.2">
      <c r="A948" s="18">
        <f ca="1">IFERROR(__xludf.DUMMYFUNCTION("QUERY('Hoja 1'!E1:E1000, ""SELECT * WHERE E=69796 OR E='69796' LIMIT 1"", 0)"),69796)</f>
        <v>69796</v>
      </c>
      <c r="B948" s="18" t="e">
        <f ca="1">MATCH(A948,'Hoja 1'!G1:G892,0)</f>
        <v>#N/A</v>
      </c>
    </row>
    <row r="951" spans="1:2" x14ac:dyDescent="0.2">
      <c r="A951" s="18">
        <f ca="1">IFERROR(__xludf.DUMMYFUNCTION("QUERY('Hoja 1'!E1:E1000, ""SELECT * WHERE E=70000 OR E='70000' LIMIT 1"", 0)"),70000)</f>
        <v>70000</v>
      </c>
      <c r="B951" s="18" t="e">
        <f ca="1">MATCH(A951,'Hoja 1'!G1:G892,0)</f>
        <v>#N/A</v>
      </c>
    </row>
    <row r="954" spans="1:2" x14ac:dyDescent="0.2">
      <c r="A954" s="18">
        <f ca="1">IFERROR(__xludf.DUMMYFUNCTION("QUERY('Hoja 1'!E1:E1000, ""SELECT * WHERE E=69711 OR E='69711' LIMIT 1"", 0)"),69711)</f>
        <v>69711</v>
      </c>
      <c r="B954" s="18" t="e">
        <f ca="1">MATCH(A954,'Hoja 1'!G1:G892,0)</f>
        <v>#N/A</v>
      </c>
    </row>
    <row r="957" spans="1:2" x14ac:dyDescent="0.2">
      <c r="A957" s="18">
        <f ca="1">IFERROR(__xludf.DUMMYFUNCTION("QUERY('Hoja 1'!E1:E1000, ""SELECT * WHERE E=69711 OR E='69711' LIMIT 1"", 0)"),69711)</f>
        <v>69711</v>
      </c>
      <c r="B957" s="18" t="e">
        <f ca="1">MATCH(A957,'Hoja 1'!G1:G892,0)</f>
        <v>#N/A</v>
      </c>
    </row>
    <row r="960" spans="1:2" x14ac:dyDescent="0.2">
      <c r="A960" s="18">
        <f ca="1">IFERROR(__xludf.DUMMYFUNCTION("QUERY('Hoja 1'!E1:E1000, ""SELECT * WHERE E=69711 OR E='69711' LIMIT 1"", 0)"),69711)</f>
        <v>69711</v>
      </c>
      <c r="B960" s="18" t="e">
        <f ca="1">MATCH(A960,'Hoja 1'!G1:G892,0)</f>
        <v>#N/A</v>
      </c>
    </row>
    <row r="963" spans="1:2" x14ac:dyDescent="0.2">
      <c r="A963" s="18">
        <f ca="1">IFERROR(__xludf.DUMMYFUNCTION("QUERY('Hoja 1'!E1:E1000, ""SELECT * WHERE E=69711 OR E='69711' LIMIT 1"", 0)"),69711)</f>
        <v>69711</v>
      </c>
      <c r="B963" s="18" t="e">
        <f ca="1">MATCH(A963,'Hoja 1'!G1:G892,0)</f>
        <v>#N/A</v>
      </c>
    </row>
    <row r="966" spans="1:2" x14ac:dyDescent="0.2">
      <c r="A966" s="18">
        <f ca="1">IFERROR(__xludf.DUMMYFUNCTION("QUERY('Hoja 1'!E1:E1000, ""SELECT * WHERE E=70021 OR E='70021' LIMIT 1"", 0)"),70021)</f>
        <v>70021</v>
      </c>
      <c r="B966" s="18" t="e">
        <f ca="1">MATCH(A966,'Hoja 1'!G1:G892,0)</f>
        <v>#N/A</v>
      </c>
    </row>
    <row r="969" spans="1:2" x14ac:dyDescent="0.2">
      <c r="A969" s="18">
        <f ca="1">IFERROR(__xludf.DUMMYFUNCTION("QUERY('Hoja 1'!E1:E1000, ""SELECT * WHERE E=70021 OR E='70021' LIMIT 1"", 0)"),70021)</f>
        <v>70021</v>
      </c>
      <c r="B969" s="18" t="e">
        <f ca="1">MATCH(A969,'Hoja 1'!G1:G892,0)</f>
        <v>#N/A</v>
      </c>
    </row>
    <row r="972" spans="1:2" x14ac:dyDescent="0.2">
      <c r="A972" s="18">
        <f ca="1">IFERROR(__xludf.DUMMYFUNCTION("QUERY('Hoja 1'!E1:E1000, ""SELECT * WHERE E=70021 OR E='70021' LIMIT 1"", 0)"),70021)</f>
        <v>70021</v>
      </c>
      <c r="B972" s="18" t="e">
        <f ca="1">MATCH(A972,'Hoja 1'!G1:G892,0)</f>
        <v>#N/A</v>
      </c>
    </row>
    <row r="975" spans="1:2" x14ac:dyDescent="0.2">
      <c r="A975" s="18">
        <f ca="1">IFERROR(__xludf.DUMMYFUNCTION("QUERY('Hoja 1'!E1:E1000, ""SELECT * WHERE E=67861 OR E='67861' LIMIT 1"", 0)"),67861)</f>
        <v>67861</v>
      </c>
      <c r="B975" s="18" t="e">
        <f ca="1">MATCH(A975,'Hoja 1'!G1:G892,0)</f>
        <v>#N/A</v>
      </c>
    </row>
    <row r="978" spans="1:2" x14ac:dyDescent="0.2">
      <c r="A978" s="18">
        <f ca="1">IFERROR(__xludf.DUMMYFUNCTION("QUERY('Hoja 1'!E1:E1000, ""SELECT * WHERE E=67861 OR E='67861' LIMIT 1"", 0)"),67861)</f>
        <v>67861</v>
      </c>
      <c r="B978" s="18" t="e">
        <f ca="1">MATCH(A978,'Hoja 1'!G1:G892,0)</f>
        <v>#N/A</v>
      </c>
    </row>
    <row r="981" spans="1:2" x14ac:dyDescent="0.2">
      <c r="A981" s="18">
        <f ca="1">IFERROR(__xludf.DUMMYFUNCTION("QUERY('Hoja 1'!E1:E1000, ""SELECT * WHERE E=67861 OR E='67861' LIMIT 1"", 0)"),67861)</f>
        <v>67861</v>
      </c>
      <c r="B981" s="18" t="e">
        <f ca="1">MATCH(A981,'Hoja 1'!G1:G892,0)</f>
        <v>#N/A</v>
      </c>
    </row>
    <row r="984" spans="1:2" x14ac:dyDescent="0.2">
      <c r="A984" s="18">
        <f ca="1">IFERROR(__xludf.DUMMYFUNCTION("QUERY('Hoja 1'!E1:E1000, ""SELECT * WHERE E=67861 OR E='67861' LIMIT 1"", 0)"),67861)</f>
        <v>67861</v>
      </c>
      <c r="B984" s="18" t="e">
        <f ca="1">MATCH(A984,'Hoja 1'!G1:G892,0)</f>
        <v>#N/A</v>
      </c>
    </row>
    <row r="987" spans="1:2" x14ac:dyDescent="0.2">
      <c r="A987" s="18">
        <f ca="1">IFERROR(__xludf.DUMMYFUNCTION("QUERY('Hoja 1'!E1:E1000, ""SELECT * WHERE E=67861 OR E='67861' LIMIT 1"", 0)"),67861)</f>
        <v>67861</v>
      </c>
      <c r="B987" s="18" t="e">
        <f ca="1">MATCH(A987,'Hoja 1'!G1:G892,0)</f>
        <v>#N/A</v>
      </c>
    </row>
    <row r="990" spans="1:2" x14ac:dyDescent="0.2">
      <c r="A990" s="18">
        <f ca="1">IFERROR(__xludf.DUMMYFUNCTION("QUERY('Hoja 1'!E1:E1000, ""SELECT * WHERE E=68263 OR E='68263' LIMIT 1"", 0)"),68263)</f>
        <v>68263</v>
      </c>
      <c r="B990" s="18" t="e">
        <f ca="1">MATCH(A990,'Hoja 1'!G1:G892,0)</f>
        <v>#N/A</v>
      </c>
    </row>
    <row r="993" spans="1:2" x14ac:dyDescent="0.2">
      <c r="A993" s="18">
        <f ca="1">IFERROR(__xludf.DUMMYFUNCTION("QUERY('Hoja 1'!E1:E1000, ""SELECT * WHERE E=69520 OR E='69520' LIMIT 1"", 0)"),69520)</f>
        <v>69520</v>
      </c>
      <c r="B993" s="18" t="e">
        <f ca="1">MATCH(A993,'Hoja 1'!G1:G892,0)</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1</vt:lpstr>
      <vt:lpstr>Hoja3</vt:lpstr>
      <vt:lpstr>MANYCHAT_SERVICE_SHEET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Minca</dc:creator>
  <cp:lastModifiedBy>Minca</cp:lastModifiedBy>
  <dcterms:created xsi:type="dcterms:W3CDTF">2025-11-25T14:45:34Z</dcterms:created>
  <dcterms:modified xsi:type="dcterms:W3CDTF">2026-02-27T12:44:37Z</dcterms:modified>
</cp:coreProperties>
</file>